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3f1d83d38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9181b222f044a6"/>
    <x:sheet xmlns:r="http://schemas.openxmlformats.org/officeDocument/2006/relationships" name="Analysis" sheetId="2" r:id="Rea901e12564b4fae"/>
    <x:sheet xmlns:r="http://schemas.openxmlformats.org/officeDocument/2006/relationships" name="Accounts" sheetId="3" r:id="R8691dacb0af94c22"/>
    <x:sheet xmlns:r="http://schemas.openxmlformats.org/officeDocument/2006/relationships" name="Payments" sheetId="4" r:id="Rc6c452dac73e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dd/yy"/>
    <x:numFmt numFmtId="201" formatCode="&quot;$&quot;#,##0;(&quot;$&quot;#,##0);&quot;$&quot;0"/>
    <x:numFmt numFmtId="202" formatCode="@"/>
    <x:numFmt numFmtId="203" formatCode="0.0%"/>
    <x:numFmt numFmtId="204" formatCode="mmm-yy"/>
    <x:numFmt numFmtId="205" formatCode="0.00"/>
  </x:numFmts>
  <x:fonts count="9">
    <x:font>
      <x:sz val="11"/>
      <x:name val="Carlito"/>
    </x:font>
    <x:font>
      <x:sz val="10"/>
      <x:color rgb="FF253343"/>
      <x:name val="Arial"/>
    </x:font>
    <x:font>
      <x:b/>
      <x:sz val="16"/>
      <x:color rgb="FF203C59"/>
      <x:name val="Arial"/>
    </x:font>
    <x:font>
      <x:b/>
      <x:sz val="14"/>
      <x:color rgb="FF25334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53343"/>
      <x:name val="Arial"/>
    </x:font>
    <x:font>
      <x:sz val="10"/>
      <x:color rgb="FF235789"/>
      <x:name val="Arial"/>
    </x:font>
    <x:font>
      <x:b/>
      <x:sz val="10"/>
      <x:color rgb="FF203C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C59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1" fontId="1" fillId="4" borderId="0" xfId="0" applyNumberFormat="1" applyFont="1" applyFill="1" applyBorder="1"/>
    <x:xf numFmtId="201" fontId="7" fillId="4" borderId="0" xfId="0" applyNumberFormat="1" applyFont="1" applyFill="1" applyBorder="1"/>
    <x:xf numFmtId="203" fontId="1" fillId="4" borderId="0" xfId="0" applyNumberFormat="1" applyFont="1" applyFill="1" applyBorder="1"/>
    <x:xf numFmtId="203" fontId="7" fillId="4" borderId="0" xfId="0" applyNumberFormat="1" applyFont="1" applyFill="1" applyBorder="1"/>
    <x:xf numFmtId="205" fontId="1" fillId="0" borderId="0" xfId="0" applyNumberFormat="1" applyFont="1" applyFill="1" applyBorder="1"/>
    <x:xf numFmtId="0" fontId="8" fillId="0" borderId="0" xfId="0" applyNumberFormat="1" applyFont="1" applyFill="1" applyBorder="1"/>
    <x:xf numFmtId="201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 applyAlignment="1">
      <x:alignment horizontal="right" vertical="center" wrapText="1"/>
    </x:xf>
    <x:xf numFmtId="201" fontId="7" fillId="4" borderId="0" xfId="0" applyNumberFormat="1" applyFont="1" applyFill="1" applyBorder="1" applyAlignment="1">
      <x:alignment horizontal="right"/>
    </x:xf>
    <x:xf numFmtId="203" fontId="7" fillId="4" borderId="0" xfId="0" applyNumberFormat="1" applyFont="1" applyFill="1" applyBorder="1" applyAlignment="1">
      <x:alignment horizontal="right"/>
    </x:xf>
    <x:xf numFmtId="205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</x:cellXfs>
  <x:cellStyles count="1">
    <x:cellStyle name="Normal" xfId="0"/>
  </x:cellStyles>
  <x:dxfs count="1">
    <x:dxf>
      <x:font>
        <x:color rgb="FFA34B21"/>
      </x:font>
      <x:fill>
        <x:patternFill>
          <x:bgColor rgb="FFF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247cdf7b0406f" /><Relationship Type="http://schemas.openxmlformats.org/officeDocument/2006/relationships/theme" Target="/xl/theme/theme1.xml" Id="R8da9c02027a846e1" /><Relationship Type="http://schemas.openxmlformats.org/officeDocument/2006/relationships/sharedStrings" Target="/xl/sharedStrings.xml" Id="R0a5731d81c914633" /><Relationship Type="http://schemas.openxmlformats.org/officeDocument/2006/relationships/worksheet" Target="/xl/worksheets/sheet1.xml" Id="R8f9181b222f044a6" /><Relationship Type="http://schemas.openxmlformats.org/officeDocument/2006/relationships/worksheet" Target="/xl/worksheets/sheet2.xml" Id="Rea901e12564b4fae" /><Relationship Type="http://schemas.openxmlformats.org/officeDocument/2006/relationships/worksheet" Target="/xl/worksheets/sheet3.xml" Id="R8691dacb0af94c22" /><Relationship Type="http://schemas.openxmlformats.org/officeDocument/2006/relationships/worksheet" Target="/xl/worksheets/sheet4.xml" Id="Rc6c452dac73e44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cd0405be8348cf" /><Relationship Type="http://schemas.openxmlformats.org/officeDocument/2006/relationships/chart" Target="/xl/drawings/charts/chart2.xml" Id="R7c03de14f56e45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Outstanding by aging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Outstanding</c:v>
          </c:tx>
          <c:spPr>
            <a:solidFill xmlns:a="http://schemas.openxmlformats.org/drawingml/2006/main">
              <a:srgbClr val="235789"/>
            </a:solidFill>
          </c:spPr>
          <c:cat>
            <c:strRef>
              <c:f>'Analysis'!$A$28:$A$33</c:f>
              <c:strCache>
                <c:ptCount val="0"/>
              </c:strCache>
            </c:strRef>
          </c:cat>
          <c:val>
            <c:numRef>
              <c:f>'Analysis'!$C$28:$C$33</c:f>
              <c:numCache>
                <c:formatCode>"$"#,##0;("$"#,##0);"$"0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collections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Collected</c:v>
          </c:tx>
          <c:spPr>
            <a:solidFill xmlns:a="http://schemas.openxmlformats.org/drawingml/2006/main">
              <a:srgbClr val="235789"/>
            </a:solidFill>
            <a:ln xmlns:a="http://schemas.openxmlformats.org/drawingml/2006/main" w="19050">
              <a:solidFill>
                <a:srgbClr val="235789"/>
              </a:solidFill>
              <a:prstDash val="solid"/>
            </a:ln>
          </c:spPr>
          <c:marker>
            <c:symbol val="none"/>
          </c:marker>
          <c:cat>
            <c:strRef>
              <c:f>'Analysis'!$F$38:$F$43</c:f>
              <c:strCache>
                <c:ptCount val="0"/>
              </c:strCache>
            </c:strRef>
          </c:cat>
          <c:val>
            <c:numRef>
              <c:f>'Analysis'!$B$38:$B$43</c:f>
              <c:numCache>
                <c:formatCode>"$"#,##0;("$"#,##0);"$"0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cd0405be8348cf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03de14f56e45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ountsTable" displayName="AccountsTable" ref="A4:O1504" headerRowCount="1" totalsRowCount="0" totalsRowShown="0">
  <x:tableColumns count="15">
    <x:tableColumn id="1" name="Account ID"/>
    <x:tableColumn id="2" name="Collector"/>
    <x:tableColumn id="3" name="Portfolio"/>
    <x:tableColumn id="4" name="Region"/>
    <x:tableColumn id="5" name="Credit score"/>
    <x:tableColumn id="6" name="Placed date"/>
    <x:tableColumn id="7" name="Placed balance"/>
    <x:tableColumn id="8" name="Days past due"/>
    <x:tableColumn id="9" name="Attempts"/>
    <x:tableColumn id="10" name="RPC contacts"/>
    <x:tableColumn id="11" name="PTP contacts"/>
    <x:tableColumn id="12" name="Collected"/>
    <x:tableColumn id="13" name="Outstanding"/>
    <x:tableColumn id="14" name="Aging bucket"/>
    <x:tableColumn id="15" name="RPC reach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sTable" displayName="PaymentsTable" ref="A4:D3014" headerRowCount="1" totalsRowCount="0" totalsRowShown="0">
  <x:tableColumns count="4">
    <x:tableColumn id="1" name="Payment ID"/>
    <x:tableColumn id="2" name="Account ID"/>
    <x:tableColumn id="3" name="Payment date"/>
    <x:tableColumn id="4" name="Amoun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f0e7e72bf4e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86adfe56f23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624fcd0476e4870" /></Relationships>
</file>

<file path=xl/worksheets/sheet1.xml><?xml version="1.0" encoding="utf-8"?>
<x:worksheet xmlns:x="http://schemas.openxmlformats.org/spreadsheetml/2006/main">
  <x:sheetPr>
    <x:tabColor rgb="FF203C59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Collections Performance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 t="str">
        <x:v>Aditya Gujral</x:v>
      </x:c>
      <x:c r="B3" s="1"/>
      <x:c r="C3" s="1"/>
      <x:c r="D3" s="1"/>
      <x:c r="E3" s="1"/>
      <x:c r="F3" s="1"/>
      <x:c r="G3" s="1"/>
      <x:c r="H3" s="1"/>
      <x:c r="I3" s="1" t="str">
        <x:v>Synthetic data as of Jun 30, 2026</x:v>
      </x:c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25" t="str">
        <x:v>Accounts</x:v>
      </x:c>
      <x:c r="B5" s="1"/>
      <x:c r="C5" s="1"/>
      <x:c r="D5" s="1"/>
      <x:c r="E5" s="1"/>
      <x:c r="F5" s="25" t="str">
        <x:v>Placed balance</x:v>
      </x:c>
      <x:c r="G5" s="1"/>
      <x:c r="H5" s="1"/>
      <x:c r="I5" s="1"/>
      <x:c r="J5" s="1"/>
      <x:c r="K5" s="25" t="str">
        <x:v>Collected</x:v>
      </x:c>
      <x:c r="L5" s="1"/>
      <x:c r="M5" s="1"/>
      <x:c r="N5" s="1"/>
      <x:c r="O5" s="1"/>
    </x:row>
    <x:row r="6" ht="23" customHeight="1">
      <x:c r="A6" s="2" t="n">
        <x:f>'Analysis'!B6</x:f>
        <x:v>1500</x:v>
      </x:c>
      <x:c r="B6" s="1"/>
      <x:c r="C6" s="1"/>
      <x:c r="D6" s="1"/>
      <x:c r="E6" s="1"/>
      <x:c r="F6" s="26" t="n">
        <x:f>'Analysis'!B7</x:f>
        <x:v>18510620.97000002</x:v>
      </x:c>
      <x:c r="G6" s="1"/>
      <x:c r="H6" s="1"/>
      <x:c r="I6" s="1"/>
      <x:c r="J6" s="1"/>
      <x:c r="K6" s="26" t="n">
        <x:f>'Analysis'!B8</x:f>
        <x:v>2346315.94</x:v>
      </x:c>
      <x:c r="L6" s="1"/>
      <x:c r="M6" s="1"/>
      <x:c r="N6" s="1"/>
      <x:c r="O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25" t="str">
        <x:v>Outstanding</x:v>
      </x:c>
      <x:c r="B9" s="1"/>
      <x:c r="C9" s="1"/>
      <x:c r="D9" s="1"/>
      <x:c r="E9" s="1"/>
      <x:c r="F9" s="25" t="str">
        <x:v>Recovery rate</x:v>
      </x:c>
      <x:c r="G9" s="1"/>
      <x:c r="H9" s="1"/>
      <x:c r="I9" s="1"/>
      <x:c r="J9" s="1"/>
      <x:c r="K9" s="25" t="str">
        <x:v>90+ DPD exposure</x:v>
      </x:c>
      <x:c r="L9" s="1"/>
      <x:c r="M9" s="1"/>
      <x:c r="N9" s="1"/>
      <x:c r="O9" s="1"/>
    </x:row>
    <x:row r="10" ht="23" customHeight="1">
      <x:c r="A10" s="26" t="n">
        <x:f>'Analysis'!B9</x:f>
        <x:v>16164305.03</x:v>
      </x:c>
      <x:c r="B10" s="1"/>
      <x:c r="C10" s="1"/>
      <x:c r="D10" s="1"/>
      <x:c r="E10" s="1"/>
      <x:c r="F10" s="27" t="n">
        <x:f>'Analysis'!B10</x:f>
        <x:v>0.1267551177133739</x:v>
      </x:c>
      <x:c r="G10" s="1"/>
      <x:c r="H10" s="1"/>
      <x:c r="I10" s="1"/>
      <x:c r="J10" s="1"/>
      <x:c r="K10" s="26" t="n">
        <x:f>'Analysis'!B11</x:f>
        <x:v>10310701.72999999</x:v>
      </x:c>
      <x:c r="L10" s="1"/>
      <x:c r="M10" s="1"/>
      <x:c r="N10" s="1"/>
      <x:c r="O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36" customHeight="1">
      <x:c r="A14" s="8" t="str">
        <x:v>Collector</x:v>
      </x:c>
      <x:c r="B14" s="8" t="str">
        <x:v>Accounts</x:v>
      </x:c>
      <x:c r="C14" s="8" t="str">
        <x:v>Collected</x:v>
      </x:c>
      <x:c r="D14" s="8" t="str">
        <x:v>Recovery %</x:v>
      </x:c>
      <x:c r="E14" s="8" t="str">
        <x:v>RPC coverage</x:v>
      </x:c>
      <x:c r="F14" s="8" t="str">
        <x:v>Rank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 t="str">
        <x:f>'Analysis'!A17</x:f>
        <x:v>Alex</x:v>
      </x:c>
      <x:c r="B15" s="28" t="n">
        <x:f>'Analysis'!B17</x:f>
        <x:v>249</x:v>
      </x:c>
      <x:c r="C15" s="29" t="n">
        <x:f>'Analysis'!D17</x:f>
        <x:v>452475.05000000005</x:v>
      </x:c>
      <x:c r="D15" s="30" t="n">
        <x:f>'Analysis'!E17</x:f>
        <x:v>0.14352038224240127</x:v>
      </x:c>
      <x:c r="E15" s="30" t="n">
        <x:f>'Analysis'!F17</x:f>
        <x:v>0.7269076305220884</x:v>
      </x:c>
      <x:c r="F15" s="28" t="n">
        <x:f>'Analysis'!H17</x:f>
        <x:v>1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 t="str">
        <x:f>'Analysis'!A18</x:f>
        <x:v>Casey</x:v>
      </x:c>
      <x:c r="B16" s="28" t="n">
        <x:f>'Analysis'!B18</x:f>
        <x:v>259</x:v>
      </x:c>
      <x:c r="C16" s="29" t="n">
        <x:f>'Analysis'!D18</x:f>
        <x:v>341964.44</x:v>
      </x:c>
      <x:c r="D16" s="30" t="n">
        <x:f>'Analysis'!E18</x:f>
        <x:v>0.10818786694963374</x:v>
      </x:c>
      <x:c r="E16" s="30" t="n">
        <x:f>'Analysis'!F18</x:f>
        <x:v>0.7142857142857143</x:v>
      </x:c>
      <x:c r="F16" s="28" t="n">
        <x:f>'Analysis'!H18</x:f>
        <x:v>6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f>'Analysis'!A19</x:f>
        <x:v>Jordan</x:v>
      </x:c>
      <x:c r="B17" s="28" t="n">
        <x:f>'Analysis'!B19</x:f>
        <x:v>236</x:v>
      </x:c>
      <x:c r="C17" s="29" t="n">
        <x:f>'Analysis'!D19</x:f>
        <x:v>380785.25999999983</x:v>
      </x:c>
      <x:c r="D17" s="30" t="n">
        <x:f>'Analysis'!E19</x:f>
        <x:v>0.13564401503345813</x:v>
      </x:c>
      <x:c r="E17" s="30" t="n">
        <x:f>'Analysis'!F19</x:f>
        <x:v>0.7076271186440678</x:v>
      </x:c>
      <x:c r="F17" s="28" t="n">
        <x:f>'Analysis'!H19</x:f>
        <x:v>2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f>'Analysis'!A20</x:f>
        <x:v>Morgan</x:v>
      </x:c>
      <x:c r="B18" s="28" t="n">
        <x:f>'Analysis'!B20</x:f>
        <x:v>265</x:v>
      </x:c>
      <x:c r="C18" s="29" t="n">
        <x:f>'Analysis'!D20</x:f>
        <x:v>415076.9600000001</x:v>
      </x:c>
      <x:c r="D18" s="30" t="n">
        <x:f>'Analysis'!E20</x:f>
        <x:v>0.12297277963603262</x:v>
      </x:c>
      <x:c r="E18" s="30" t="n">
        <x:f>'Analysis'!F20</x:f>
        <x:v>0.6867924528301886</x:v>
      </x:c>
      <x:c r="F18" s="28" t="n">
        <x:f>'Analysis'!H20</x:f>
        <x:v>4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f>'Analysis'!A21</x:f>
        <x:v>Riley</x:v>
      </x:c>
      <x:c r="B19" s="28" t="n">
        <x:f>'Analysis'!B21</x:f>
        <x:v>252</x:v>
      </x:c>
      <x:c r="C19" s="29" t="n">
        <x:f>'Analysis'!D21</x:f>
        <x:v>407096.6600000004</x:v>
      </x:c>
      <x:c r="D19" s="30" t="n">
        <x:f>'Analysis'!E21</x:f>
        <x:v>0.13252072559283115</x:v>
      </x:c>
      <x:c r="E19" s="30" t="n">
        <x:f>'Analysis'!F21</x:f>
        <x:v>0.7698412698412699</x:v>
      </x:c>
      <x:c r="F19" s="28" t="n">
        <x:f>'Analysis'!H21</x:f>
        <x:v>3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f>'Analysis'!A22</x:f>
        <x:v>Taylor</x:v>
      </x:c>
      <x:c r="B20" s="28" t="n">
        <x:f>'Analysis'!B22</x:f>
        <x:v>239</x:v>
      </x:c>
      <x:c r="C20" s="29" t="n">
        <x:f>'Analysis'!D22</x:f>
        <x:v>348917.5699999998</x:v>
      </x:c>
      <x:c r="D20" s="30" t="n">
        <x:f>'Analysis'!E22</x:f>
        <x:v>0.11857658885715402</x:v>
      </x:c>
      <x:c r="E20" s="30" t="n">
        <x:f>'Analysis'!F22</x:f>
        <x:v>0.7238493723849372</x:v>
      </x:c>
      <x:c r="F20" s="28" t="n">
        <x:f>'Analysis'!H22</x:f>
        <x:v>5</x:v>
      </x:c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 t="str">
        <x:f>'Analysis'!A23</x:f>
        <x:v>Unassigned</x:v>
      </x:c>
      <x:c r="B21" s="28" t="n">
        <x:f>'Analysis'!B23</x:f>
        <x:v>0</x:v>
      </x:c>
      <x:c r="C21" s="29" t="n">
        <x:f>'Analysis'!D23</x:f>
        <x:v>0</x:v>
      </x:c>
      <x:c r="D21" s="30" t="str">
        <x:f>'Analysis'!E23</x:f>
        <x:v>n.a.</x:v>
      </x:c>
      <x:c r="E21" s="30" t="str">
        <x:f>'Analysis'!F23</x:f>
        <x:v>n.a.</x:v>
      </x:c>
      <x:c r="F21" s="28" t="str">
        <x:f>'Analysis'!H23</x:f>
        <x:v>n.a.</x:v>
      </x:c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7" t="str">
        <x:v>July–September forecast</x:v>
      </x:c>
      <x:c r="J34" s="17"/>
      <x:c r="K34" s="17"/>
      <x:c r="L34" s="17"/>
      <x:c r="M34" s="17"/>
      <x:c r="N34" s="17"/>
      <x:c r="O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 t="str">
        <x:v>Forecast receipts</x:v>
      </x:c>
      <x:c r="J36" s="1"/>
      <x:c r="K36" s="1"/>
      <x:c r="L36" s="12" t="n">
        <x:f>SUM('Analysis'!E49:E51)</x:f>
        <x:v>1992443.6906623198</x:v>
      </x:c>
      <x:c r="M36" s="1"/>
      <x:c r="N36" s="1"/>
      <x:c r="O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 t="str">
        <x:v>Ending balance</x:v>
      </x:c>
      <x:c r="J38" s="1"/>
      <x:c r="K38" s="1"/>
      <x:c r="L38" s="12" t="n">
        <x:f>'Analysis'!F51</x:f>
        <x:v>14171861.339337679</x:v>
      </x:c>
      <x:c r="M38" s="1"/>
      <x:c r="N38" s="1"/>
      <x:c r="O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 t="str">
        <x:v>Edit growth on Analysis.</x:v>
      </x:c>
      <x:c r="J40" s="1"/>
      <x:c r="K40" s="1"/>
      <x:c r="L40" s="1"/>
      <x:c r="M40" s="1"/>
      <x:c r="N40" s="1"/>
      <x:c r="O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 t="str">
        <x:v>Forecast uses trailing 3 months.</x:v>
      </x:c>
      <x:c r="J41" s="1"/>
      <x:c r="K41" s="1"/>
      <x:c r="L41" s="1"/>
      <x:c r="M41" s="1"/>
      <x:c r="N41" s="1"/>
      <x:c r="O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3" customHeight="1">
      <x:c r="A46" s="1" t="str">
        <x:v>Collections measure cash receipts. Synthetic portfolio contains no fees or adjustments.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3" customHeight="1">
      <x:c r="A47" s="1" t="str">
        <x:v>Forecast assumes no new placements. Plan and growth inputs are illustrative.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</x:sheetData>
  <x:pageMargins left="0.7" right="0.7" top="0.75" bottom="0.75" header="0.3" footer="0.3"/>
  <x:drawing xmlns:r="http://schemas.openxmlformats.org/officeDocument/2006/relationships" r:id="R066f0e7e72bf4e9c"/>
</x:worksheet>
</file>

<file path=xl/worksheets/sheet2.xml><?xml version="1.0" encoding="utf-8"?>
<x:worksheet xmlns:x="http://schemas.openxmlformats.org/spreadsheetml/2006/main">
  <x:sheetPr>
    <x:tabColor rgb="FF235789"/>
  </x:sheetPr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3" t="str">
        <x:v>Collections analysis and forecast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7" t="str">
        <x:v>Portfolio KPIs</x:v>
      </x:c>
      <x:c r="B5" s="17"/>
      <x:c r="C5" s="17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Accounts</x:v>
      </x:c>
      <x:c r="B6" s="28" t="n">
        <x:f>COUNTA('Accounts'!$A$5:$A$1504)</x:f>
        <x:v>1500</x:v>
      </x:c>
      <x:c r="C6" s="28"/>
      <x:c r="D6" s="28"/>
      <x:c r="E6" s="28"/>
      <x:c r="F6" s="28"/>
      <x:c r="G6" s="28"/>
      <x:c r="H6" s="28"/>
      <x:c r="I6" s="28"/>
      <x:c r="J6" s="28"/>
      <x:c r="K6" s="1"/>
      <x:c r="L6" s="1"/>
      <x:c r="M6" s="1"/>
      <x:c r="N6" s="1"/>
      <x:c r="O6" s="1"/>
    </x:row>
    <x:row r="7" ht="23" customHeight="1">
      <x:c r="A7" s="1" t="str">
        <x:v>Placed balance</x:v>
      </x:c>
      <x:c r="B7" s="29" t="n">
        <x:f>SUM('Accounts'!$G$5:$G$1504)</x:f>
        <x:v>18510620.97000002</x:v>
      </x:c>
      <x:c r="C7" s="28"/>
      <x:c r="D7" s="28"/>
      <x:c r="E7" s="28"/>
      <x:c r="F7" s="28"/>
      <x:c r="G7" s="28"/>
      <x:c r="H7" s="35" t="str">
        <x:v>Recovery = collected / placed.</x:v>
      </x:c>
      <x:c r="I7" s="28"/>
      <x:c r="J7" s="28"/>
      <x:c r="K7" s="1"/>
      <x:c r="L7" s="1"/>
      <x:c r="M7" s="1"/>
      <x:c r="N7" s="1"/>
      <x:c r="O7" s="1"/>
    </x:row>
    <x:row r="8" ht="23" customHeight="1">
      <x:c r="A8" s="1" t="str">
        <x:v>Collected</x:v>
      </x:c>
      <x:c r="B8" s="29" t="n">
        <x:f>SUM('Accounts'!$L$5:$L$1504)</x:f>
        <x:v>2346315.94</x:v>
      </x:c>
      <x:c r="C8" s="28"/>
      <x:c r="D8" s="28"/>
      <x:c r="E8" s="28"/>
      <x:c r="F8" s="28"/>
      <x:c r="G8" s="28"/>
      <x:c r="H8" s="35" t="str">
        <x:v>90+ DPD includes day 90.</x:v>
      </x:c>
      <x:c r="I8" s="28"/>
      <x:c r="J8" s="28"/>
      <x:c r="K8" s="1"/>
      <x:c r="L8" s="1"/>
      <x:c r="M8" s="1"/>
      <x:c r="N8" s="1"/>
      <x:c r="O8" s="1"/>
    </x:row>
    <x:row r="9" ht="23" customHeight="1">
      <x:c r="A9" s="1" t="str">
        <x:v>Outstanding</x:v>
      </x:c>
      <x:c r="B9" s="29" t="n">
        <x:f>SUM('Accounts'!$M$5:$M$1504)</x:f>
        <x:v>16164305.03</x:v>
      </x:c>
      <x:c r="C9" s="28"/>
      <x:c r="D9" s="28"/>
      <x:c r="E9" s="28"/>
      <x:c r="F9" s="28"/>
      <x:c r="G9" s="28"/>
      <x:c r="H9" s="35" t="str">
        <x:v>RPC coverage = accounts reached / accounts.</x:v>
      </x:c>
      <x:c r="I9" s="28"/>
      <x:c r="J9" s="28"/>
      <x:c r="K9" s="1"/>
      <x:c r="L9" s="1"/>
      <x:c r="M9" s="1"/>
      <x:c r="N9" s="1"/>
      <x:c r="O9" s="1"/>
    </x:row>
    <x:row r="10" ht="23" customHeight="1">
      <x:c r="A10" s="1" t="str">
        <x:v>Recovery rate</x:v>
      </x:c>
      <x:c r="B10" s="30" t="n">
        <x:f>IF(B7=0,"n.a.",B8/B7)</x:f>
        <x:v>0.1267551177133739</x:v>
      </x:c>
      <x:c r="C10" s="28"/>
      <x:c r="D10" s="28"/>
      <x:c r="E10" s="28"/>
      <x:c r="F10" s="28"/>
      <x:c r="G10" s="28"/>
      <x:c r="H10" s="35" t="str">
        <x:v>$/RPC uses RPC contacts as denominator.</x:v>
      </x:c>
      <x:c r="I10" s="28"/>
      <x:c r="J10" s="28"/>
      <x:c r="K10" s="1"/>
      <x:c r="L10" s="1"/>
      <x:c r="M10" s="1"/>
      <x:c r="N10" s="1"/>
      <x:c r="O10" s="1"/>
    </x:row>
    <x:row r="11" ht="23" customHeight="1">
      <x:c r="A11" s="1" t="str">
        <x:v>90+ DPD exposure</x:v>
      </x:c>
      <x:c r="B11" s="29" t="n">
        <x:f>SUMIFS('Accounts'!$M$5:$M$1504,'Accounts'!$H$5:$H$1504,"&gt;=90")</x:f>
        <x:v>10310701.72999999</x:v>
      </x:c>
      <x:c r="C11" s="28"/>
      <x:c r="D11" s="28"/>
      <x:c r="E11" s="28"/>
      <x:c r="F11" s="28"/>
      <x:c r="G11" s="28"/>
      <x:c r="H11" s="28"/>
      <x:c r="I11" s="28"/>
      <x:c r="J11" s="28"/>
      <x:c r="K11" s="1"/>
      <x:c r="L11" s="1"/>
      <x:c r="M11" s="1"/>
      <x:c r="N11" s="1"/>
      <x:c r="O11" s="1"/>
    </x:row>
    <x:row r="12" ht="23" customHeight="1">
      <x:c r="A12" s="1" t="str">
        <x:v>RPC account coverage</x:v>
      </x:c>
      <x:c r="B12" s="30" t="n">
        <x:f>IF(B6=0,"n.a.",SUM('Accounts'!$O$5:$O$1504)/B6)</x:f>
        <x:v>0.7213333333333334</x:v>
      </x:c>
      <x:c r="C12" s="28"/>
      <x:c r="D12" s="28"/>
      <x:c r="E12" s="28"/>
      <x:c r="F12" s="28"/>
      <x:c r="G12" s="28"/>
      <x:c r="H12" s="28"/>
      <x:c r="I12" s="28"/>
      <x:c r="J12" s="28"/>
      <x:c r="K12" s="1"/>
      <x:c r="L12" s="1"/>
      <x:c r="M12" s="1"/>
      <x:c r="N12" s="1"/>
      <x:c r="O12" s="1"/>
    </x:row>
    <x:row r="13" ht="23" customHeight="1">
      <x:c r="A13" s="1" t="str">
        <x:v>Dollars per RPC contact</x:v>
      </x:c>
      <x:c r="B13" s="29" t="n">
        <x:f>IF(SUM('Accounts'!$J$5:$J$1504)=0,"n.a.",B8/SUM('Accounts'!$J$5:$J$1504))</x:f>
        <x:v>998.8573605789697</x:v>
      </x:c>
      <x:c r="C13" s="28"/>
      <x:c r="D13" s="28"/>
      <x:c r="E13" s="28"/>
      <x:c r="F13" s="28"/>
      <x:c r="G13" s="28"/>
      <x:c r="H13" s="28"/>
      <x:c r="I13" s="28"/>
      <x:c r="J13" s="28"/>
      <x:c r="K13" s="1"/>
      <x:c r="L13" s="1"/>
      <x:c r="M13" s="1"/>
      <x:c r="N13" s="1"/>
      <x:c r="O13" s="1"/>
    </x:row>
    <x:row r="14" ht="23" customHeight="1">
      <x:c r="A14" s="1"/>
      <x:c r="B14" s="28"/>
      <x:c r="C14" s="28"/>
      <x:c r="D14" s="28"/>
      <x:c r="E14" s="28"/>
      <x:c r="F14" s="28"/>
      <x:c r="G14" s="28"/>
      <x:c r="H14" s="28"/>
      <x:c r="I14" s="28"/>
      <x:c r="J14" s="28"/>
      <x:c r="K14" s="1"/>
      <x:c r="L14" s="1"/>
      <x:c r="M14" s="1"/>
      <x:c r="N14" s="1"/>
      <x:c r="O14" s="1"/>
    </x:row>
    <x:row r="15" ht="23" customHeight="1">
      <x:c r="A15" s="1"/>
      <x:c r="B15" s="28"/>
      <x:c r="C15" s="28"/>
      <x:c r="D15" s="28"/>
      <x:c r="E15" s="28"/>
      <x:c r="F15" s="28"/>
      <x:c r="G15" s="28"/>
      <x:c r="H15" s="28"/>
      <x:c r="I15" s="28"/>
      <x:c r="J15" s="28"/>
      <x:c r="K15" s="1"/>
      <x:c r="L15" s="1"/>
      <x:c r="M15" s="1"/>
      <x:c r="N15" s="1"/>
      <x:c r="O15" s="1"/>
    </x:row>
    <x:row r="16" ht="36" customHeight="1">
      <x:c r="A16" s="8" t="str">
        <x:v>Collector</x:v>
      </x:c>
      <x:c r="B16" s="31" t="str">
        <x:v>Accounts</x:v>
      </x:c>
      <x:c r="C16" s="31" t="str">
        <x:v>Placed</x:v>
      </x:c>
      <x:c r="D16" s="31" t="str">
        <x:v>Collected</x:v>
      </x:c>
      <x:c r="E16" s="31" t="str">
        <x:v>Recovery %</x:v>
      </x:c>
      <x:c r="F16" s="31" t="str">
        <x:v>RPC coverage</x:v>
      </x:c>
      <x:c r="G16" s="31" t="str">
        <x:v>$/RPC</x:v>
      </x:c>
      <x:c r="H16" s="31" t="str">
        <x:v>Rank</x:v>
      </x:c>
      <x:c r="I16" s="28"/>
      <x:c r="J16" s="28"/>
      <x:c r="K16" s="1"/>
      <x:c r="L16" s="1"/>
      <x:c r="M16" s="1"/>
      <x:c r="N16" s="1"/>
      <x:c r="O16" s="1"/>
    </x:row>
    <x:row r="17" ht="23" customHeight="1">
      <x:c r="A17" s="1" t="str">
        <x:v>Alex</x:v>
      </x:c>
      <x:c r="B17" s="28" t="n">
        <x:f>COUNTIFS('Accounts'!$B$5:$B$1504,A17)</x:f>
        <x:v>249</x:v>
      </x:c>
      <x:c r="C17" s="29" t="n">
        <x:f>SUMIFS('Accounts'!$G$5:$G$1504,'Accounts'!$B$5:$B$1504,A17)</x:f>
        <x:v>3152688.4400000023</x:v>
      </x:c>
      <x:c r="D17" s="29" t="n">
        <x:f>SUMIFS('Accounts'!$L$5:$L$1504,'Accounts'!$B$5:$B$1504,A17)</x:f>
        <x:v>452475.05000000005</x:v>
      </x:c>
      <x:c r="E17" s="30" t="n">
        <x:f>IF(C17=0,"n.a.",D17/C17)</x:f>
        <x:v>0.14352038224240127</x:v>
      </x:c>
      <x:c r="F17" s="30" t="n">
        <x:f>IF(B17=0,"n.a.",SUMIFS('Accounts'!$O$5:$O$1504,'Accounts'!$B$5:$B$1504,A17)/B17)</x:f>
        <x:v>0.7269076305220884</x:v>
      </x:c>
      <x:c r="G17" s="29" t="n">
        <x:f>IF(SUMIFS('Accounts'!$J$5:$J$1504,'Accounts'!$B$5:$B$1504,A17)=0,"n.a.",D17/SUMIFS('Accounts'!$J$5:$J$1504,'Accounts'!$B$5:$B$1504,A17))</x:f>
        <x:v>1243.0633241758244</x:v>
      </x:c>
      <x:c r="H17" s="28" t="n">
        <x:f>IF(B17=0,"n.a.",1+COUNTIFS($E$17:$E$23,"&gt;"&amp;E17))</x:f>
        <x:v>1</x:v>
      </x:c>
      <x:c r="I17" s="28"/>
      <x:c r="J17" s="28"/>
      <x:c r="K17" s="1"/>
      <x:c r="L17" s="1"/>
      <x:c r="M17" s="1"/>
      <x:c r="N17" s="1"/>
      <x:c r="O17" s="1"/>
    </x:row>
    <x:row r="18" ht="23" customHeight="1">
      <x:c r="A18" s="1" t="str">
        <x:v>Casey</x:v>
      </x:c>
      <x:c r="B18" s="28" t="n">
        <x:f>COUNTIFS('Accounts'!$B$5:$B$1504,A18)</x:f>
        <x:v>259</x:v>
      </x:c>
      <x:c r="C18" s="29" t="n">
        <x:f>SUMIFS('Accounts'!$G$5:$G$1504,'Accounts'!$B$5:$B$1504,A18)</x:f>
        <x:v>3160839.0999999996</x:v>
      </x:c>
      <x:c r="D18" s="29" t="n">
        <x:f>SUMIFS('Accounts'!$L$5:$L$1504,'Accounts'!$B$5:$B$1504,A18)</x:f>
        <x:v>341964.44</x:v>
      </x:c>
      <x:c r="E18" s="30" t="n">
        <x:f>IF(C18=0,"n.a.",D18/C18)</x:f>
        <x:v>0.10818786694963374</x:v>
      </x:c>
      <x:c r="F18" s="30" t="n">
        <x:f>IF(B18=0,"n.a.",SUMIFS('Accounts'!$O$5:$O$1504,'Accounts'!$B$5:$B$1504,A18)/B18)</x:f>
        <x:v>0.7142857142857143</x:v>
      </x:c>
      <x:c r="G18" s="29" t="n">
        <x:f>IF(SUMIFS('Accounts'!$J$5:$J$1504,'Accounts'!$B$5:$B$1504,A18)=0,"n.a.",D18/SUMIFS('Accounts'!$J$5:$J$1504,'Accounts'!$B$5:$B$1504,A18))</x:f>
        <x:v>874.5893606138108</x:v>
      </x:c>
      <x:c r="H18" s="28" t="n">
        <x:f>IF(B18=0,"n.a.",1+COUNTIFS($E$17:$E$23,"&gt;"&amp;E18))</x:f>
        <x:v>6</x:v>
      </x:c>
      <x:c r="I18" s="28"/>
      <x:c r="J18" s="28"/>
      <x:c r="K18" s="1"/>
      <x:c r="L18" s="1"/>
      <x:c r="M18" s="1"/>
      <x:c r="N18" s="1"/>
      <x:c r="O18" s="1"/>
    </x:row>
    <x:row r="19" ht="23" customHeight="1">
      <x:c r="A19" s="1" t="str">
        <x:v>Jordan</x:v>
      </x:c>
      <x:c r="B19" s="28" t="n">
        <x:f>COUNTIFS('Accounts'!$B$5:$B$1504,A19)</x:f>
        <x:v>236</x:v>
      </x:c>
      <x:c r="C19" s="29" t="n">
        <x:f>SUMIFS('Accounts'!$G$5:$G$1504,'Accounts'!$B$5:$B$1504,A19)</x:f>
        <x:v>2807239.6699999985</x:v>
      </x:c>
      <x:c r="D19" s="29" t="n">
        <x:f>SUMIFS('Accounts'!$L$5:$L$1504,'Accounts'!$B$5:$B$1504,A19)</x:f>
        <x:v>380785.25999999983</x:v>
      </x:c>
      <x:c r="E19" s="30" t="n">
        <x:f>IF(C19=0,"n.a.",D19/C19)</x:f>
        <x:v>0.13564401503345813</x:v>
      </x:c>
      <x:c r="F19" s="30" t="n">
        <x:f>IF(B19=0,"n.a.",SUMIFS('Accounts'!$O$5:$O$1504,'Accounts'!$B$5:$B$1504,A19)/B19)</x:f>
        <x:v>0.7076271186440678</x:v>
      </x:c>
      <x:c r="G19" s="29" t="n">
        <x:f>IF(SUMIFS('Accounts'!$J$5:$J$1504,'Accounts'!$B$5:$B$1504,A19)=0,"n.a.",D19/SUMIFS('Accounts'!$J$5:$J$1504,'Accounts'!$B$5:$B$1504,A19))</x:f>
        <x:v>1060.6831754874647</x:v>
      </x:c>
      <x:c r="H19" s="28" t="n">
        <x:f>IF(B19=0,"n.a.",1+COUNTIFS($E$17:$E$23,"&gt;"&amp;E19))</x:f>
        <x:v>2</x:v>
      </x:c>
      <x:c r="I19" s="28"/>
      <x:c r="J19" s="28"/>
      <x:c r="K19" s="1"/>
      <x:c r="L19" s="1"/>
      <x:c r="M19" s="1"/>
      <x:c r="N19" s="1"/>
      <x:c r="O19" s="1"/>
    </x:row>
    <x:row r="20" ht="23" customHeight="1">
      <x:c r="A20" s="1" t="str">
        <x:v>Morgan</x:v>
      </x:c>
      <x:c r="B20" s="28" t="n">
        <x:f>COUNTIFS('Accounts'!$B$5:$B$1504,A20)</x:f>
        <x:v>265</x:v>
      </x:c>
      <x:c r="C20" s="29" t="n">
        <x:f>SUMIFS('Accounts'!$G$5:$G$1504,'Accounts'!$B$5:$B$1504,A20)</x:f>
        <x:v>3375356.409999999</x:v>
      </x:c>
      <x:c r="D20" s="29" t="n">
        <x:f>SUMIFS('Accounts'!$L$5:$L$1504,'Accounts'!$B$5:$B$1504,A20)</x:f>
        <x:v>415076.9600000001</x:v>
      </x:c>
      <x:c r="E20" s="30" t="n">
        <x:f>IF(C20=0,"n.a.",D20/C20)</x:f>
        <x:v>0.12297277963603262</x:v>
      </x:c>
      <x:c r="F20" s="30" t="n">
        <x:f>IF(B20=0,"n.a.",SUMIFS('Accounts'!$O$5:$O$1504,'Accounts'!$B$5:$B$1504,A20)/B20)</x:f>
        <x:v>0.6867924528301886</x:v>
      </x:c>
      <x:c r="G20" s="29" t="n">
        <x:f>IF(SUMIFS('Accounts'!$J$5:$J$1504,'Accounts'!$B$5:$B$1504,A20)=0,"n.a.",D20/SUMIFS('Accounts'!$J$5:$J$1504,'Accounts'!$B$5:$B$1504,A20))</x:f>
        <x:v>978.9550943396229</x:v>
      </x:c>
      <x:c r="H20" s="28" t="n">
        <x:f>IF(B20=0,"n.a.",1+COUNTIFS($E$17:$E$23,"&gt;"&amp;E20))</x:f>
        <x:v>4</x:v>
      </x:c>
      <x:c r="I20" s="28"/>
      <x:c r="J20" s="28"/>
      <x:c r="K20" s="1"/>
      <x:c r="L20" s="1"/>
      <x:c r="M20" s="1"/>
      <x:c r="N20" s="1"/>
      <x:c r="O20" s="1"/>
    </x:row>
    <x:row r="21" ht="23" customHeight="1">
      <x:c r="A21" s="1" t="str">
        <x:v>Riley</x:v>
      </x:c>
      <x:c r="B21" s="28" t="n">
        <x:f>COUNTIFS('Accounts'!$B$5:$B$1504,A21)</x:f>
        <x:v>252</x:v>
      </x:c>
      <x:c r="C21" s="29" t="n">
        <x:f>SUMIFS('Accounts'!$G$5:$G$1504,'Accounts'!$B$5:$B$1504,A21)</x:f>
        <x:v>3071947.1099999975</x:v>
      </x:c>
      <x:c r="D21" s="29" t="n">
        <x:f>SUMIFS('Accounts'!$L$5:$L$1504,'Accounts'!$B$5:$B$1504,A21)</x:f>
        <x:v>407096.6600000004</x:v>
      </x:c>
      <x:c r="E21" s="30" t="n">
        <x:f>IF(C21=0,"n.a.",D21/C21)</x:f>
        <x:v>0.13252072559283115</x:v>
      </x:c>
      <x:c r="F21" s="30" t="n">
        <x:f>IF(B21=0,"n.a.",SUMIFS('Accounts'!$O$5:$O$1504,'Accounts'!$B$5:$B$1504,A21)/B21)</x:f>
        <x:v>0.7698412698412699</x:v>
      </x:c>
      <x:c r="G21" s="29" t="n">
        <x:f>IF(SUMIFS('Accounts'!$J$5:$J$1504,'Accounts'!$B$5:$B$1504,A21)=0,"n.a.",D21/SUMIFS('Accounts'!$J$5:$J$1504,'Accounts'!$B$5:$B$1504,A21))</x:f>
        <x:v>916.8843693693702</x:v>
      </x:c>
      <x:c r="H21" s="28" t="n">
        <x:f>IF(B21=0,"n.a.",1+COUNTIFS($E$17:$E$23,"&gt;"&amp;E21))</x:f>
        <x:v>3</x:v>
      </x:c>
      <x:c r="I21" s="28"/>
      <x:c r="J21" s="28"/>
      <x:c r="K21" s="1"/>
      <x:c r="L21" s="1"/>
      <x:c r="M21" s="1"/>
      <x:c r="N21" s="1"/>
      <x:c r="O21" s="1"/>
    </x:row>
    <x:row r="22" ht="23" customHeight="1">
      <x:c r="A22" s="1" t="str">
        <x:v>Taylor</x:v>
      </x:c>
      <x:c r="B22" s="28" t="n">
        <x:f>COUNTIFS('Accounts'!$B$5:$B$1504,A22)</x:f>
        <x:v>239</x:v>
      </x:c>
      <x:c r="C22" s="29" t="n">
        <x:f>SUMIFS('Accounts'!$G$5:$G$1504,'Accounts'!$B$5:$B$1504,A22)</x:f>
        <x:v>2942550.239999999</x:v>
      </x:c>
      <x:c r="D22" s="29" t="n">
        <x:f>SUMIFS('Accounts'!$L$5:$L$1504,'Accounts'!$B$5:$B$1504,A22)</x:f>
        <x:v>348917.5699999998</x:v>
      </x:c>
      <x:c r="E22" s="30" t="n">
        <x:f>IF(C22=0,"n.a.",D22/C22)</x:f>
        <x:v>0.11857658885715402</x:v>
      </x:c>
      <x:c r="F22" s="30" t="n">
        <x:f>IF(B22=0,"n.a.",SUMIFS('Accounts'!$O$5:$O$1504,'Accounts'!$B$5:$B$1504,A22)/B22)</x:f>
        <x:v>0.7238493723849372</x:v>
      </x:c>
      <x:c r="G22" s="29" t="n">
        <x:f>IF(SUMIFS('Accounts'!$J$5:$J$1504,'Accounts'!$B$5:$B$1504,A22)=0,"n.a.",D22/SUMIFS('Accounts'!$J$5:$J$1504,'Accounts'!$B$5:$B$1504,A22))</x:f>
        <x:v>950.7290735694817</x:v>
      </x:c>
      <x:c r="H22" s="28" t="n">
        <x:f>IF(B22=0,"n.a.",1+COUNTIFS($E$17:$E$23,"&gt;"&amp;E22))</x:f>
        <x:v>5</x:v>
      </x:c>
      <x:c r="I22" s="28"/>
      <x:c r="J22" s="28"/>
      <x:c r="K22" s="1"/>
      <x:c r="L22" s="1"/>
      <x:c r="M22" s="1"/>
      <x:c r="N22" s="1"/>
      <x:c r="O22" s="1"/>
    </x:row>
    <x:row r="23" ht="23" customHeight="1">
      <x:c r="A23" s="1" t="str">
        <x:v>Unassigned</x:v>
      </x:c>
      <x:c r="B23" s="28" t="n">
        <x:f>COUNTIFS('Accounts'!$B$5:$B$1504,A23)</x:f>
        <x:v>0</x:v>
      </x:c>
      <x:c r="C23" s="29" t="n">
        <x:f>SUMIFS('Accounts'!$G$5:$G$1504,'Accounts'!$B$5:$B$1504,A23)</x:f>
        <x:v>0</x:v>
      </x:c>
      <x:c r="D23" s="29" t="n">
        <x:f>SUMIFS('Accounts'!$L$5:$L$1504,'Accounts'!$B$5:$B$1504,A23)</x:f>
        <x:v>0</x:v>
      </x:c>
      <x:c r="E23" s="30" t="str">
        <x:f>IF(C23=0,"n.a.",D23/C23)</x:f>
        <x:v>n.a.</x:v>
      </x:c>
      <x:c r="F23" s="30" t="str">
        <x:f>IF(B23=0,"n.a.",SUMIFS('Accounts'!$O$5:$O$1504,'Accounts'!$B$5:$B$1504,A23)/B23)</x:f>
        <x:v>n.a.</x:v>
      </x:c>
      <x:c r="G23" s="29" t="str">
        <x:f>IF(SUMIFS('Accounts'!$J$5:$J$1504,'Accounts'!$B$5:$B$1504,A23)=0,"n.a.",D23/SUMIFS('Accounts'!$J$5:$J$1504,'Accounts'!$B$5:$B$1504,A23))</x:f>
        <x:v>n.a.</x:v>
      </x:c>
      <x:c r="H23" s="28" t="str">
        <x:f>IF(B23=0,"n.a.",1+COUNTIFS($E$17:$E$23,"&gt;"&amp;E23))</x:f>
        <x:v>n.a.</x:v>
      </x:c>
      <x:c r="I23" s="28"/>
      <x:c r="J23" s="28"/>
      <x:c r="K23" s="1"/>
      <x:c r="L23" s="1"/>
      <x:c r="M23" s="1"/>
      <x:c r="N23" s="1"/>
      <x:c r="O23" s="1"/>
    </x:row>
    <x:row r="24" ht="23" customHeight="1">
      <x:c r="A24" s="1"/>
      <x:c r="B24" s="28"/>
      <x:c r="C24" s="28"/>
      <x:c r="D24" s="28"/>
      <x:c r="E24" s="28"/>
      <x:c r="F24" s="28"/>
      <x:c r="G24" s="28"/>
      <x:c r="H24" s="28"/>
      <x:c r="I24" s="28"/>
      <x:c r="J24" s="28"/>
      <x:c r="K24" s="1"/>
      <x:c r="L24" s="1"/>
      <x:c r="M24" s="1"/>
      <x:c r="N24" s="1"/>
      <x:c r="O24" s="1"/>
    </x:row>
    <x:row r="25" ht="23" customHeight="1">
      <x:c r="A25" s="1"/>
      <x:c r="B25" s="28"/>
      <x:c r="C25" s="28"/>
      <x:c r="D25" s="28"/>
      <x:c r="E25" s="28"/>
      <x:c r="F25" s="28"/>
      <x:c r="G25" s="28"/>
      <x:c r="H25" s="28"/>
      <x:c r="I25" s="28"/>
      <x:c r="J25" s="28"/>
      <x:c r="K25" s="1"/>
      <x:c r="L25" s="1"/>
      <x:c r="M25" s="1"/>
      <x:c r="N25" s="1"/>
      <x:c r="O25" s="1"/>
    </x:row>
    <x:row r="26" ht="23" customHeight="1">
      <x:c r="A26" s="1"/>
      <x:c r="B26" s="28"/>
      <x:c r="C26" s="28"/>
      <x:c r="D26" s="28"/>
      <x:c r="E26" s="28"/>
      <x:c r="F26" s="28"/>
      <x:c r="G26" s="28"/>
      <x:c r="H26" s="28"/>
      <x:c r="I26" s="28"/>
      <x:c r="J26" s="28"/>
      <x:c r="K26" s="1"/>
      <x:c r="L26" s="1"/>
      <x:c r="M26" s="1"/>
      <x:c r="N26" s="1"/>
      <x:c r="O26" s="1"/>
    </x:row>
    <x:row r="27" ht="36" customHeight="1">
      <x:c r="A27" s="8" t="str">
        <x:v>Aging bucket</x:v>
      </x:c>
      <x:c r="B27" s="31" t="str">
        <x:v>Accounts</x:v>
      </x:c>
      <x:c r="C27" s="31" t="str">
        <x:v>Outstanding</x:v>
      </x:c>
      <x:c r="D27" s="28"/>
      <x:c r="E27" s="28"/>
      <x:c r="F27" s="28"/>
      <x:c r="G27" s="28"/>
      <x:c r="H27" s="28"/>
      <x:c r="I27" s="28"/>
      <x:c r="J27" s="28"/>
      <x:c r="K27" s="1"/>
      <x:c r="L27" s="1"/>
      <x:c r="M27" s="1"/>
      <x:c r="N27" s="1"/>
      <x:c r="O27" s="1"/>
    </x:row>
    <x:row r="28" ht="23" customHeight="1">
      <x:c r="A28" s="1" t="str">
        <x:v>0 Current</x:v>
      </x:c>
      <x:c r="B28" s="28" t="n">
        <x:f>COUNTIFS('Accounts'!$N$5:$N$1504,A28)</x:f>
        <x:v>10</x:v>
      </x:c>
      <x:c r="C28" s="29" t="n">
        <x:f>SUMIFS('Accounts'!$M$5:$M$1504,'Accounts'!$N$5:$N$1504,A28)</x:f>
        <x:v>117199.47</x:v>
      </x:c>
      <x:c r="D28" s="28"/>
      <x:c r="E28" s="28"/>
      <x:c r="F28" s="28"/>
      <x:c r="G28" s="28"/>
      <x:c r="H28" s="28"/>
      <x:c r="I28" s="28"/>
      <x:c r="J28" s="28"/>
      <x:c r="K28" s="1"/>
      <x:c r="L28" s="1"/>
      <x:c r="M28" s="1"/>
      <x:c r="N28" s="1"/>
      <x:c r="O28" s="1"/>
    </x:row>
    <x:row r="29" ht="23" customHeight="1">
      <x:c r="A29" s="1" t="str">
        <x:v>1 1-30</x:v>
      </x:c>
      <x:c r="B29" s="28" t="n">
        <x:f>COUNTIFS('Accounts'!$N$5:$N$1504,A29)</x:f>
        <x:v>190</x:v>
      </x:c>
      <x:c r="C29" s="29" t="n">
        <x:f>SUMIFS('Accounts'!$M$5:$M$1504,'Accounts'!$N$5:$N$1504,A29)</x:f>
        <x:v>1966073.7099999995</x:v>
      </x:c>
      <x:c r="D29" s="28"/>
      <x:c r="E29" s="28"/>
      <x:c r="F29" s="28"/>
      <x:c r="G29" s="28"/>
      <x:c r="H29" s="28"/>
      <x:c r="I29" s="28"/>
      <x:c r="J29" s="28"/>
      <x:c r="K29" s="1"/>
      <x:c r="L29" s="1"/>
      <x:c r="M29" s="1"/>
      <x:c r="N29" s="1"/>
      <x:c r="O29" s="1"/>
    </x:row>
    <x:row r="30" ht="23" customHeight="1">
      <x:c r="A30" s="1" t="str">
        <x:v>2 31-60</x:v>
      </x:c>
      <x:c r="B30" s="28" t="n">
        <x:f>COUNTIFS('Accounts'!$N$5:$N$1504,A30)</x:f>
        <x:v>182</x:v>
      </x:c>
      <x:c r="C30" s="29" t="n">
        <x:f>SUMIFS('Accounts'!$M$5:$M$1504,'Accounts'!$N$5:$N$1504,A30)</x:f>
        <x:v>2072552.240000001</x:v>
      </x:c>
      <x:c r="D30" s="28"/>
      <x:c r="E30" s="28"/>
      <x:c r="F30" s="28"/>
      <x:c r="G30" s="28"/>
      <x:c r="H30" s="28"/>
      <x:c r="I30" s="28"/>
      <x:c r="J30" s="28"/>
      <x:c r="K30" s="1"/>
      <x:c r="L30" s="1"/>
      <x:c r="M30" s="1"/>
      <x:c r="N30" s="1"/>
      <x:c r="O30" s="1"/>
    </x:row>
    <x:row r="31" ht="23" customHeight="1">
      <x:c r="A31" s="1" t="str">
        <x:v>3 61-90</x:v>
      </x:c>
      <x:c r="B31" s="28" t="n">
        <x:f>COUNTIFS('Accounts'!$N$5:$N$1504,A31)</x:f>
        <x:v>169</x:v>
      </x:c>
      <x:c r="C31" s="29" t="n">
        <x:f>SUMIFS('Accounts'!$M$5:$M$1504,'Accounts'!$N$5:$N$1504,A31)</x:f>
        <x:v>1757121.8599999999</x:v>
      </x:c>
      <x:c r="D31" s="28"/>
      <x:c r="E31" s="28"/>
      <x:c r="F31" s="28"/>
      <x:c r="G31" s="28"/>
      <x:c r="H31" s="28"/>
      <x:c r="I31" s="28"/>
      <x:c r="J31" s="28"/>
      <x:c r="K31" s="1"/>
      <x:c r="L31" s="1"/>
      <x:c r="M31" s="1"/>
      <x:c r="N31" s="1"/>
      <x:c r="O31" s="1"/>
    </x:row>
    <x:row r="32" ht="23" customHeight="1">
      <x:c r="A32" s="1" t="str">
        <x:v>4 91-120</x:v>
      </x:c>
      <x:c r="B32" s="28" t="n">
        <x:f>COUNTIFS('Accounts'!$N$5:$N$1504,A32)</x:f>
        <x:v>202</x:v>
      </x:c>
      <x:c r="C32" s="29" t="n">
        <x:f>SUMIFS('Accounts'!$M$5:$M$1504,'Accounts'!$N$5:$N$1504,A32)</x:f>
        <x:v>2144263.3899999997</x:v>
      </x:c>
      <x:c r="D32" s="28"/>
      <x:c r="E32" s="28"/>
      <x:c r="F32" s="28"/>
      <x:c r="G32" s="28"/>
      <x:c r="H32" s="28"/>
      <x:c r="I32" s="28"/>
      <x:c r="J32" s="28"/>
      <x:c r="K32" s="1"/>
      <x:c r="L32" s="1"/>
      <x:c r="M32" s="1"/>
      <x:c r="N32" s="1"/>
      <x:c r="O32" s="1"/>
    </x:row>
    <x:row r="33" ht="23" customHeight="1">
      <x:c r="A33" s="1" t="str">
        <x:v>5 121+</x:v>
      </x:c>
      <x:c r="B33" s="28" t="n">
        <x:f>COUNTIFS('Accounts'!$N$5:$N$1504,A33)</x:f>
        <x:v>747</x:v>
      </x:c>
      <x:c r="C33" s="29" t="n">
        <x:f>SUMIFS('Accounts'!$M$5:$M$1504,'Accounts'!$N$5:$N$1504,A33)</x:f>
        <x:v>8107094.3599999985</x:v>
      </x:c>
      <x:c r="D33" s="28"/>
      <x:c r="E33" s="28"/>
      <x:c r="F33" s="28"/>
      <x:c r="G33" s="28"/>
      <x:c r="H33" s="28"/>
      <x:c r="I33" s="28"/>
      <x:c r="J33" s="28"/>
      <x:c r="K33" s="1"/>
      <x:c r="L33" s="1"/>
      <x:c r="M33" s="1"/>
      <x:c r="N33" s="1"/>
      <x:c r="O33" s="1"/>
    </x:row>
    <x:row r="34" ht="23" customHeight="1">
      <x:c r="A34" s="1"/>
      <x:c r="B34" s="28"/>
      <x:c r="C34" s="28"/>
      <x:c r="D34" s="28"/>
      <x:c r="E34" s="28"/>
      <x:c r="F34" s="28"/>
      <x:c r="G34" s="28"/>
      <x:c r="H34" s="28"/>
      <x:c r="I34" s="28"/>
      <x:c r="J34" s="28"/>
      <x:c r="K34" s="1"/>
      <x:c r="L34" s="1"/>
      <x:c r="M34" s="1"/>
      <x:c r="N34" s="1"/>
      <x:c r="O34" s="1"/>
    </x:row>
    <x:row r="35" ht="23" customHeight="1">
      <x:c r="A35" s="1"/>
      <x:c r="B35" s="28"/>
      <x:c r="C35" s="28"/>
      <x:c r="D35" s="28"/>
      <x:c r="E35" s="28"/>
      <x:c r="F35" s="28"/>
      <x:c r="G35" s="28"/>
      <x:c r="H35" s="28"/>
      <x:c r="I35" s="28"/>
      <x:c r="J35" s="28"/>
      <x:c r="K35" s="1"/>
      <x:c r="L35" s="1"/>
      <x:c r="M35" s="1"/>
      <x:c r="N35" s="1"/>
      <x:c r="O35" s="1"/>
    </x:row>
    <x:row r="36" ht="23" customHeight="1">
      <x:c r="A36" s="1"/>
      <x:c r="B36" s="28"/>
      <x:c r="C36" s="28"/>
      <x:c r="D36" s="28"/>
      <x:c r="E36" s="28"/>
      <x:c r="F36" s="28"/>
      <x:c r="G36" s="28"/>
      <x:c r="H36" s="28"/>
      <x:c r="I36" s="28"/>
      <x:c r="J36" s="28"/>
      <x:c r="K36" s="1"/>
      <x:c r="L36" s="1"/>
      <x:c r="M36" s="1"/>
      <x:c r="N36" s="1"/>
      <x:c r="O36" s="1"/>
    </x:row>
    <x:row r="37" ht="36" customHeight="1">
      <x:c r="A37" s="8" t="str">
        <x:v>Month</x:v>
      </x:c>
      <x:c r="B37" s="31" t="str">
        <x:v>Collected</x:v>
      </x:c>
      <x:c r="C37" s="31" t="str">
        <x:v>Plan input</x:v>
      </x:c>
      <x:c r="D37" s="31" t="str">
        <x:v>Variance</x:v>
      </x:c>
      <x:c r="E37" s="31" t="str">
        <x:v>Plan attainment</x:v>
      </x:c>
      <x:c r="F37" s="31" t="str">
        <x:v>Chart month</x:v>
      </x:c>
      <x:c r="G37" s="28"/>
      <x:c r="H37" s="28"/>
      <x:c r="I37" s="28"/>
      <x:c r="J37" s="28"/>
      <x:c r="K37" s="1"/>
      <x:c r="L37" s="1"/>
      <x:c r="M37" s="1"/>
      <x:c r="N37" s="1"/>
      <x:c r="O37" s="1"/>
    </x:row>
    <x:row r="38" ht="23" customHeight="1">
      <x:c r="A38" s="19" t="n">
        <x:v>46023</x:v>
      </x:c>
      <x:c r="B38" s="29" t="n">
        <x:f>SUMIFS('Payments'!$D$5:$D$3014,'Payments'!$C$5:$C$3014,"&gt;="&amp;A38,'Payments'!$C$5:$C$3014,"&lt;"&amp;EDATE(A38,1))</x:f>
        <x:v>50351.8</x:v>
      </x:c>
      <x:c r="C38" s="32" t="n">
        <x:v>500000</x:v>
      </x:c>
      <x:c r="D38" s="29" t="n">
        <x:f>B38-C38</x:f>
        <x:v>-449648.19999999995</x:v>
      </x:c>
      <x:c r="E38" s="30" t="n">
        <x:f>IF(C38=0,"n.a.",B38/C38)</x:f>
        <x:v>0.10070360000000005</x:v>
      </x:c>
      <x:c r="F38" s="35" t="str">
        <x:v>Jan</x:v>
      </x:c>
      <x:c r="G38" s="28"/>
      <x:c r="H38" s="35" t="str">
        <x:v>Plan inputs are illustrative.</x:v>
      </x:c>
      <x:c r="I38" s="28"/>
      <x:c r="J38" s="28"/>
      <x:c r="K38" s="1"/>
      <x:c r="L38" s="1"/>
      <x:c r="M38" s="1"/>
      <x:c r="N38" s="1"/>
      <x:c r="O38" s="1"/>
    </x:row>
    <x:row r="39" ht="23" customHeight="1">
      <x:c r="A39" s="19" t="n">
        <x:v>46054</x:v>
      </x:c>
      <x:c r="B39" s="29" t="n">
        <x:f>SUMIFS('Payments'!$D$5:$D$3014,'Payments'!$C$5:$C$3014,"&gt;="&amp;A39,'Payments'!$C$5:$C$3014,"&lt;"&amp;EDATE(A39,1))</x:f>
        <x:v>118583.16</x:v>
      </x:c>
      <x:c r="C39" s="32" t="n">
        <x:v>500000</x:v>
      </x:c>
      <x:c r="D39" s="29" t="n">
        <x:f>B39-C39</x:f>
        <x:v>-381416.84</x:v>
      </x:c>
      <x:c r="E39" s="30" t="n">
        <x:f>IF(C39=0,"n.a.",B39/C39)</x:f>
        <x:v>0.23716631999999999</x:v>
      </x:c>
      <x:c r="F39" s="35" t="str">
        <x:v>Feb</x:v>
      </x:c>
      <x:c r="G39" s="28"/>
      <x:c r="H39" s="35" t="str">
        <x:v>They are not employer targets.</x:v>
      </x:c>
      <x:c r="I39" s="28"/>
      <x:c r="J39" s="28"/>
      <x:c r="K39" s="1"/>
      <x:c r="L39" s="1"/>
      <x:c r="M39" s="1"/>
      <x:c r="N39" s="1"/>
      <x:c r="O39" s="1"/>
    </x:row>
    <x:row r="40" ht="23" customHeight="1">
      <x:c r="A40" s="19" t="n">
        <x:v>46082</x:v>
      </x:c>
      <x:c r="B40" s="29" t="n">
        <x:f>SUMIFS('Payments'!$D$5:$D$3014,'Payments'!$C$5:$C$3014,"&gt;="&amp;A40,'Payments'!$C$5:$C$3014,"&lt;"&amp;EDATE(A40,1))</x:f>
        <x:v>262556.61</x:v>
      </x:c>
      <x:c r="C40" s="32" t="n">
        <x:v>500000</x:v>
      </x:c>
      <x:c r="D40" s="29" t="n">
        <x:f>B40-C40</x:f>
        <x:v>-237443.3899999999</x:v>
      </x:c>
      <x:c r="E40" s="30" t="n">
        <x:f>IF(C40=0,"n.a.",B40/C40)</x:f>
        <x:v>0.5251132200000002</x:v>
      </x:c>
      <x:c r="F40" s="35" t="str">
        <x:v>Mar</x:v>
      </x:c>
      <x:c r="G40" s="28"/>
      <x:c r="H40" s="35"/>
      <x:c r="I40" s="28"/>
      <x:c r="J40" s="28"/>
      <x:c r="K40" s="1"/>
      <x:c r="L40" s="1"/>
      <x:c r="M40" s="1"/>
      <x:c r="N40" s="1"/>
      <x:c r="O40" s="1"/>
    </x:row>
    <x:row r="41" ht="23" customHeight="1">
      <x:c r="A41" s="19" t="n">
        <x:v>46113</x:v>
      </x:c>
      <x:c r="B41" s="29" t="n">
        <x:f>SUMIFS('Payments'!$D$5:$D$3014,'Payments'!$C$5:$C$3014,"&gt;="&amp;A41,'Payments'!$C$5:$C$3014,"&lt;"&amp;EDATE(A41,1))</x:f>
        <x:v>396279.49</x:v>
      </x:c>
      <x:c r="C41" s="32" t="n">
        <x:v>500000</x:v>
      </x:c>
      <x:c r="D41" s="29" t="n">
        <x:f>B41-C41</x:f>
        <x:v>-103720.51000000001</x:v>
      </x:c>
      <x:c r="E41" s="30" t="n">
        <x:f>IF(C41=0,"n.a.",B41/C41)</x:f>
        <x:v>0.79255898</x:v>
      </x:c>
      <x:c r="F41" s="35" t="str">
        <x:v>Apr</x:v>
      </x:c>
      <x:c r="G41" s="28"/>
      <x:c r="H41" s="35"/>
      <x:c r="I41" s="28"/>
      <x:c r="J41" s="28"/>
      <x:c r="K41" s="1"/>
      <x:c r="L41" s="1"/>
      <x:c r="M41" s="1"/>
      <x:c r="N41" s="1"/>
      <x:c r="O41" s="1"/>
    </x:row>
    <x:row r="42" ht="23" customHeight="1">
      <x:c r="A42" s="19" t="n">
        <x:v>46143</x:v>
      </x:c>
      <x:c r="B42" s="29" t="n">
        <x:f>SUMIFS('Payments'!$D$5:$D$3014,'Payments'!$C$5:$C$3014,"&gt;="&amp;A42,'Payments'!$C$5:$C$3014,"&lt;"&amp;EDATE(A42,1))</x:f>
        <x:v>729045.0099999884</x:v>
      </x:c>
      <x:c r="C42" s="32" t="n">
        <x:v>500000</x:v>
      </x:c>
      <x:c r="D42" s="29" t="n">
        <x:f>B42-C42</x:f>
        <x:v>229045.0099999999</x:v>
      </x:c>
      <x:c r="E42" s="30" t="n">
        <x:f>IF(C42=0,"n.a.",B42/C42)</x:f>
        <x:v>1.4580900199999998</x:v>
      </x:c>
      <x:c r="F42" s="35" t="str">
        <x:v>May</x:v>
      </x:c>
      <x:c r="G42" s="28"/>
      <x:c r="H42" s="35"/>
      <x:c r="I42" s="28"/>
      <x:c r="J42" s="28"/>
      <x:c r="K42" s="1"/>
      <x:c r="L42" s="1"/>
      <x:c r="M42" s="1"/>
      <x:c r="N42" s="1"/>
      <x:c r="O42" s="1"/>
    </x:row>
    <x:row r="43" ht="23" customHeight="1">
      <x:c r="A43" s="19" t="n">
        <x:v>46174</x:v>
      </x:c>
      <x:c r="B43" s="29" t="n">
        <x:f>SUMIFS('Payments'!$D$5:$D$3014,'Payments'!$C$5:$C$3014,"&gt;="&amp;A43,'Payments'!$C$5:$C$3014,"&lt;"&amp;EDATE(A43,1))</x:f>
        <x:v>789499.8699999885</x:v>
      </x:c>
      <x:c r="C43" s="32" t="n">
        <x:v>500000</x:v>
      </x:c>
      <x:c r="D43" s="29" t="n">
        <x:f>B43-C43</x:f>
        <x:v>289499.86999999965</x:v>
      </x:c>
      <x:c r="E43" s="30" t="n">
        <x:f>IF(C43=0,"n.a.",B43/C43)</x:f>
        <x:v>1.5789997399999993</x:v>
      </x:c>
      <x:c r="F43" s="35" t="str">
        <x:v>Jun</x:v>
      </x:c>
      <x:c r="G43" s="28"/>
      <x:c r="H43" s="35"/>
      <x:c r="I43" s="28"/>
      <x:c r="J43" s="28"/>
      <x:c r="K43" s="1"/>
      <x:c r="L43" s="1"/>
      <x:c r="M43" s="1"/>
      <x:c r="N43" s="1"/>
      <x:c r="O43" s="1"/>
    </x:row>
    <x:row r="44" ht="23" customHeight="1">
      <x:c r="A44" s="1"/>
      <x:c r="B44" s="28"/>
      <x:c r="C44" s="28"/>
      <x:c r="D44" s="28"/>
      <x:c r="E44" s="28"/>
      <x:c r="F44" s="28"/>
      <x:c r="G44" s="28"/>
      <x:c r="H44" s="35"/>
      <x:c r="I44" s="28"/>
      <x:c r="J44" s="28"/>
      <x:c r="K44" s="1"/>
      <x:c r="L44" s="1"/>
      <x:c r="M44" s="1"/>
      <x:c r="N44" s="1"/>
      <x:c r="O44" s="1"/>
    </x:row>
    <x:row r="45" ht="23" customHeight="1">
      <x:c r="A45" s="1"/>
      <x:c r="B45" s="28"/>
      <x:c r="C45" s="28"/>
      <x:c r="D45" s="28"/>
      <x:c r="E45" s="28"/>
      <x:c r="F45" s="28"/>
      <x:c r="G45" s="28"/>
      <x:c r="H45" s="35"/>
      <x:c r="I45" s="28"/>
      <x:c r="J45" s="28"/>
      <x:c r="K45" s="1"/>
      <x:c r="L45" s="1"/>
      <x:c r="M45" s="1"/>
      <x:c r="N45" s="1"/>
      <x:c r="O45" s="1"/>
    </x:row>
    <x:row r="46" ht="23" customHeight="1">
      <x:c r="A46" s="1"/>
      <x:c r="B46" s="28"/>
      <x:c r="C46" s="28"/>
      <x:c r="D46" s="28"/>
      <x:c r="E46" s="28"/>
      <x:c r="F46" s="28"/>
      <x:c r="G46" s="28"/>
      <x:c r="H46" s="35"/>
      <x:c r="I46" s="28"/>
      <x:c r="J46" s="28"/>
      <x:c r="K46" s="1"/>
      <x:c r="L46" s="1"/>
      <x:c r="M46" s="1"/>
      <x:c r="N46" s="1"/>
      <x:c r="O46" s="1"/>
    </x:row>
    <x:row r="47" ht="23" customHeight="1">
      <x:c r="A47" s="1"/>
      <x:c r="B47" s="28"/>
      <x:c r="C47" s="28"/>
      <x:c r="D47" s="28"/>
      <x:c r="E47" s="28"/>
      <x:c r="F47" s="28"/>
      <x:c r="G47" s="28"/>
      <x:c r="H47" s="35"/>
      <x:c r="I47" s="28"/>
      <x:c r="J47" s="28"/>
      <x:c r="K47" s="1"/>
      <x:c r="L47" s="1"/>
      <x:c r="M47" s="1"/>
      <x:c r="N47" s="1"/>
      <x:c r="O47" s="1"/>
    </x:row>
    <x:row r="48" ht="36" customHeight="1">
      <x:c r="A48" s="8" t="str">
        <x:v>Forecast month</x:v>
      </x:c>
      <x:c r="B48" s="31" t="str">
        <x:v>Starting balance</x:v>
      </x:c>
      <x:c r="C48" s="31" t="str">
        <x:v>Receipt baseline</x:v>
      </x:c>
      <x:c r="D48" s="31" t="str">
        <x:v>Growth input</x:v>
      </x:c>
      <x:c r="E48" s="31" t="str">
        <x:v>Forecast receipts</x:v>
      </x:c>
      <x:c r="F48" s="31" t="str">
        <x:v>Ending balance</x:v>
      </x:c>
      <x:c r="G48" s="28"/>
      <x:c r="H48" s="35"/>
      <x:c r="I48" s="28"/>
      <x:c r="J48" s="28"/>
      <x:c r="K48" s="1"/>
      <x:c r="L48" s="1"/>
      <x:c r="M48" s="1"/>
      <x:c r="N48" s="1"/>
      <x:c r="O48" s="1"/>
    </x:row>
    <x:row r="49" ht="23" customHeight="1">
      <x:c r="A49" s="19" t="n">
        <x:v>46204</x:v>
      </x:c>
      <x:c r="B49" s="29" t="n">
        <x:f>B9</x:f>
        <x:v>16164305.03</x:v>
      </x:c>
      <x:c r="C49" s="29" t="n">
        <x:f>AVERAGE(B41:B43)</x:f>
        <x:v>638274.7899999999</x:v>
      </x:c>
      <x:c r="D49" s="33" t="n">
        <x:v>0.02</x:v>
      </x:c>
      <x:c r="E49" s="29" t="n">
        <x:f>IF(ISNUMBER(D49),MIN(B49,C49*(1+D49)),"Missing growth")</x:f>
        <x:v>651040.2858</x:v>
      </x:c>
      <x:c r="F49" s="29" t="n">
        <x:f>IF(ISNUMBER(E49),B49-E49,"Missing growth")</x:f>
        <x:v>15513264.744199999</x:v>
      </x:c>
      <x:c r="G49" s="28"/>
      <x:c r="H49" s="35" t="str">
        <x:v>Baseline: Apr–Jun receipts average.</x:v>
      </x:c>
      <x:c r="I49" s="28"/>
      <x:c r="J49" s="28"/>
      <x:c r="K49" s="1"/>
      <x:c r="L49" s="1"/>
      <x:c r="M49" s="1"/>
      <x:c r="N49" s="1"/>
      <x:c r="O49" s="1"/>
    </x:row>
    <x:row r="50" ht="23" customHeight="1">
      <x:c r="A50" s="19" t="n">
        <x:v>46235</x:v>
      </x:c>
      <x:c r="B50" s="29" t="n">
        <x:f>F49</x:f>
        <x:v>15513264.744199999</x:v>
      </x:c>
      <x:c r="C50" s="29" t="n">
        <x:f>E49</x:f>
        <x:v>651040.2858</x:v>
      </x:c>
      <x:c r="D50" s="33" t="n">
        <x:v>0.02</x:v>
      </x:c>
      <x:c r="E50" s="29" t="n">
        <x:f>IF(ISNUMBER(D50),MIN(B50,C50*(1+D50)),"Missing growth")</x:f>
        <x:v>664061.091516</x:v>
      </x:c>
      <x:c r="F50" s="29" t="n">
        <x:f>IF(ISNUMBER(E50),B50-E50,"Missing growth")</x:f>
        <x:v>14849203.652684</x:v>
      </x:c>
      <x:c r="G50" s="28"/>
      <x:c r="H50" s="35" t="str">
        <x:v>Growth is an editable assumption.</x:v>
      </x:c>
      <x:c r="I50" s="28"/>
      <x:c r="J50" s="28"/>
      <x:c r="K50" s="1"/>
      <x:c r="L50" s="1"/>
      <x:c r="M50" s="1"/>
      <x:c r="N50" s="1"/>
      <x:c r="O50" s="1"/>
    </x:row>
    <x:row r="51" ht="23" customHeight="1">
      <x:c r="A51" s="19" t="n">
        <x:v>46266</x:v>
      </x:c>
      <x:c r="B51" s="29" t="n">
        <x:f>F50</x:f>
        <x:v>14849203.652684</x:v>
      </x:c>
      <x:c r="C51" s="29" t="n">
        <x:f>E50</x:f>
        <x:v>664061.091516</x:v>
      </x:c>
      <x:c r="D51" s="33" t="n">
        <x:v>0.02</x:v>
      </x:c>
      <x:c r="E51" s="29" t="n">
        <x:f>IF(ISNUMBER(D51),MIN(B51,C51*(1+D51)),"Missing growth")</x:f>
        <x:v>677342.31334632</x:v>
      </x:c>
      <x:c r="F51" s="29" t="n">
        <x:f>IF(ISNUMBER(E51),B51-E51,"Missing growth")</x:f>
        <x:v>14171861.339337679</x:v>
      </x:c>
      <x:c r="G51" s="28"/>
      <x:c r="H51" s="35" t="str">
        <x:v>Forecast capped at remaining balance.</x:v>
      </x:c>
      <x:c r="I51" s="28"/>
      <x:c r="J51" s="28"/>
      <x:c r="K51" s="1"/>
      <x:c r="L51" s="1"/>
      <x:c r="M51" s="1"/>
      <x:c r="N51" s="1"/>
      <x:c r="O51" s="1"/>
    </x:row>
    <x:row r="52" ht="23" customHeight="1">
      <x:c r="A52" s="1"/>
      <x:c r="B52" s="28"/>
      <x:c r="C52" s="28"/>
      <x:c r="D52" s="28"/>
      <x:c r="E52" s="28"/>
      <x:c r="F52" s="28"/>
      <x:c r="G52" s="28"/>
      <x:c r="H52" s="28"/>
      <x:c r="I52" s="28"/>
      <x:c r="J52" s="28"/>
      <x:c r="K52" s="1"/>
      <x:c r="L52" s="1"/>
      <x:c r="M52" s="1"/>
      <x:c r="N52" s="1"/>
      <x:c r="O52" s="1"/>
    </x:row>
    <x:row r="53" ht="23" customHeight="1">
      <x:c r="A53" s="1"/>
      <x:c r="B53" s="28"/>
      <x:c r="C53" s="28"/>
      <x:c r="D53" s="28"/>
      <x:c r="E53" s="28"/>
      <x:c r="F53" s="28"/>
      <x:c r="G53" s="28"/>
      <x:c r="H53" s="28"/>
      <x:c r="I53" s="28"/>
      <x:c r="J53" s="28"/>
      <x:c r="K53" s="1"/>
      <x:c r="L53" s="1"/>
      <x:c r="M53" s="1"/>
      <x:c r="N53" s="1"/>
      <x:c r="O53" s="1"/>
    </x:row>
    <x:row r="54" ht="23" customHeight="1">
      <x:c r="A54" s="1"/>
      <x:c r="B54" s="28"/>
      <x:c r="C54" s="28"/>
      <x:c r="D54" s="28"/>
      <x:c r="E54" s="28"/>
      <x:c r="F54" s="28"/>
      <x:c r="G54" s="28"/>
      <x:c r="H54" s="28"/>
      <x:c r="I54" s="28"/>
      <x:c r="J54" s="28"/>
      <x:c r="K54" s="1"/>
      <x:c r="L54" s="1"/>
      <x:c r="M54" s="1"/>
      <x:c r="N54" s="1"/>
      <x:c r="O54" s="1"/>
    </x:row>
    <x:row r="55" ht="36" customHeight="1">
      <x:c r="A55" s="1"/>
      <x:c r="B55" s="28"/>
      <x:c r="C55" s="28"/>
      <x:c r="D55" s="28"/>
      <x:c r="E55" s="28"/>
      <x:c r="F55" s="28"/>
      <x:c r="G55" s="28"/>
      <x:c r="H55" s="31" t="str">
        <x:v>Reconciliation</x:v>
      </x:c>
      <x:c r="I55" s="31" t="str">
        <x:v>Workbook</x:v>
      </x:c>
      <x:c r="J55" s="31" t="str">
        <x:v>Source delta</x:v>
      </x:c>
      <x:c r="K55" s="1"/>
      <x:c r="L55" s="1"/>
      <x:c r="M55" s="1"/>
      <x:c r="N55" s="1"/>
      <x:c r="O55" s="1"/>
    </x:row>
    <x:row r="56" ht="23" customHeight="1">
      <x:c r="A56" s="1"/>
      <x:c r="B56" s="28"/>
      <x:c r="C56" s="28"/>
      <x:c r="D56" s="28"/>
      <x:c r="E56" s="28"/>
      <x:c r="F56" s="28"/>
      <x:c r="G56" s="28"/>
      <x:c r="H56" s="35" t="str">
        <x:v>Placed balance</x:v>
      </x:c>
      <x:c r="I56" s="34" t="n">
        <x:f>B7</x:f>
        <x:v>18510620.97000002</x:v>
      </x:c>
      <x:c r="J56" s="34" t="n">
        <x:f>I56-18510620.97</x:f>
        <x:v>2.2351741790771484e-8</x:v>
      </x:c>
      <x:c r="K56" s="1"/>
      <x:c r="L56" s="1"/>
      <x:c r="M56" s="1"/>
      <x:c r="N56" s="1"/>
      <x:c r="O56" s="1"/>
    </x:row>
    <x:row r="57" ht="23" customHeight="1">
      <x:c r="A57" s="1"/>
      <x:c r="B57" s="28"/>
      <x:c r="C57" s="28"/>
      <x:c r="D57" s="28"/>
      <x:c r="E57" s="28"/>
      <x:c r="F57" s="28"/>
      <x:c r="G57" s="28"/>
      <x:c r="H57" s="35" t="str">
        <x:v>Payment receipts</x:v>
      </x:c>
      <x:c r="I57" s="34" t="n">
        <x:f>B8</x:f>
        <x:v>2346315.94</x:v>
      </x:c>
      <x:c r="J57" s="34" t="n">
        <x:f>I57-SUM('Payments'!$D$5:$D$3014)</x:f>
        <x:v>-4.6566128730773926e-9</x:v>
      </x:c>
      <x:c r="K57" s="1"/>
      <x:c r="L57" s="1"/>
      <x:c r="M57" s="1"/>
      <x:c r="N57" s="1"/>
      <x:c r="O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</x:sheetData>
  <x:conditionalFormatting sqref="D38:D43">
    <x:cfRule type="cellIs" dxfId="0" priority="1" operator="lessThan">
      <x:formula>0</x:formula>
    </x:cfRule>
  </x:conditionalFormatting>
  <x:dataValidations count="1">
    <x:dataValidation type="decimal" operator="between" sqref="D49:D51">
      <x:formula1>-1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7" hidden="0" customWidth="1"/>
    <x:col min="15" max="15" width="15" hidden="0" customWidth="1"/>
  </x:cols>
  <x:sheetData>
    <x:row r="1" ht="23" customHeight="1">
      <x:c r="A1" s="1" t="str">
        <x:v>Synthetic account snapshots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" t="str">
        <x:v>Source: SQL collections project, seed 42, Jun 30, 2026. Dollar amounts in USD.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 t="str">
        <x:v>Contact counts are staged from SQL; payment totals and balances calculate here.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6" customHeight="1">
      <x:c r="A4" s="8" t="str">
        <x:v>Account ID</x:v>
      </x:c>
      <x:c r="B4" s="8" t="str">
        <x:v>Collector</x:v>
      </x:c>
      <x:c r="C4" s="8" t="str">
        <x:v>Portfolio</x:v>
      </x:c>
      <x:c r="D4" s="8" t="str">
        <x:v>Region</x:v>
      </x:c>
      <x:c r="E4" s="8" t="str">
        <x:v>Credit score</x:v>
      </x:c>
      <x:c r="F4" s="8" t="str">
        <x:v>Placed date</x:v>
      </x:c>
      <x:c r="G4" s="8" t="str">
        <x:v>Placed balance</x:v>
      </x:c>
      <x:c r="H4" s="8" t="str">
        <x:v>Days past due</x:v>
      </x:c>
      <x:c r="I4" s="8" t="str">
        <x:v>Attempts</x:v>
      </x:c>
      <x:c r="J4" s="8" t="str">
        <x:v>RPC contacts</x:v>
      </x:c>
      <x:c r="K4" s="8" t="str">
        <x:v>PTP contacts</x:v>
      </x:c>
      <x:c r="L4" s="8" t="str">
        <x:v>Collected</x:v>
      </x:c>
      <x:c r="M4" s="8" t="str">
        <x:v>Outstanding</x:v>
      </x:c>
      <x:c r="N4" s="8" t="str">
        <x:v>Aging bucket</x:v>
      </x:c>
      <x:c r="O4" s="8" t="str">
        <x:v>RPC reached</x:v>
      </x:c>
    </x:row>
    <x:row r="5" ht="23" customHeight="1">
      <x:c r="A5" s="14" t="str">
        <x:v>1</x:v>
      </x:c>
      <x:c r="B5" s="1" t="str">
        <x:v>Morgan</x:v>
      </x:c>
      <x:c r="C5" s="1" t="str">
        <x:v>Medical</x:v>
      </x:c>
      <x:c r="D5" s="1" t="str">
        <x:v>Northeast</x:v>
      </x:c>
      <x:c r="E5" s="1" t="n">
        <x:v>432</x:v>
      </x:c>
      <x:c r="F5" s="10" t="n">
        <x:v>46068</x:v>
      </x:c>
      <x:c r="G5" s="12" t="n">
        <x:v>23034.25</x:v>
      </x:c>
      <x:c r="H5" s="1" t="n">
        <x:v>186</x:v>
      </x:c>
      <x:c r="I5" s="1" t="n">
        <x:v>4</x:v>
      </x:c>
      <x:c r="J5" s="1" t="n">
        <x:v>1</x:v>
      </x:c>
      <x:c r="K5" s="1" t="n">
        <x:v>0</x:v>
      </x:c>
      <x:c r="L5" s="12" t="n">
        <x:f>SUMIFS('Payments'!$D$5:$D$3014,'Payments'!$B$5:$B$3014,A5)</x:f>
        <x:v>28.21</x:v>
      </x:c>
      <x:c r="M5" s="12" t="n">
        <x:f>G5-L5</x:f>
        <x:v>23006.04</x:v>
      </x:c>
      <x:c r="N5" s="1" t="str">
        <x:f>IF(H5=0,"0 Current",IF(H5&lt;=30,"1 1-30",IF(H5&lt;=60,"2 31-60",IF(H5&lt;=90,"3 61-90",IF(H5&lt;=120,"4 91-120","5 121+")))))</x:f>
        <x:v>5 121+</x:v>
      </x:c>
      <x:c r="O5" s="1" t="n">
        <x:f>IF(J5&gt;0,1,0)</x:f>
        <x:v>1</x:v>
      </x:c>
    </x:row>
    <x:row r="6" ht="23" customHeight="1">
      <x:c r="A6" s="14" t="str">
        <x:v>2</x:v>
      </x:c>
      <x:c r="B6" s="1" t="str">
        <x:v>Alex</x:v>
      </x:c>
      <x:c r="C6" s="1" t="str">
        <x:v>Auto</x:v>
      </x:c>
      <x:c r="D6" s="1" t="str">
        <x:v>Midwest</x:v>
      </x:c>
      <x:c r="E6" s="1" t="n">
        <x:v>545</x:v>
      </x:c>
      <x:c r="F6" s="10" t="n">
        <x:v>46071</x:v>
      </x:c>
      <x:c r="G6" s="12" t="n">
        <x:v>5233.04</x:v>
      </x:c>
      <x:c r="H6" s="1" t="n">
        <x:v>157</x:v>
      </x:c>
      <x:c r="I6" s="1" t="n">
        <x:v>3</x:v>
      </x:c>
      <x:c r="J6" s="1" t="n">
        <x:v>0</x:v>
      </x:c>
      <x:c r="K6" s="1" t="n">
        <x:v>0</x:v>
      </x:c>
      <x:c r="L6" s="12" t="n">
        <x:f>SUMIFS('Payments'!$D$5:$D$3014,'Payments'!$B$5:$B$3014,A6)</x:f>
        <x:v>0</x:v>
      </x:c>
      <x:c r="M6" s="12" t="n">
        <x:f>G6-L6</x:f>
        <x:v>5233.04</x:v>
      </x:c>
      <x:c r="N6" s="1" t="str">
        <x:f>IF(H6=0,"0 Current",IF(H6&lt;=30,"1 1-30",IF(H6&lt;=60,"2 31-60",IF(H6&lt;=90,"3 61-90",IF(H6&lt;=120,"4 91-120","5 121+")))))</x:f>
        <x:v>5 121+</x:v>
      </x:c>
      <x:c r="O6" s="1" t="n">
        <x:f>IF(J6&gt;0,1,0)</x:f>
        <x:v>0</x:v>
      </x:c>
    </x:row>
    <x:row r="7" ht="23" customHeight="1">
      <x:c r="A7" s="14" t="str">
        <x:v>3</x:v>
      </x:c>
      <x:c r="B7" s="1" t="str">
        <x:v>Morgan</x:v>
      </x:c>
      <x:c r="C7" s="1" t="str">
        <x:v>Medical</x:v>
      </x:c>
      <x:c r="D7" s="1" t="str">
        <x:v>South</x:v>
      </x:c>
      <x:c r="E7" s="1" t="n">
        <x:v>491</x:v>
      </x:c>
      <x:c r="F7" s="10" t="n">
        <x:v>46034</x:v>
      </x:c>
      <x:c r="G7" s="12" t="n">
        <x:v>17372.23</x:v>
      </x:c>
      <x:c r="H7" s="1" t="n">
        <x:v>138</x:v>
      </x:c>
      <x:c r="I7" s="1" t="n">
        <x:v>2</x:v>
      </x:c>
      <x:c r="J7" s="1" t="n">
        <x:v>2</x:v>
      </x:c>
      <x:c r="K7" s="1" t="n">
        <x:v>1</x:v>
      </x:c>
      <x:c r="L7" s="12" t="n">
        <x:f>SUMIFS('Payments'!$D$5:$D$3014,'Payments'!$B$5:$B$3014,A7)</x:f>
        <x:v>1987.57</x:v>
      </x:c>
      <x:c r="M7" s="12" t="n">
        <x:f>G7-L7</x:f>
        <x:v>15384.66</x:v>
      </x:c>
      <x:c r="N7" s="1" t="str">
        <x:f>IF(H7=0,"0 Current",IF(H7&lt;=30,"1 1-30",IF(H7&lt;=60,"2 31-60",IF(H7&lt;=90,"3 61-90",IF(H7&lt;=120,"4 91-120","5 121+")))))</x:f>
        <x:v>5 121+</x:v>
      </x:c>
      <x:c r="O7" s="1" t="n">
        <x:f>IF(J7&gt;0,1,0)</x:f>
        <x:v>1</x:v>
      </x:c>
    </x:row>
    <x:row r="8" ht="23" customHeight="1">
      <x:c r="A8" s="14" t="str">
        <x:v>4</x:v>
      </x:c>
      <x:c r="B8" s="1" t="str">
        <x:v>Riley</x:v>
      </x:c>
      <x:c r="C8" s="1" t="str">
        <x:v>Personal Loan</x:v>
      </x:c>
      <x:c r="D8" s="1" t="str">
        <x:v>Northeast</x:v>
      </x:c>
      <x:c r="E8" s="1" t="n">
        <x:v>766</x:v>
      </x:c>
      <x:c r="F8" s="10" t="n">
        <x:v>46170</x:v>
      </x:c>
      <x:c r="G8" s="12" t="n">
        <x:v>13875.79</x:v>
      </x:c>
      <x:c r="H8" s="1" t="n">
        <x:v>60</x:v>
      </x:c>
      <x:c r="I8" s="1" t="n">
        <x:v>4</x:v>
      </x:c>
      <x:c r="J8" s="1" t="n">
        <x:v>2</x:v>
      </x:c>
      <x:c r="K8" s="1" t="n">
        <x:v>1</x:v>
      </x:c>
      <x:c r="L8" s="12" t="n">
        <x:f>SUMIFS('Payments'!$D$5:$D$3014,'Payments'!$B$5:$B$3014,A8)</x:f>
        <x:v>974.99</x:v>
      </x:c>
      <x:c r="M8" s="12" t="n">
        <x:f>G8-L8</x:f>
        <x:v>12900.800000000001</x:v>
      </x:c>
      <x:c r="N8" s="1" t="str">
        <x:f>IF(H8=0,"0 Current",IF(H8&lt;=30,"1 1-30",IF(H8&lt;=60,"2 31-60",IF(H8&lt;=90,"3 61-90",IF(H8&lt;=120,"4 91-120","5 121+")))))</x:f>
        <x:v>2 31-60</x:v>
      </x:c>
      <x:c r="O8" s="1" t="n">
        <x:f>IF(J8&gt;0,1,0)</x:f>
        <x:v>1</x:v>
      </x:c>
    </x:row>
    <x:row r="9" ht="23" customHeight="1">
      <x:c r="A9" s="14" t="str">
        <x:v>5</x:v>
      </x:c>
      <x:c r="B9" s="1" t="str">
        <x:v>Jordan</x:v>
      </x:c>
      <x:c r="C9" s="1" t="str">
        <x:v>Auto</x:v>
      </x:c>
      <x:c r="D9" s="1" t="str">
        <x:v>Northeast</x:v>
      </x:c>
      <x:c r="E9" s="1" t="n">
        <x:v>722</x:v>
      </x:c>
      <x:c r="F9" s="10" t="n">
        <x:v>46120</x:v>
      </x:c>
      <x:c r="G9" s="12" t="n">
        <x:v>22497.57</x:v>
      </x:c>
      <x:c r="H9" s="1" t="n">
        <x:v>104</x:v>
      </x:c>
      <x:c r="I9" s="1" t="n">
        <x:v>2</x:v>
      </x:c>
      <x:c r="J9" s="1" t="n">
        <x:v>0</x:v>
      </x:c>
      <x:c r="K9" s="1" t="n">
        <x:v>0</x:v>
      </x:c>
      <x:c r="L9" s="12" t="n">
        <x:f>SUMIFS('Payments'!$D$5:$D$3014,'Payments'!$B$5:$B$3014,A9)</x:f>
        <x:v>1582.27</x:v>
      </x:c>
      <x:c r="M9" s="12" t="n">
        <x:f>G9-L9</x:f>
        <x:v>20915.3</x:v>
      </x:c>
      <x:c r="N9" s="1" t="str">
        <x:f>IF(H9=0,"0 Current",IF(H9&lt;=30,"1 1-30",IF(H9&lt;=60,"2 31-60",IF(H9&lt;=90,"3 61-90",IF(H9&lt;=120,"4 91-120","5 121+")))))</x:f>
        <x:v>4 91-120</x:v>
      </x:c>
      <x:c r="O9" s="1" t="n">
        <x:f>IF(J9&gt;0,1,0)</x:f>
        <x:v>0</x:v>
      </x:c>
    </x:row>
    <x:row r="10" ht="23" customHeight="1">
      <x:c r="A10" s="14" t="str">
        <x:v>6</x:v>
      </x:c>
      <x:c r="B10" s="1" t="str">
        <x:v>Alex</x:v>
      </x:c>
      <x:c r="C10" s="1" t="str">
        <x:v>Auto</x:v>
      </x:c>
      <x:c r="D10" s="1" t="str">
        <x:v>West</x:v>
      </x:c>
      <x:c r="E10" s="1" t="n">
        <x:v>436</x:v>
      </x:c>
      <x:c r="F10" s="10" t="n">
        <x:v>46059</x:v>
      </x:c>
      <x:c r="G10" s="12" t="n">
        <x:v>19920.68</x:v>
      </x:c>
      <x:c r="H10" s="1" t="n">
        <x:v>106</x:v>
      </x:c>
      <x:c r="I10" s="1" t="n">
        <x:v>7</x:v>
      </x:c>
      <x:c r="J10" s="1" t="n">
        <x:v>4</x:v>
      </x:c>
      <x:c r="K10" s="1" t="n">
        <x:v>0</x:v>
      </x:c>
      <x:c r="L10" s="12" t="n">
        <x:f>SUMIFS('Payments'!$D$5:$D$3014,'Payments'!$B$5:$B$3014,A10)</x:f>
        <x:v>3981.76</x:v>
      </x:c>
      <x:c r="M10" s="12" t="n">
        <x:f>G10-L10</x:f>
        <x:v>15938.92</x:v>
      </x:c>
      <x:c r="N10" s="1" t="str">
        <x:f>IF(H10=0,"0 Current",IF(H10&lt;=30,"1 1-30",IF(H10&lt;=60,"2 31-60",IF(H10&lt;=90,"3 61-90",IF(H10&lt;=120,"4 91-120","5 121+")))))</x:f>
        <x:v>4 91-120</x:v>
      </x:c>
      <x:c r="O10" s="1" t="n">
        <x:f>IF(J10&gt;0,1,0)</x:f>
        <x:v>1</x:v>
      </x:c>
    </x:row>
    <x:row r="11" ht="23" customHeight="1">
      <x:c r="A11" s="14" t="str">
        <x:v>7</x:v>
      </x:c>
      <x:c r="B11" s="1" t="str">
        <x:v>Alex</x:v>
      </x:c>
      <x:c r="C11" s="1" t="str">
        <x:v>Medical</x:v>
      </x:c>
      <x:c r="D11" s="1" t="str">
        <x:v>Northeast</x:v>
      </x:c>
      <x:c r="E11" s="1" t="n">
        <x:v>467</x:v>
      </x:c>
      <x:c r="F11" s="10" t="n">
        <x:v>46108</x:v>
      </x:c>
      <x:c r="G11" s="12" t="n">
        <x:v>13216.62</x:v>
      </x:c>
      <x:c r="H11" s="1" t="n">
        <x:v>239</x:v>
      </x:c>
      <x:c r="I11" s="1" t="n">
        <x:v>7</x:v>
      </x:c>
      <x:c r="J11" s="1" t="n">
        <x:v>3</x:v>
      </x:c>
      <x:c r="K11" s="1" t="n">
        <x:v>0</x:v>
      </x:c>
      <x:c r="L11" s="12" t="n">
        <x:f>SUMIFS('Payments'!$D$5:$D$3014,'Payments'!$B$5:$B$3014,A11)</x:f>
        <x:v>317.53</x:v>
      </x:c>
      <x:c r="M11" s="12" t="n">
        <x:f>G11-L11</x:f>
        <x:v>12899.09</x:v>
      </x:c>
      <x:c r="N11" s="1" t="str">
        <x:f>IF(H11=0,"0 Current",IF(H11&lt;=30,"1 1-30",IF(H11&lt;=60,"2 31-60",IF(H11&lt;=90,"3 61-90",IF(H11&lt;=120,"4 91-120","5 121+")))))</x:f>
        <x:v>5 121+</x:v>
      </x:c>
      <x:c r="O11" s="1" t="n">
        <x:f>IF(J11&gt;0,1,0)</x:f>
        <x:v>1</x:v>
      </x:c>
    </x:row>
    <x:row r="12" ht="23" customHeight="1">
      <x:c r="A12" s="14" t="str">
        <x:v>8</x:v>
      </x:c>
      <x:c r="B12" s="1" t="str">
        <x:v>Taylor</x:v>
      </x:c>
      <x:c r="C12" s="1" t="str">
        <x:v>Auto</x:v>
      </x:c>
      <x:c r="D12" s="1" t="str">
        <x:v>South</x:v>
      </x:c>
      <x:c r="E12" s="1" t="n">
        <x:v>539</x:v>
      </x:c>
      <x:c r="F12" s="10" t="n">
        <x:v>46142</x:v>
      </x:c>
      <x:c r="G12" s="12" t="n">
        <x:v>4635.92</x:v>
      </x:c>
      <x:c r="H12" s="1" t="n">
        <x:v>194</x:v>
      </x:c>
      <x:c r="I12" s="1" t="n">
        <x:v>0</x:v>
      </x:c>
      <x:c r="J12" s="1" t="n">
        <x:v>0</x:v>
      </x:c>
      <x:c r="K12" s="1" t="n">
        <x:v>0</x:v>
      </x:c>
      <x:c r="L12" s="12" t="n">
        <x:f>SUMIFS('Payments'!$D$5:$D$3014,'Payments'!$B$5:$B$3014,A12)</x:f>
        <x:v>358.19</x:v>
      </x:c>
      <x:c r="M12" s="12" t="n">
        <x:f>G12-L12</x:f>
        <x:v>4277.7300000000005</x:v>
      </x:c>
      <x:c r="N12" s="1" t="str">
        <x:f>IF(H12=0,"0 Current",IF(H12&lt;=30,"1 1-30",IF(H12&lt;=60,"2 31-60",IF(H12&lt;=90,"3 61-90",IF(H12&lt;=120,"4 91-120","5 121+")))))</x:f>
        <x:v>5 121+</x:v>
      </x:c>
      <x:c r="O12" s="1" t="n">
        <x:f>IF(J12&gt;0,1,0)</x:f>
        <x:v>0</x:v>
      </x:c>
    </x:row>
    <x:row r="13" ht="23" customHeight="1">
      <x:c r="A13" s="14" t="str">
        <x:v>9</x:v>
      </x:c>
      <x:c r="B13" s="1" t="str">
        <x:v>Taylor</x:v>
      </x:c>
      <x:c r="C13" s="1" t="str">
        <x:v>Medical</x:v>
      </x:c>
      <x:c r="D13" s="1" t="str">
        <x:v>Northeast</x:v>
      </x:c>
      <x:c r="E13" s="1" t="n">
        <x:v>707</x:v>
      </x:c>
      <x:c r="F13" s="10" t="n">
        <x:v>46167</x:v>
      </x:c>
      <x:c r="G13" s="12" t="n">
        <x:v>9780.9</x:v>
      </x:c>
      <x:c r="H13" s="1" t="n">
        <x:v>4</x:v>
      </x:c>
      <x:c r="I13" s="1" t="n">
        <x:v>3</x:v>
      </x:c>
      <x:c r="J13" s="1" t="n">
        <x:v>1</x:v>
      </x:c>
      <x:c r="K13" s="1" t="n">
        <x:v>0</x:v>
      </x:c>
      <x:c r="L13" s="12" t="n">
        <x:f>SUMIFS('Payments'!$D$5:$D$3014,'Payments'!$B$5:$B$3014,A13)</x:f>
        <x:v>1132.14</x:v>
      </x:c>
      <x:c r="M13" s="12" t="n">
        <x:f>G13-L13</x:f>
        <x:v>8648.76</x:v>
      </x:c>
      <x:c r="N13" s="1" t="str">
        <x:f>IF(H13=0,"0 Current",IF(H13&lt;=30,"1 1-30",IF(H13&lt;=60,"2 31-60",IF(H13&lt;=90,"3 61-90",IF(H13&lt;=120,"4 91-120","5 121+")))))</x:f>
        <x:v>1 1-30</x:v>
      </x:c>
      <x:c r="O13" s="1" t="n">
        <x:f>IF(J13&gt;0,1,0)</x:f>
        <x:v>1</x:v>
      </x:c>
    </x:row>
    <x:row r="14" ht="23" customHeight="1">
      <x:c r="A14" s="14" t="str">
        <x:v>10</x:v>
      </x:c>
      <x:c r="B14" s="1" t="str">
        <x:v>Morgan</x:v>
      </x:c>
      <x:c r="C14" s="1" t="str">
        <x:v>Auto</x:v>
      </x:c>
      <x:c r="D14" s="1" t="str">
        <x:v>South</x:v>
      </x:c>
      <x:c r="E14" s="1" t="n">
        <x:v>786</x:v>
      </x:c>
      <x:c r="F14" s="10" t="n">
        <x:v>46109</x:v>
      </x:c>
      <x:c r="G14" s="12" t="n">
        <x:v>11293.06</x:v>
      </x:c>
      <x:c r="H14" s="1" t="n">
        <x:v>117</x:v>
      </x:c>
      <x:c r="I14" s="1" t="n">
        <x:v>2</x:v>
      </x:c>
      <x:c r="J14" s="1" t="n">
        <x:v>1</x:v>
      </x:c>
      <x:c r="K14" s="1" t="n">
        <x:v>1</x:v>
      </x:c>
      <x:c r="L14" s="12" t="n">
        <x:f>SUMIFS('Payments'!$D$5:$D$3014,'Payments'!$B$5:$B$3014,A14)</x:f>
        <x:v>933.2</x:v>
      </x:c>
      <x:c r="M14" s="12" t="n">
        <x:f>G14-L14</x:f>
        <x:v>10359.859999999999</x:v>
      </x:c>
      <x:c r="N14" s="1" t="str">
        <x:f>IF(H14=0,"0 Current",IF(H14&lt;=30,"1 1-30",IF(H14&lt;=60,"2 31-60",IF(H14&lt;=90,"3 61-90",IF(H14&lt;=120,"4 91-120","5 121+")))))</x:f>
        <x:v>4 91-120</x:v>
      </x:c>
      <x:c r="O14" s="1" t="n">
        <x:f>IF(J14&gt;0,1,0)</x:f>
        <x:v>1</x:v>
      </x:c>
    </x:row>
    <x:row r="15" ht="23" customHeight="1">
      <x:c r="A15" s="14" t="str">
        <x:v>11</x:v>
      </x:c>
      <x:c r="B15" s="1" t="str">
        <x:v>Riley</x:v>
      </x:c>
      <x:c r="C15" s="1" t="str">
        <x:v>Credit Card</x:v>
      </x:c>
      <x:c r="D15" s="1" t="str">
        <x:v>West</x:v>
      </x:c>
      <x:c r="E15" s="1" t="n">
        <x:v>532</x:v>
      </x:c>
      <x:c r="F15" s="10" t="n">
        <x:v>46161</x:v>
      </x:c>
      <x:c r="G15" s="12" t="n">
        <x:v>2963.4</x:v>
      </x:c>
      <x:c r="H15" s="1" t="n">
        <x:v>214</x:v>
      </x:c>
      <x:c r="I15" s="1" t="n">
        <x:v>0</x:v>
      </x:c>
      <x:c r="J15" s="1" t="n">
        <x:v>0</x:v>
      </x:c>
      <x:c r="K15" s="1" t="n">
        <x:v>0</x:v>
      </x:c>
      <x:c r="L15" s="12" t="n">
        <x:f>SUMIFS('Payments'!$D$5:$D$3014,'Payments'!$B$5:$B$3014,A15)</x:f>
        <x:v>0</x:v>
      </x:c>
      <x:c r="M15" s="12" t="n">
        <x:f>G15-L15</x:f>
        <x:v>2963.4</x:v>
      </x:c>
      <x:c r="N15" s="1" t="str">
        <x:f>IF(H15=0,"0 Current",IF(H15&lt;=30,"1 1-30",IF(H15&lt;=60,"2 31-60",IF(H15&lt;=90,"3 61-90",IF(H15&lt;=120,"4 91-120","5 121+")))))</x:f>
        <x:v>5 121+</x:v>
      </x:c>
      <x:c r="O15" s="1" t="n">
        <x:f>IF(J15&gt;0,1,0)</x:f>
        <x:v>0</x:v>
      </x:c>
    </x:row>
    <x:row r="16" ht="23" customHeight="1">
      <x:c r="A16" s="14" t="str">
        <x:v>12</x:v>
      </x:c>
      <x:c r="B16" s="1" t="str">
        <x:v>Casey</x:v>
      </x:c>
      <x:c r="C16" s="1" t="str">
        <x:v>Medical</x:v>
      </x:c>
      <x:c r="D16" s="1" t="str">
        <x:v>West</x:v>
      </x:c>
      <x:c r="E16" s="1" t="n">
        <x:v>721</x:v>
      </x:c>
      <x:c r="F16" s="10" t="n">
        <x:v>46024</x:v>
      </x:c>
      <x:c r="G16" s="12" t="n">
        <x:v>17796.98</x:v>
      </x:c>
      <x:c r="H16" s="1" t="n">
        <x:v>17</x:v>
      </x:c>
      <x:c r="I16" s="1" t="n">
        <x:v>8</x:v>
      </x:c>
      <x:c r="J16" s="1" t="n">
        <x:v>4</x:v>
      </x:c>
      <x:c r="K16" s="1" t="n">
        <x:v>1</x:v>
      </x:c>
      <x:c r="L16" s="12" t="n">
        <x:f>SUMIFS('Payments'!$D$5:$D$3014,'Payments'!$B$5:$B$3014,A16)</x:f>
        <x:v>33.96</x:v>
      </x:c>
      <x:c r="M16" s="12" t="n">
        <x:f>G16-L16</x:f>
        <x:v>17763.02</x:v>
      </x:c>
      <x:c r="N16" s="1" t="str">
        <x:f>IF(H16=0,"0 Current",IF(H16&lt;=30,"1 1-30",IF(H16&lt;=60,"2 31-60",IF(H16&lt;=90,"3 61-90",IF(H16&lt;=120,"4 91-120","5 121+")))))</x:f>
        <x:v>1 1-30</x:v>
      </x:c>
      <x:c r="O16" s="1" t="n">
        <x:f>IF(J16&gt;0,1,0)</x:f>
        <x:v>1</x:v>
      </x:c>
    </x:row>
    <x:row r="17" ht="23" customHeight="1">
      <x:c r="A17" s="14" t="str">
        <x:v>13</x:v>
      </x:c>
      <x:c r="B17" s="1" t="str">
        <x:v>Taylor</x:v>
      </x:c>
      <x:c r="C17" s="1" t="str">
        <x:v>Auto</x:v>
      </x:c>
      <x:c r="D17" s="1" t="str">
        <x:v>Midwest</x:v>
      </x:c>
      <x:c r="E17" s="1" t="n">
        <x:v>423</x:v>
      </x:c>
      <x:c r="F17" s="10" t="n">
        <x:v>46027</x:v>
      </x:c>
      <x:c r="G17" s="12" t="n">
        <x:v>21564.46</x:v>
      </x:c>
      <x:c r="H17" s="1" t="n">
        <x:v>206</x:v>
      </x:c>
      <x:c r="I17" s="1" t="n">
        <x:v>8</x:v>
      </x:c>
      <x:c r="J17" s="1" t="n">
        <x:v>2</x:v>
      </x:c>
      <x:c r="K17" s="1" t="n">
        <x:v>1</x:v>
      </x:c>
      <x:c r="L17" s="12" t="n">
        <x:f>SUMIFS('Payments'!$D$5:$D$3014,'Payments'!$B$5:$B$3014,A17)</x:f>
        <x:v>571.07</x:v>
      </x:c>
      <x:c r="M17" s="12" t="n">
        <x:f>G17-L17</x:f>
        <x:v>20993.39</x:v>
      </x:c>
      <x:c r="N17" s="1" t="str">
        <x:f>IF(H17=0,"0 Current",IF(H17&lt;=30,"1 1-30",IF(H17&lt;=60,"2 31-60",IF(H17&lt;=90,"3 61-90",IF(H17&lt;=120,"4 91-120","5 121+")))))</x:f>
        <x:v>5 121+</x:v>
      </x:c>
      <x:c r="O17" s="1" t="n">
        <x:f>IF(J17&gt;0,1,0)</x:f>
        <x:v>1</x:v>
      </x:c>
    </x:row>
    <x:row r="18" ht="23" customHeight="1">
      <x:c r="A18" s="14" t="str">
        <x:v>14</x:v>
      </x:c>
      <x:c r="B18" s="1" t="str">
        <x:v>Morgan</x:v>
      </x:c>
      <x:c r="C18" s="1" t="str">
        <x:v>Auto</x:v>
      </x:c>
      <x:c r="D18" s="1" t="str">
        <x:v>South</x:v>
      </x:c>
      <x:c r="E18" s="1" t="n">
        <x:v>777</x:v>
      </x:c>
      <x:c r="F18" s="10" t="n">
        <x:v>46031</x:v>
      </x:c>
      <x:c r="G18" s="12" t="n">
        <x:v>4421.69</x:v>
      </x:c>
      <x:c r="H18" s="1" t="n">
        <x:v>96</x:v>
      </x:c>
      <x:c r="I18" s="1" t="n">
        <x:v>6</x:v>
      </x:c>
      <x:c r="J18" s="1" t="n">
        <x:v>4</x:v>
      </x:c>
      <x:c r="K18" s="1" t="n">
        <x:v>1</x:v>
      </x:c>
      <x:c r="L18" s="12" t="n">
        <x:f>SUMIFS('Payments'!$D$5:$D$3014,'Payments'!$B$5:$B$3014,A18)</x:f>
        <x:v>1284.03</x:v>
      </x:c>
      <x:c r="M18" s="12" t="n">
        <x:f>G18-L18</x:f>
        <x:v>3137.66</x:v>
      </x:c>
      <x:c r="N18" s="1" t="str">
        <x:f>IF(H18=0,"0 Current",IF(H18&lt;=30,"1 1-30",IF(H18&lt;=60,"2 31-60",IF(H18&lt;=90,"3 61-90",IF(H18&lt;=120,"4 91-120","5 121+")))))</x:f>
        <x:v>4 91-120</x:v>
      </x:c>
      <x:c r="O18" s="1" t="n">
        <x:f>IF(J18&gt;0,1,0)</x:f>
        <x:v>1</x:v>
      </x:c>
    </x:row>
    <x:row r="19" ht="23" customHeight="1">
      <x:c r="A19" s="14" t="str">
        <x:v>15</x:v>
      </x:c>
      <x:c r="B19" s="1" t="str">
        <x:v>Riley</x:v>
      </x:c>
      <x:c r="C19" s="1" t="str">
        <x:v>Credit Card</x:v>
      </x:c>
      <x:c r="D19" s="1" t="str">
        <x:v>West</x:v>
      </x:c>
      <x:c r="E19" s="1" t="n">
        <x:v>594</x:v>
      </x:c>
      <x:c r="F19" s="10" t="n">
        <x:v>46094</x:v>
      </x:c>
      <x:c r="G19" s="12" t="n">
        <x:v>23276.35</x:v>
      </x:c>
      <x:c r="H19" s="1" t="n">
        <x:v>45</x:v>
      </x:c>
      <x:c r="I19" s="1" t="n">
        <x:v>6</x:v>
      </x:c>
      <x:c r="J19" s="1" t="n">
        <x:v>2</x:v>
      </x:c>
      <x:c r="K19" s="1" t="n">
        <x:v>0</x:v>
      </x:c>
      <x:c r="L19" s="12" t="n">
        <x:f>SUMIFS('Payments'!$D$5:$D$3014,'Payments'!$B$5:$B$3014,A19)</x:f>
        <x:v>858.0600000000001</x:v>
      </x:c>
      <x:c r="M19" s="12" t="n">
        <x:f>G19-L19</x:f>
        <x:v>22418.289999999997</x:v>
      </x:c>
      <x:c r="N19" s="1" t="str">
        <x:f>IF(H19=0,"0 Current",IF(H19&lt;=30,"1 1-30",IF(H19&lt;=60,"2 31-60",IF(H19&lt;=90,"3 61-90",IF(H19&lt;=120,"4 91-120","5 121+")))))</x:f>
        <x:v>2 31-60</x:v>
      </x:c>
      <x:c r="O19" s="1" t="n">
        <x:f>IF(J19&gt;0,1,0)</x:f>
        <x:v>1</x:v>
      </x:c>
    </x:row>
    <x:row r="20" ht="23" customHeight="1">
      <x:c r="A20" s="14" t="str">
        <x:v>16</x:v>
      </x:c>
      <x:c r="B20" s="1" t="str">
        <x:v>Taylor</x:v>
      </x:c>
      <x:c r="C20" s="1" t="str">
        <x:v>Personal Loan</x:v>
      </x:c>
      <x:c r="D20" s="1" t="str">
        <x:v>Midwest</x:v>
      </x:c>
      <x:c r="E20" s="1" t="n">
        <x:v>499</x:v>
      </x:c>
      <x:c r="F20" s="10" t="n">
        <x:v>46043</x:v>
      </x:c>
      <x:c r="G20" s="12" t="n">
        <x:v>21504.77</x:v>
      </x:c>
      <x:c r="H20" s="1" t="n">
        <x:v>13</x:v>
      </x:c>
      <x:c r="I20" s="1" t="n">
        <x:v>6</x:v>
      </x:c>
      <x:c r="J20" s="1" t="n">
        <x:v>5</x:v>
      </x:c>
      <x:c r="K20" s="1" t="n">
        <x:v>1</x:v>
      </x:c>
      <x:c r="L20" s="12" t="n">
        <x:f>SUMIFS('Payments'!$D$5:$D$3014,'Payments'!$B$5:$B$3014,A20)</x:f>
        <x:v>0</x:v>
      </x:c>
      <x:c r="M20" s="12" t="n">
        <x:f>G20-L20</x:f>
        <x:v>21504.77</x:v>
      </x:c>
      <x:c r="N20" s="1" t="str">
        <x:f>IF(H20=0,"0 Current",IF(H20&lt;=30,"1 1-30",IF(H20&lt;=60,"2 31-60",IF(H20&lt;=90,"3 61-90",IF(H20&lt;=120,"4 91-120","5 121+")))))</x:f>
        <x:v>1 1-30</x:v>
      </x:c>
      <x:c r="O20" s="1" t="n">
        <x:f>IF(J20&gt;0,1,0)</x:f>
        <x:v>1</x:v>
      </x:c>
    </x:row>
    <x:row r="21" ht="23" customHeight="1">
      <x:c r="A21" s="14" t="str">
        <x:v>17</x:v>
      </x:c>
      <x:c r="B21" s="1" t="str">
        <x:v>Casey</x:v>
      </x:c>
      <x:c r="C21" s="1" t="str">
        <x:v>Personal Loan</x:v>
      </x:c>
      <x:c r="D21" s="1" t="str">
        <x:v>South</x:v>
      </x:c>
      <x:c r="E21" s="1" t="n">
        <x:v>810</x:v>
      </x:c>
      <x:c r="F21" s="10" t="n">
        <x:v>46138</x:v>
      </x:c>
      <x:c r="G21" s="12" t="n">
        <x:v>21077.4</x:v>
      </x:c>
      <x:c r="H21" s="1" t="n">
        <x:v>141</x:v>
      </x:c>
      <x:c r="I21" s="1" t="n">
        <x:v>1</x:v>
      </x:c>
      <x:c r="J21" s="1" t="n">
        <x:v>0</x:v>
      </x:c>
      <x:c r="K21" s="1" t="n">
        <x:v>0</x:v>
      </x:c>
      <x:c r="L21" s="12" t="n">
        <x:f>SUMIFS('Payments'!$D$5:$D$3014,'Payments'!$B$5:$B$3014,A21)</x:f>
        <x:v>5835.42</x:v>
      </x:c>
      <x:c r="M21" s="12" t="n">
        <x:f>G21-L21</x:f>
        <x:v>15241.980000000001</x:v>
      </x:c>
      <x:c r="N21" s="1" t="str">
        <x:f>IF(H21=0,"0 Current",IF(H21&lt;=30,"1 1-30",IF(H21&lt;=60,"2 31-60",IF(H21&lt;=90,"3 61-90",IF(H21&lt;=120,"4 91-120","5 121+")))))</x:f>
        <x:v>5 121+</x:v>
      </x:c>
      <x:c r="O21" s="1" t="n">
        <x:f>IF(J21&gt;0,1,0)</x:f>
        <x:v>0</x:v>
      </x:c>
    </x:row>
    <x:row r="22" ht="23" customHeight="1">
      <x:c r="A22" s="14" t="str">
        <x:v>18</x:v>
      </x:c>
      <x:c r="B22" s="1" t="str">
        <x:v>Taylor</x:v>
      </x:c>
      <x:c r="C22" s="1" t="str">
        <x:v>Auto</x:v>
      </x:c>
      <x:c r="D22" s="1" t="str">
        <x:v>Midwest</x:v>
      </x:c>
      <x:c r="E22" s="1" t="n">
        <x:v>472</x:v>
      </x:c>
      <x:c r="F22" s="10" t="n">
        <x:v>46120</x:v>
      </x:c>
      <x:c r="G22" s="12" t="n">
        <x:v>6970.84</x:v>
      </x:c>
      <x:c r="H22" s="1" t="n">
        <x:v>81</x:v>
      </x:c>
      <x:c r="I22" s="1" t="n">
        <x:v>7</x:v>
      </x:c>
      <x:c r="J22" s="1" t="n">
        <x:v>1</x:v>
      </x:c>
      <x:c r="K22" s="1" t="n">
        <x:v>0</x:v>
      </x:c>
      <x:c r="L22" s="12" t="n">
        <x:f>SUMIFS('Payments'!$D$5:$D$3014,'Payments'!$B$5:$B$3014,A22)</x:f>
        <x:v>166.45000000000002</x:v>
      </x:c>
      <x:c r="M22" s="12" t="n">
        <x:f>G22-L22</x:f>
        <x:v>6804.39</x:v>
      </x:c>
      <x:c r="N22" s="1" t="str">
        <x:f>IF(H22=0,"0 Current",IF(H22&lt;=30,"1 1-30",IF(H22&lt;=60,"2 31-60",IF(H22&lt;=90,"3 61-90",IF(H22&lt;=120,"4 91-120","5 121+")))))</x:f>
        <x:v>3 61-90</x:v>
      </x:c>
      <x:c r="O22" s="1" t="n">
        <x:f>IF(J22&gt;0,1,0)</x:f>
        <x:v>1</x:v>
      </x:c>
    </x:row>
    <x:row r="23" ht="23" customHeight="1">
      <x:c r="A23" s="14" t="str">
        <x:v>19</x:v>
      </x:c>
      <x:c r="B23" s="1" t="str">
        <x:v>Alex</x:v>
      </x:c>
      <x:c r="C23" s="1" t="str">
        <x:v>Personal Loan</x:v>
      </x:c>
      <x:c r="D23" s="1" t="str">
        <x:v>Northeast</x:v>
      </x:c>
      <x:c r="E23" s="1" t="n">
        <x:v>614</x:v>
      </x:c>
      <x:c r="F23" s="10" t="n">
        <x:v>46106</x:v>
      </x:c>
      <x:c r="G23" s="12" t="n">
        <x:v>16658.04</x:v>
      </x:c>
      <x:c r="H23" s="1" t="n">
        <x:v>105</x:v>
      </x:c>
      <x:c r="I23" s="1" t="n">
        <x:v>8</x:v>
      </x:c>
      <x:c r="J23" s="1" t="n">
        <x:v>2</x:v>
      </x:c>
      <x:c r="K23" s="1" t="n">
        <x:v>0</x:v>
      </x:c>
      <x:c r="L23" s="12" t="n">
        <x:f>SUMIFS('Payments'!$D$5:$D$3014,'Payments'!$B$5:$B$3014,A23)</x:f>
        <x:v>4609</x:v>
      </x:c>
      <x:c r="M23" s="12" t="n">
        <x:f>G23-L23</x:f>
        <x:v>12049.04</x:v>
      </x:c>
      <x:c r="N23" s="1" t="str">
        <x:f>IF(H23=0,"0 Current",IF(H23&lt;=30,"1 1-30",IF(H23&lt;=60,"2 31-60",IF(H23&lt;=90,"3 61-90",IF(H23&lt;=120,"4 91-120","5 121+")))))</x:f>
        <x:v>4 91-120</x:v>
      </x:c>
      <x:c r="O23" s="1" t="n">
        <x:f>IF(J23&gt;0,1,0)</x:f>
        <x:v>1</x:v>
      </x:c>
    </x:row>
    <x:row r="24" ht="23" customHeight="1">
      <x:c r="A24" s="14" t="str">
        <x:v>20</x:v>
      </x:c>
      <x:c r="B24" s="1" t="str">
        <x:v>Morgan</x:v>
      </x:c>
      <x:c r="C24" s="1" t="str">
        <x:v>Credit Card</x:v>
      </x:c>
      <x:c r="D24" s="1" t="str">
        <x:v>Northeast</x:v>
      </x:c>
      <x:c r="E24" s="1" t="n">
        <x:v>603</x:v>
      </x:c>
      <x:c r="F24" s="10" t="n">
        <x:v>46149</x:v>
      </x:c>
      <x:c r="G24" s="12" t="n">
        <x:v>8701.88</x:v>
      </x:c>
      <x:c r="H24" s="1" t="n">
        <x:v>34</x:v>
      </x:c>
      <x:c r="I24" s="1" t="n">
        <x:v>6</x:v>
      </x:c>
      <x:c r="J24" s="1" t="n">
        <x:v>4</x:v>
      </x:c>
      <x:c r="K24" s="1" t="n">
        <x:v>1</x:v>
      </x:c>
      <x:c r="L24" s="12" t="n">
        <x:f>SUMIFS('Payments'!$D$5:$D$3014,'Payments'!$B$5:$B$3014,A24)</x:f>
        <x:v>464.31</x:v>
      </x:c>
      <x:c r="M24" s="12" t="n">
        <x:f>G24-L24</x:f>
        <x:v>8237.57</x:v>
      </x:c>
      <x:c r="N24" s="1" t="str">
        <x:f>IF(H24=0,"0 Current",IF(H24&lt;=30,"1 1-30",IF(H24&lt;=60,"2 31-60",IF(H24&lt;=90,"3 61-90",IF(H24&lt;=120,"4 91-120","5 121+")))))</x:f>
        <x:v>2 31-60</x:v>
      </x:c>
      <x:c r="O24" s="1" t="n">
        <x:f>IF(J24&gt;0,1,0)</x:f>
        <x:v>1</x:v>
      </x:c>
    </x:row>
    <x:row r="25" ht="23" customHeight="1">
      <x:c r="A25" s="14" t="str">
        <x:v>21</x:v>
      </x:c>
      <x:c r="B25" s="1" t="str">
        <x:v>Jordan</x:v>
      </x:c>
      <x:c r="C25" s="1" t="str">
        <x:v>Medical</x:v>
      </x:c>
      <x:c r="D25" s="1" t="str">
        <x:v>Midwest</x:v>
      </x:c>
      <x:c r="E25" s="1" t="n">
        <x:v>729</x:v>
      </x:c>
      <x:c r="F25" s="10" t="n">
        <x:v>46074</x:v>
      </x:c>
      <x:c r="G25" s="12" t="n">
        <x:v>20591.12</x:v>
      </x:c>
      <x:c r="H25" s="1" t="n">
        <x:v>101</x:v>
      </x:c>
      <x:c r="I25" s="1" t="n">
        <x:v>5</x:v>
      </x:c>
      <x:c r="J25" s="1" t="n">
        <x:v>2</x:v>
      </x:c>
      <x:c r="K25" s="1" t="n">
        <x:v>1</x:v>
      </x:c>
      <x:c r="L25" s="12" t="n">
        <x:f>SUMIFS('Payments'!$D$5:$D$3014,'Payments'!$B$5:$B$3014,A25)</x:f>
        <x:v>3320.9399999999996</x:v>
      </x:c>
      <x:c r="M25" s="12" t="n">
        <x:f>G25-L25</x:f>
        <x:v>17270.18</x:v>
      </x:c>
      <x:c r="N25" s="1" t="str">
        <x:f>IF(H25=0,"0 Current",IF(H25&lt;=30,"1 1-30",IF(H25&lt;=60,"2 31-60",IF(H25&lt;=90,"3 61-90",IF(H25&lt;=120,"4 91-120","5 121+")))))</x:f>
        <x:v>4 91-120</x:v>
      </x:c>
      <x:c r="O25" s="1" t="n">
        <x:f>IF(J25&gt;0,1,0)</x:f>
        <x:v>1</x:v>
      </x:c>
    </x:row>
    <x:row r="26" ht="23" customHeight="1">
      <x:c r="A26" s="14" t="str">
        <x:v>22</x:v>
      </x:c>
      <x:c r="B26" s="1" t="str">
        <x:v>Morgan</x:v>
      </x:c>
      <x:c r="C26" s="1" t="str">
        <x:v>Personal Loan</x:v>
      </x:c>
      <x:c r="D26" s="1" t="str">
        <x:v>Midwest</x:v>
      </x:c>
      <x:c r="E26" s="1" t="n">
        <x:v>442</x:v>
      </x:c>
      <x:c r="F26" s="10" t="n">
        <x:v>46141</x:v>
      </x:c>
      <x:c r="G26" s="12" t="n">
        <x:v>9293.29</x:v>
      </x:c>
      <x:c r="H26" s="1" t="n">
        <x:v>212</x:v>
      </x:c>
      <x:c r="I26" s="1" t="n">
        <x:v>6</x:v>
      </x:c>
      <x:c r="J26" s="1" t="n">
        <x:v>1</x:v>
      </x:c>
      <x:c r="K26" s="1" t="n">
        <x:v>0</x:v>
      </x:c>
      <x:c r="L26" s="12" t="n">
        <x:f>SUMIFS('Payments'!$D$5:$D$3014,'Payments'!$B$5:$B$3014,A26)</x:f>
        <x:v>0</x:v>
      </x:c>
      <x:c r="M26" s="12" t="n">
        <x:f>G26-L26</x:f>
        <x:v>9293.29</x:v>
      </x:c>
      <x:c r="N26" s="1" t="str">
        <x:f>IF(H26=0,"0 Current",IF(H26&lt;=30,"1 1-30",IF(H26&lt;=60,"2 31-60",IF(H26&lt;=90,"3 61-90",IF(H26&lt;=120,"4 91-120","5 121+")))))</x:f>
        <x:v>5 121+</x:v>
      </x:c>
      <x:c r="O26" s="1" t="n">
        <x:f>IF(J26&gt;0,1,0)</x:f>
        <x:v>1</x:v>
      </x:c>
    </x:row>
    <x:row r="27" ht="23" customHeight="1">
      <x:c r="A27" s="14" t="str">
        <x:v>23</x:v>
      </x:c>
      <x:c r="B27" s="1" t="str">
        <x:v>Riley</x:v>
      </x:c>
      <x:c r="C27" s="1" t="str">
        <x:v>Auto</x:v>
      </x:c>
      <x:c r="D27" s="1" t="str">
        <x:v>West</x:v>
      </x:c>
      <x:c r="E27" s="1" t="n">
        <x:v>694</x:v>
      </x:c>
      <x:c r="F27" s="10" t="n">
        <x:v>46125</x:v>
      </x:c>
      <x:c r="G27" s="12" t="n">
        <x:v>22912.99</x:v>
      </x:c>
      <x:c r="H27" s="1" t="n">
        <x:v>139</x:v>
      </x:c>
      <x:c r="I27" s="1" t="n">
        <x:v>5</x:v>
      </x:c>
      <x:c r="J27" s="1" t="n">
        <x:v>1</x:v>
      </x:c>
      <x:c r="K27" s="1" t="n">
        <x:v>0</x:v>
      </x:c>
      <x:c r="L27" s="12" t="n">
        <x:f>SUMIFS('Payments'!$D$5:$D$3014,'Payments'!$B$5:$B$3014,A27)</x:f>
        <x:v>0</x:v>
      </x:c>
      <x:c r="M27" s="12" t="n">
        <x:f>G27-L27</x:f>
        <x:v>22912.99</x:v>
      </x:c>
      <x:c r="N27" s="1" t="str">
        <x:f>IF(H27=0,"0 Current",IF(H27&lt;=30,"1 1-30",IF(H27&lt;=60,"2 31-60",IF(H27&lt;=90,"3 61-90",IF(H27&lt;=120,"4 91-120","5 121+")))))</x:f>
        <x:v>5 121+</x:v>
      </x:c>
      <x:c r="O27" s="1" t="n">
        <x:f>IF(J27&gt;0,1,0)</x:f>
        <x:v>1</x:v>
      </x:c>
    </x:row>
    <x:row r="28" ht="23" customHeight="1">
      <x:c r="A28" s="14" t="str">
        <x:v>24</x:v>
      </x:c>
      <x:c r="B28" s="1" t="str">
        <x:v>Morgan</x:v>
      </x:c>
      <x:c r="C28" s="1" t="str">
        <x:v>Credit Card</x:v>
      </x:c>
      <x:c r="D28" s="1" t="str">
        <x:v>Northeast</x:v>
      </x:c>
      <x:c r="E28" s="1" t="n">
        <x:v>613</x:v>
      </x:c>
      <x:c r="F28" s="10" t="n">
        <x:v>46125</x:v>
      </x:c>
      <x:c r="G28" s="12" t="n">
        <x:v>14408.17</x:v>
      </x:c>
      <x:c r="H28" s="1" t="n">
        <x:v>2</x:v>
      </x:c>
      <x:c r="I28" s="1" t="n">
        <x:v>4</x:v>
      </x:c>
      <x:c r="J28" s="1" t="n">
        <x:v>0</x:v>
      </x:c>
      <x:c r="K28" s="1" t="n">
        <x:v>0</x:v>
      </x:c>
      <x:c r="L28" s="12" t="n">
        <x:f>SUMIFS('Payments'!$D$5:$D$3014,'Payments'!$B$5:$B$3014,A28)</x:f>
        <x:v>0</x:v>
      </x:c>
      <x:c r="M28" s="12" t="n">
        <x:f>G28-L28</x:f>
        <x:v>14408.17</x:v>
      </x:c>
      <x:c r="N28" s="1" t="str">
        <x:f>IF(H28=0,"0 Current",IF(H28&lt;=30,"1 1-30",IF(H28&lt;=60,"2 31-60",IF(H28&lt;=90,"3 61-90",IF(H28&lt;=120,"4 91-120","5 121+")))))</x:f>
        <x:v>1 1-30</x:v>
      </x:c>
      <x:c r="O28" s="1" t="n">
        <x:f>IF(J28&gt;0,1,0)</x:f>
        <x:v>0</x:v>
      </x:c>
    </x:row>
    <x:row r="29" ht="23" customHeight="1">
      <x:c r="A29" s="14" t="str">
        <x:v>25</x:v>
      </x:c>
      <x:c r="B29" s="1" t="str">
        <x:v>Jordan</x:v>
      </x:c>
      <x:c r="C29" s="1" t="str">
        <x:v>Credit Card</x:v>
      </x:c>
      <x:c r="D29" s="1" t="str">
        <x:v>Northeast</x:v>
      </x:c>
      <x:c r="E29" s="1" t="n">
        <x:v>702</x:v>
      </x:c>
      <x:c r="F29" s="10" t="n">
        <x:v>46151</x:v>
      </x:c>
      <x:c r="G29" s="12" t="n">
        <x:v>6822.7</x:v>
      </x:c>
      <x:c r="H29" s="1" t="n">
        <x:v>123</x:v>
      </x:c>
      <x:c r="I29" s="1" t="n">
        <x:v>4</x:v>
      </x:c>
      <x:c r="J29" s="1" t="n">
        <x:v>1</x:v>
      </x:c>
      <x:c r="K29" s="1" t="n">
        <x:v>1</x:v>
      </x:c>
      <x:c r="L29" s="12" t="n">
        <x:f>SUMIFS('Payments'!$D$5:$D$3014,'Payments'!$B$5:$B$3014,A29)</x:f>
        <x:v>0</x:v>
      </x:c>
      <x:c r="M29" s="12" t="n">
        <x:f>G29-L29</x:f>
        <x:v>6822.7</x:v>
      </x:c>
      <x:c r="N29" s="1" t="str">
        <x:f>IF(H29=0,"0 Current",IF(H29&lt;=30,"1 1-30",IF(H29&lt;=60,"2 31-60",IF(H29&lt;=90,"3 61-90",IF(H29&lt;=120,"4 91-120","5 121+")))))</x:f>
        <x:v>5 121+</x:v>
      </x:c>
      <x:c r="O29" s="1" t="n">
        <x:f>IF(J29&gt;0,1,0)</x:f>
        <x:v>1</x:v>
      </x:c>
    </x:row>
    <x:row r="30" ht="23" customHeight="1">
      <x:c r="A30" s="14" t="str">
        <x:v>26</x:v>
      </x:c>
      <x:c r="B30" s="1" t="str">
        <x:v>Morgan</x:v>
      </x:c>
      <x:c r="C30" s="1" t="str">
        <x:v>Personal Loan</x:v>
      </x:c>
      <x:c r="D30" s="1" t="str">
        <x:v>Midwest</x:v>
      </x:c>
      <x:c r="E30" s="1" t="n">
        <x:v>741</x:v>
      </x:c>
      <x:c r="F30" s="10" t="n">
        <x:v>46075</x:v>
      </x:c>
      <x:c r="G30" s="12" t="n">
        <x:v>22357.14</x:v>
      </x:c>
      <x:c r="H30" s="1" t="n">
        <x:v>121</x:v>
      </x:c>
      <x:c r="I30" s="1" t="n">
        <x:v>7</x:v>
      </x:c>
      <x:c r="J30" s="1" t="n">
        <x:v>2</x:v>
      </x:c>
      <x:c r="K30" s="1" t="n">
        <x:v>1</x:v>
      </x:c>
      <x:c r="L30" s="12" t="n">
        <x:f>SUMIFS('Payments'!$D$5:$D$3014,'Payments'!$B$5:$B$3014,A30)</x:f>
        <x:v>0</x:v>
      </x:c>
      <x:c r="M30" s="12" t="n">
        <x:f>G30-L30</x:f>
        <x:v>22357.14</x:v>
      </x:c>
      <x:c r="N30" s="1" t="str">
        <x:f>IF(H30=0,"0 Current",IF(H30&lt;=30,"1 1-30",IF(H30&lt;=60,"2 31-60",IF(H30&lt;=90,"3 61-90",IF(H30&lt;=120,"4 91-120","5 121+")))))</x:f>
        <x:v>5 121+</x:v>
      </x:c>
      <x:c r="O30" s="1" t="n">
        <x:f>IF(J30&gt;0,1,0)</x:f>
        <x:v>1</x:v>
      </x:c>
    </x:row>
    <x:row r="31" ht="23" customHeight="1">
      <x:c r="A31" s="14" t="str">
        <x:v>27</x:v>
      </x:c>
      <x:c r="B31" s="1" t="str">
        <x:v>Casey</x:v>
      </x:c>
      <x:c r="C31" s="1" t="str">
        <x:v>Auto</x:v>
      </x:c>
      <x:c r="D31" s="1" t="str">
        <x:v>Midwest</x:v>
      </x:c>
      <x:c r="E31" s="1" t="n">
        <x:v>715</x:v>
      </x:c>
      <x:c r="F31" s="10" t="n">
        <x:v>46132</x:v>
      </x:c>
      <x:c r="G31" s="12" t="n">
        <x:v>19879.95</x:v>
      </x:c>
      <x:c r="H31" s="1" t="n">
        <x:v>161</x:v>
      </x:c>
      <x:c r="I31" s="1" t="n">
        <x:v>6</x:v>
      </x:c>
      <x:c r="J31" s="1" t="n">
        <x:v>1</x:v>
      </x:c>
      <x:c r="K31" s="1" t="n">
        <x:v>0</x:v>
      </x:c>
      <x:c r="L31" s="12" t="n">
        <x:f>SUMIFS('Payments'!$D$5:$D$3014,'Payments'!$B$5:$B$3014,A31)</x:f>
        <x:v>498.6</x:v>
      </x:c>
      <x:c r="M31" s="12" t="n">
        <x:f>G31-L31</x:f>
        <x:v>19381.350000000002</x:v>
      </x:c>
      <x:c r="N31" s="1" t="str">
        <x:f>IF(H31=0,"0 Current",IF(H31&lt;=30,"1 1-30",IF(H31&lt;=60,"2 31-60",IF(H31&lt;=90,"3 61-90",IF(H31&lt;=120,"4 91-120","5 121+")))))</x:f>
        <x:v>5 121+</x:v>
      </x:c>
      <x:c r="O31" s="1" t="n">
        <x:f>IF(J31&gt;0,1,0)</x:f>
        <x:v>1</x:v>
      </x:c>
    </x:row>
    <x:row r="32" ht="23" customHeight="1">
      <x:c r="A32" s="14" t="str">
        <x:v>28</x:v>
      </x:c>
      <x:c r="B32" s="1" t="str">
        <x:v>Morgan</x:v>
      </x:c>
      <x:c r="C32" s="1" t="str">
        <x:v>Credit Card</x:v>
      </x:c>
      <x:c r="D32" s="1" t="str">
        <x:v>South</x:v>
      </x:c>
      <x:c r="E32" s="1" t="n">
        <x:v>780</x:v>
      </x:c>
      <x:c r="F32" s="10" t="n">
        <x:v>46106</x:v>
      </x:c>
      <x:c r="G32" s="12" t="n">
        <x:v>8765.89</x:v>
      </x:c>
      <x:c r="H32" s="1" t="n">
        <x:v>67</x:v>
      </x:c>
      <x:c r="I32" s="1" t="n">
        <x:v>6</x:v>
      </x:c>
      <x:c r="J32" s="1" t="n">
        <x:v>3</x:v>
      </x:c>
      <x:c r="K32" s="1" t="n">
        <x:v>1</x:v>
      </x:c>
      <x:c r="L32" s="12" t="n">
        <x:f>SUMIFS('Payments'!$D$5:$D$3014,'Payments'!$B$5:$B$3014,A32)</x:f>
        <x:v>1641.85</x:v>
      </x:c>
      <x:c r="M32" s="12" t="n">
        <x:f>G32-L32</x:f>
        <x:v>7124.039999999999</x:v>
      </x:c>
      <x:c r="N32" s="1" t="str">
        <x:f>IF(H32=0,"0 Current",IF(H32&lt;=30,"1 1-30",IF(H32&lt;=60,"2 31-60",IF(H32&lt;=90,"3 61-90",IF(H32&lt;=120,"4 91-120","5 121+")))))</x:f>
        <x:v>3 61-90</x:v>
      </x:c>
      <x:c r="O32" s="1" t="n">
        <x:f>IF(J32&gt;0,1,0)</x:f>
        <x:v>1</x:v>
      </x:c>
    </x:row>
    <x:row r="33" ht="23" customHeight="1">
      <x:c r="A33" s="14" t="str">
        <x:v>29</x:v>
      </x:c>
      <x:c r="B33" s="1" t="str">
        <x:v>Alex</x:v>
      </x:c>
      <x:c r="C33" s="1" t="str">
        <x:v>Medical</x:v>
      </x:c>
      <x:c r="D33" s="1" t="str">
        <x:v>Northeast</x:v>
      </x:c>
      <x:c r="E33" s="1" t="n">
        <x:v>443</x:v>
      </x:c>
      <x:c r="F33" s="10" t="n">
        <x:v>46057</x:v>
      </x:c>
      <x:c r="G33" s="12" t="n">
        <x:v>13635.96</x:v>
      </x:c>
      <x:c r="H33" s="1" t="n">
        <x:v>78</x:v>
      </x:c>
      <x:c r="I33" s="1" t="n">
        <x:v>2</x:v>
      </x:c>
      <x:c r="J33" s="1" t="n">
        <x:v>1</x:v>
      </x:c>
      <x:c r="K33" s="1" t="n">
        <x:v>0</x:v>
      </x:c>
      <x:c r="L33" s="12" t="n">
        <x:f>SUMIFS('Payments'!$D$5:$D$3014,'Payments'!$B$5:$B$3014,A33)</x:f>
        <x:v>0</x:v>
      </x:c>
      <x:c r="M33" s="12" t="n">
        <x:f>G33-L33</x:f>
        <x:v>13635.96</x:v>
      </x:c>
      <x:c r="N33" s="1" t="str">
        <x:f>IF(H33=0,"0 Current",IF(H33&lt;=30,"1 1-30",IF(H33&lt;=60,"2 31-60",IF(H33&lt;=90,"3 61-90",IF(H33&lt;=120,"4 91-120","5 121+")))))</x:f>
        <x:v>3 61-90</x:v>
      </x:c>
      <x:c r="O33" s="1" t="n">
        <x:f>IF(J33&gt;0,1,0)</x:f>
        <x:v>1</x:v>
      </x:c>
    </x:row>
    <x:row r="34" ht="23" customHeight="1">
      <x:c r="A34" s="14" t="str">
        <x:v>30</x:v>
      </x:c>
      <x:c r="B34" s="1" t="str">
        <x:v>Morgan</x:v>
      </x:c>
      <x:c r="C34" s="1" t="str">
        <x:v>Auto</x:v>
      </x:c>
      <x:c r="D34" s="1" t="str">
        <x:v>South</x:v>
      </x:c>
      <x:c r="E34" s="1" t="n">
        <x:v>815</x:v>
      </x:c>
      <x:c r="F34" s="10" t="n">
        <x:v>46058</x:v>
      </x:c>
      <x:c r="G34" s="12" t="n">
        <x:v>24609.11</x:v>
      </x:c>
      <x:c r="H34" s="1" t="n">
        <x:v>47</x:v>
      </x:c>
      <x:c r="I34" s="1" t="n">
        <x:v>2</x:v>
      </x:c>
      <x:c r="J34" s="1" t="n">
        <x:v>1</x:v>
      </x:c>
      <x:c r="K34" s="1" t="n">
        <x:v>0</x:v>
      </x:c>
      <x:c r="L34" s="12" t="n">
        <x:f>SUMIFS('Payments'!$D$5:$D$3014,'Payments'!$B$5:$B$3014,A34)</x:f>
        <x:v>8323.880000000001</x:v>
      </x:c>
      <x:c r="M34" s="12" t="n">
        <x:f>G34-L34</x:f>
        <x:v>16285.23</x:v>
      </x:c>
      <x:c r="N34" s="1" t="str">
        <x:f>IF(H34=0,"0 Current",IF(H34&lt;=30,"1 1-30",IF(H34&lt;=60,"2 31-60",IF(H34&lt;=90,"3 61-90",IF(H34&lt;=120,"4 91-120","5 121+")))))</x:f>
        <x:v>2 31-60</x:v>
      </x:c>
      <x:c r="O34" s="1" t="n">
        <x:f>IF(J34&gt;0,1,0)</x:f>
        <x:v>1</x:v>
      </x:c>
    </x:row>
    <x:row r="35" ht="23" customHeight="1">
      <x:c r="A35" s="14" t="str">
        <x:v>31</x:v>
      </x:c>
      <x:c r="B35" s="1" t="str">
        <x:v>Morgan</x:v>
      </x:c>
      <x:c r="C35" s="1" t="str">
        <x:v>Medical</x:v>
      </x:c>
      <x:c r="D35" s="1" t="str">
        <x:v>Midwest</x:v>
      </x:c>
      <x:c r="E35" s="1" t="n">
        <x:v>460</x:v>
      </x:c>
      <x:c r="F35" s="10" t="n">
        <x:v>46114</x:v>
      </x:c>
      <x:c r="G35" s="12" t="n">
        <x:v>901.95</x:v>
      </x:c>
      <x:c r="H35" s="1" t="n">
        <x:v>49</x:v>
      </x:c>
      <x:c r="I35" s="1" t="n">
        <x:v>7</x:v>
      </x:c>
      <x:c r="J35" s="1" t="n">
        <x:v>0</x:v>
      </x:c>
      <x:c r="K35" s="1" t="n">
        <x:v>0</x:v>
      </x:c>
      <x:c r="L35" s="12" t="n">
        <x:f>SUMIFS('Payments'!$D$5:$D$3014,'Payments'!$B$5:$B$3014,A35)</x:f>
        <x:v>283.65</x:v>
      </x:c>
      <x:c r="M35" s="12" t="n">
        <x:f>G35-L35</x:f>
        <x:v>618.3000000000001</x:v>
      </x:c>
      <x:c r="N35" s="1" t="str">
        <x:f>IF(H35=0,"0 Current",IF(H35&lt;=30,"1 1-30",IF(H35&lt;=60,"2 31-60",IF(H35&lt;=90,"3 61-90",IF(H35&lt;=120,"4 91-120","5 121+")))))</x:f>
        <x:v>2 31-60</x:v>
      </x:c>
      <x:c r="O35" s="1" t="n">
        <x:f>IF(J35&gt;0,1,0)</x:f>
        <x:v>0</x:v>
      </x:c>
    </x:row>
    <x:row r="36" ht="23" customHeight="1">
      <x:c r="A36" s="14" t="str">
        <x:v>32</x:v>
      </x:c>
      <x:c r="B36" s="1" t="str">
        <x:v>Alex</x:v>
      </x:c>
      <x:c r="C36" s="1" t="str">
        <x:v>Personal Loan</x:v>
      </x:c>
      <x:c r="D36" s="1" t="str">
        <x:v>South</x:v>
      </x:c>
      <x:c r="E36" s="1" t="n">
        <x:v>471</x:v>
      </x:c>
      <x:c r="F36" s="10" t="n">
        <x:v>46051</x:v>
      </x:c>
      <x:c r="G36" s="12" t="n">
        <x:v>24521.36</x:v>
      </x:c>
      <x:c r="H36" s="1" t="n">
        <x:v>198</x:v>
      </x:c>
      <x:c r="I36" s="1" t="n">
        <x:v>3</x:v>
      </x:c>
      <x:c r="J36" s="1" t="n">
        <x:v>2</x:v>
      </x:c>
      <x:c r="K36" s="1" t="n">
        <x:v>0</x:v>
      </x:c>
      <x:c r="L36" s="12" t="n">
        <x:f>SUMIFS('Payments'!$D$5:$D$3014,'Payments'!$B$5:$B$3014,A36)</x:f>
        <x:v>7275.050000000001</x:v>
      </x:c>
      <x:c r="M36" s="12" t="n">
        <x:f>G36-L36</x:f>
        <x:v>17246.309999999998</x:v>
      </x:c>
      <x:c r="N36" s="1" t="str">
        <x:f>IF(H36=0,"0 Current",IF(H36&lt;=30,"1 1-30",IF(H36&lt;=60,"2 31-60",IF(H36&lt;=90,"3 61-90",IF(H36&lt;=120,"4 91-120","5 121+")))))</x:f>
        <x:v>5 121+</x:v>
      </x:c>
      <x:c r="O36" s="1" t="n">
        <x:f>IF(J36&gt;0,1,0)</x:f>
        <x:v>1</x:v>
      </x:c>
    </x:row>
    <x:row r="37" ht="23" customHeight="1">
      <x:c r="A37" s="14" t="str">
        <x:v>33</x:v>
      </x:c>
      <x:c r="B37" s="1" t="str">
        <x:v>Alex</x:v>
      </x:c>
      <x:c r="C37" s="1" t="str">
        <x:v>Medical</x:v>
      </x:c>
      <x:c r="D37" s="1" t="str">
        <x:v>West</x:v>
      </x:c>
      <x:c r="E37" s="1" t="n">
        <x:v>562</x:v>
      </x:c>
      <x:c r="F37" s="10" t="n">
        <x:v>46045</x:v>
      </x:c>
      <x:c r="G37" s="12" t="n">
        <x:v>18915.92</x:v>
      </x:c>
      <x:c r="H37" s="1" t="n">
        <x:v>53</x:v>
      </x:c>
      <x:c r="I37" s="1" t="n">
        <x:v>2</x:v>
      </x:c>
      <x:c r="J37" s="1" t="n">
        <x:v>1</x:v>
      </x:c>
      <x:c r="K37" s="1" t="n">
        <x:v>0</x:v>
      </x:c>
      <x:c r="L37" s="12" t="n">
        <x:f>SUMIFS('Payments'!$D$5:$D$3014,'Payments'!$B$5:$B$3014,A37)</x:f>
        <x:v>6197.579999999999</x:v>
      </x:c>
      <x:c r="M37" s="12" t="n">
        <x:f>G37-L37</x:f>
        <x:v>12718.34</x:v>
      </x:c>
      <x:c r="N37" s="1" t="str">
        <x:f>IF(H37=0,"0 Current",IF(H37&lt;=30,"1 1-30",IF(H37&lt;=60,"2 31-60",IF(H37&lt;=90,"3 61-90",IF(H37&lt;=120,"4 91-120","5 121+")))))</x:f>
        <x:v>2 31-60</x:v>
      </x:c>
      <x:c r="O37" s="1" t="n">
        <x:f>IF(J37&gt;0,1,0)</x:f>
        <x:v>1</x:v>
      </x:c>
    </x:row>
    <x:row r="38" ht="23" customHeight="1">
      <x:c r="A38" s="14" t="str">
        <x:v>34</x:v>
      </x:c>
      <x:c r="B38" s="1" t="str">
        <x:v>Riley</x:v>
      </x:c>
      <x:c r="C38" s="1" t="str">
        <x:v>Medical</x:v>
      </x:c>
      <x:c r="D38" s="1" t="str">
        <x:v>West</x:v>
      </x:c>
      <x:c r="E38" s="1" t="n">
        <x:v>745</x:v>
      </x:c>
      <x:c r="F38" s="10" t="n">
        <x:v>46159</x:v>
      </x:c>
      <x:c r="G38" s="12" t="n">
        <x:v>12289.56</x:v>
      </x:c>
      <x:c r="H38" s="1" t="n">
        <x:v>82</x:v>
      </x:c>
      <x:c r="I38" s="1" t="n">
        <x:v>1</x:v>
      </x:c>
      <x:c r="J38" s="1" t="n">
        <x:v>1</x:v>
      </x:c>
      <x:c r="K38" s="1" t="n">
        <x:v>1</x:v>
      </x:c>
      <x:c r="L38" s="12" t="n">
        <x:f>SUMIFS('Payments'!$D$5:$D$3014,'Payments'!$B$5:$B$3014,A38)</x:f>
        <x:v>1479.2800000000002</x:v>
      </x:c>
      <x:c r="M38" s="12" t="n">
        <x:f>G38-L38</x:f>
        <x:v>10810.279999999999</x:v>
      </x:c>
      <x:c r="N38" s="1" t="str">
        <x:f>IF(H38=0,"0 Current",IF(H38&lt;=30,"1 1-30",IF(H38&lt;=60,"2 31-60",IF(H38&lt;=90,"3 61-90",IF(H38&lt;=120,"4 91-120","5 121+")))))</x:f>
        <x:v>3 61-90</x:v>
      </x:c>
      <x:c r="O38" s="1" t="n">
        <x:f>IF(J38&gt;0,1,0)</x:f>
        <x:v>1</x:v>
      </x:c>
    </x:row>
    <x:row r="39" ht="23" customHeight="1">
      <x:c r="A39" s="14" t="str">
        <x:v>35</x:v>
      </x:c>
      <x:c r="B39" s="1" t="str">
        <x:v>Jordan</x:v>
      </x:c>
      <x:c r="C39" s="1" t="str">
        <x:v>Medical</x:v>
      </x:c>
      <x:c r="D39" s="1" t="str">
        <x:v>Midwest</x:v>
      </x:c>
      <x:c r="E39" s="1" t="n">
        <x:v>503</x:v>
      </x:c>
      <x:c r="F39" s="10" t="n">
        <x:v>46128</x:v>
      </x:c>
      <x:c r="G39" s="12" t="n">
        <x:v>2986.63</x:v>
      </x:c>
      <x:c r="H39" s="1" t="n">
        <x:v>179</x:v>
      </x:c>
      <x:c r="I39" s="1" t="n">
        <x:v>5</x:v>
      </x:c>
      <x:c r="J39" s="1" t="n">
        <x:v>3</x:v>
      </x:c>
      <x:c r="K39" s="1" t="n">
        <x:v>0</x:v>
      </x:c>
      <x:c r="L39" s="12" t="n">
        <x:f>SUMIFS('Payments'!$D$5:$D$3014,'Payments'!$B$5:$B$3014,A39)</x:f>
        <x:v>173.62</x:v>
      </x:c>
      <x:c r="M39" s="12" t="n">
        <x:f>G39-L39</x:f>
        <x:v>2813.01</x:v>
      </x:c>
      <x:c r="N39" s="1" t="str">
        <x:f>IF(H39=0,"0 Current",IF(H39&lt;=30,"1 1-30",IF(H39&lt;=60,"2 31-60",IF(H39&lt;=90,"3 61-90",IF(H39&lt;=120,"4 91-120","5 121+")))))</x:f>
        <x:v>5 121+</x:v>
      </x:c>
      <x:c r="O39" s="1" t="n">
        <x:f>IF(J39&gt;0,1,0)</x:f>
        <x:v>1</x:v>
      </x:c>
    </x:row>
    <x:row r="40" ht="23" customHeight="1">
      <x:c r="A40" s="14" t="str">
        <x:v>36</x:v>
      </x:c>
      <x:c r="B40" s="1" t="str">
        <x:v>Riley</x:v>
      </x:c>
      <x:c r="C40" s="1" t="str">
        <x:v>Personal Loan</x:v>
      </x:c>
      <x:c r="D40" s="1" t="str">
        <x:v>Midwest</x:v>
      </x:c>
      <x:c r="E40" s="1" t="n">
        <x:v>601</x:v>
      </x:c>
      <x:c r="F40" s="10" t="n">
        <x:v>46046</x:v>
      </x:c>
      <x:c r="G40" s="12" t="n">
        <x:v>17396.78</x:v>
      </x:c>
      <x:c r="H40" s="1" t="n">
        <x:v>177</x:v>
      </x:c>
      <x:c r="I40" s="1" t="n">
        <x:v>0</x:v>
      </x:c>
      <x:c r="J40" s="1" t="n">
        <x:v>0</x:v>
      </x:c>
      <x:c r="K40" s="1" t="n">
        <x:v>0</x:v>
      </x:c>
      <x:c r="L40" s="12" t="n">
        <x:f>SUMIFS('Payments'!$D$5:$D$3014,'Payments'!$B$5:$B$3014,A40)</x:f>
        <x:v>2069.91</x:v>
      </x:c>
      <x:c r="M40" s="12" t="n">
        <x:f>G40-L40</x:f>
        <x:v>15326.869999999999</x:v>
      </x:c>
      <x:c r="N40" s="1" t="str">
        <x:f>IF(H40=0,"0 Current",IF(H40&lt;=30,"1 1-30",IF(H40&lt;=60,"2 31-60",IF(H40&lt;=90,"3 61-90",IF(H40&lt;=120,"4 91-120","5 121+")))))</x:f>
        <x:v>5 121+</x:v>
      </x:c>
      <x:c r="O40" s="1" t="n">
        <x:f>IF(J40&gt;0,1,0)</x:f>
        <x:v>0</x:v>
      </x:c>
    </x:row>
    <x:row r="41" ht="23" customHeight="1">
      <x:c r="A41" s="14" t="str">
        <x:v>37</x:v>
      </x:c>
      <x:c r="B41" s="1" t="str">
        <x:v>Taylor</x:v>
      </x:c>
      <x:c r="C41" s="1" t="str">
        <x:v>Personal Loan</x:v>
      </x:c>
      <x:c r="D41" s="1" t="str">
        <x:v>South</x:v>
      </x:c>
      <x:c r="E41" s="1" t="n">
        <x:v>763</x:v>
      </x:c>
      <x:c r="F41" s="10" t="n">
        <x:v>46046</x:v>
      </x:c>
      <x:c r="G41" s="12" t="n">
        <x:v>19728.75</x:v>
      </x:c>
      <x:c r="H41" s="1" t="n">
        <x:v>217</x:v>
      </x:c>
      <x:c r="I41" s="1" t="n">
        <x:v>8</x:v>
      </x:c>
      <x:c r="J41" s="1" t="n">
        <x:v>2</x:v>
      </x:c>
      <x:c r="K41" s="1" t="n">
        <x:v>0</x:v>
      </x:c>
      <x:c r="L41" s="12" t="n">
        <x:f>SUMIFS('Payments'!$D$5:$D$3014,'Payments'!$B$5:$B$3014,A41)</x:f>
        <x:v>0</x:v>
      </x:c>
      <x:c r="M41" s="12" t="n">
        <x:f>G41-L41</x:f>
        <x:v>19728.75</x:v>
      </x:c>
      <x:c r="N41" s="1" t="str">
        <x:f>IF(H41=0,"0 Current",IF(H41&lt;=30,"1 1-30",IF(H41&lt;=60,"2 31-60",IF(H41&lt;=90,"3 61-90",IF(H41&lt;=120,"4 91-120","5 121+")))))</x:f>
        <x:v>5 121+</x:v>
      </x:c>
      <x:c r="O41" s="1" t="n">
        <x:f>IF(J41&gt;0,1,0)</x:f>
        <x:v>1</x:v>
      </x:c>
    </x:row>
    <x:row r="42" ht="23" customHeight="1">
      <x:c r="A42" s="14" t="str">
        <x:v>38</x:v>
      </x:c>
      <x:c r="B42" s="1" t="str">
        <x:v>Morgan</x:v>
      </x:c>
      <x:c r="C42" s="1" t="str">
        <x:v>Credit Card</x:v>
      </x:c>
      <x:c r="D42" s="1" t="str">
        <x:v>Midwest</x:v>
      </x:c>
      <x:c r="E42" s="1" t="n">
        <x:v>779</x:v>
      </x:c>
      <x:c r="F42" s="10" t="n">
        <x:v>46063</x:v>
      </x:c>
      <x:c r="G42" s="12" t="n">
        <x:v>19008.87</x:v>
      </x:c>
      <x:c r="H42" s="1" t="n">
        <x:v>109</x:v>
      </x:c>
      <x:c r="I42" s="1" t="n">
        <x:v>4</x:v>
      </x:c>
      <x:c r="J42" s="1" t="n">
        <x:v>2</x:v>
      </x:c>
      <x:c r="K42" s="1" t="n">
        <x:v>0</x:v>
      </x:c>
      <x:c r="L42" s="12" t="n">
        <x:f>SUMIFS('Payments'!$D$5:$D$3014,'Payments'!$B$5:$B$3014,A42)</x:f>
        <x:v>1815.1</x:v>
      </x:c>
      <x:c r="M42" s="12" t="n">
        <x:f>G42-L42</x:f>
        <x:v>17193.77</x:v>
      </x:c>
      <x:c r="N42" s="1" t="str">
        <x:f>IF(H42=0,"0 Current",IF(H42&lt;=30,"1 1-30",IF(H42&lt;=60,"2 31-60",IF(H42&lt;=90,"3 61-90",IF(H42&lt;=120,"4 91-120","5 121+")))))</x:f>
        <x:v>4 91-120</x:v>
      </x:c>
      <x:c r="O42" s="1" t="n">
        <x:f>IF(J42&gt;0,1,0)</x:f>
        <x:v>1</x:v>
      </x:c>
    </x:row>
    <x:row r="43" ht="23" customHeight="1">
      <x:c r="A43" s="14" t="str">
        <x:v>39</x:v>
      </x:c>
      <x:c r="B43" s="1" t="str">
        <x:v>Morgan</x:v>
      </x:c>
      <x:c r="C43" s="1" t="str">
        <x:v>Personal Loan</x:v>
      </x:c>
      <x:c r="D43" s="1" t="str">
        <x:v>Northeast</x:v>
      </x:c>
      <x:c r="E43" s="1" t="n">
        <x:v>731</x:v>
      </x:c>
      <x:c r="F43" s="10" t="n">
        <x:v>46065</x:v>
      </x:c>
      <x:c r="G43" s="12" t="n">
        <x:v>2672.11</x:v>
      </x:c>
      <x:c r="H43" s="1" t="n">
        <x:v>185</x:v>
      </x:c>
      <x:c r="I43" s="1" t="n">
        <x:v>1</x:v>
      </x:c>
      <x:c r="J43" s="1" t="n">
        <x:v>0</x:v>
      </x:c>
      <x:c r="K43" s="1" t="n">
        <x:v>0</x:v>
      </x:c>
      <x:c r="L43" s="12" t="n">
        <x:f>SUMIFS('Payments'!$D$5:$D$3014,'Payments'!$B$5:$B$3014,A43)</x:f>
        <x:v>150.65</x:v>
      </x:c>
      <x:c r="M43" s="12" t="n">
        <x:f>G43-L43</x:f>
        <x:v>2521.46</x:v>
      </x:c>
      <x:c r="N43" s="1" t="str">
        <x:f>IF(H43=0,"0 Current",IF(H43&lt;=30,"1 1-30",IF(H43&lt;=60,"2 31-60",IF(H43&lt;=90,"3 61-90",IF(H43&lt;=120,"4 91-120","5 121+")))))</x:f>
        <x:v>5 121+</x:v>
      </x:c>
      <x:c r="O43" s="1" t="n">
        <x:f>IF(J43&gt;0,1,0)</x:f>
        <x:v>0</x:v>
      </x:c>
    </x:row>
    <x:row r="44" ht="23" customHeight="1">
      <x:c r="A44" s="14" t="str">
        <x:v>40</x:v>
      </x:c>
      <x:c r="B44" s="1" t="str">
        <x:v>Riley</x:v>
      </x:c>
      <x:c r="C44" s="1" t="str">
        <x:v>Medical</x:v>
      </x:c>
      <x:c r="D44" s="1" t="str">
        <x:v>South</x:v>
      </x:c>
      <x:c r="E44" s="1" t="n">
        <x:v>693</x:v>
      </x:c>
      <x:c r="F44" s="10" t="n">
        <x:v>46042</x:v>
      </x:c>
      <x:c r="G44" s="12" t="n">
        <x:v>6065.83</x:v>
      </x:c>
      <x:c r="H44" s="1" t="n">
        <x:v>132</x:v>
      </x:c>
      <x:c r="I44" s="1" t="n">
        <x:v>7</x:v>
      </x:c>
      <x:c r="J44" s="1" t="n">
        <x:v>3</x:v>
      </x:c>
      <x:c r="K44" s="1" t="n">
        <x:v>0</x:v>
      </x:c>
      <x:c r="L44" s="12" t="n">
        <x:f>SUMIFS('Payments'!$D$5:$D$3014,'Payments'!$B$5:$B$3014,A44)</x:f>
        <x:v>1046.02</x:v>
      </x:c>
      <x:c r="M44" s="12" t="n">
        <x:f>G44-L44</x:f>
        <x:v>5019.8099999999995</x:v>
      </x:c>
      <x:c r="N44" s="1" t="str">
        <x:f>IF(H44=0,"0 Current",IF(H44&lt;=30,"1 1-30",IF(H44&lt;=60,"2 31-60",IF(H44&lt;=90,"3 61-90",IF(H44&lt;=120,"4 91-120","5 121+")))))</x:f>
        <x:v>5 121+</x:v>
      </x:c>
      <x:c r="O44" s="1" t="n">
        <x:f>IF(J44&gt;0,1,0)</x:f>
        <x:v>1</x:v>
      </x:c>
    </x:row>
    <x:row r="45" ht="23" customHeight="1">
      <x:c r="A45" s="14" t="str">
        <x:v>41</x:v>
      </x:c>
      <x:c r="B45" s="1" t="str">
        <x:v>Riley</x:v>
      </x:c>
      <x:c r="C45" s="1" t="str">
        <x:v>Medical</x:v>
      </x:c>
      <x:c r="D45" s="1" t="str">
        <x:v>South</x:v>
      </x:c>
      <x:c r="E45" s="1" t="n">
        <x:v>503</x:v>
      </x:c>
      <x:c r="F45" s="10" t="n">
        <x:v>46167</x:v>
      </x:c>
      <x:c r="G45" s="12" t="n">
        <x:v>855.45</x:v>
      </x:c>
      <x:c r="H45" s="1" t="n">
        <x:v>112</x:v>
      </x:c>
      <x:c r="I45" s="1" t="n">
        <x:v>3</x:v>
      </x:c>
      <x:c r="J45" s="1" t="n">
        <x:v>2</x:v>
      </x:c>
      <x:c r="K45" s="1" t="n">
        <x:v>0</x:v>
      </x:c>
      <x:c r="L45" s="12" t="n">
        <x:f>SUMIFS('Payments'!$D$5:$D$3014,'Payments'!$B$5:$B$3014,A45)</x:f>
        <x:v>122.35</x:v>
      </x:c>
      <x:c r="M45" s="12" t="n">
        <x:f>G45-L45</x:f>
        <x:v>733.1</x:v>
      </x:c>
      <x:c r="N45" s="1" t="str">
        <x:f>IF(H45=0,"0 Current",IF(H45&lt;=30,"1 1-30",IF(H45&lt;=60,"2 31-60",IF(H45&lt;=90,"3 61-90",IF(H45&lt;=120,"4 91-120","5 121+")))))</x:f>
        <x:v>4 91-120</x:v>
      </x:c>
      <x:c r="O45" s="1" t="n">
        <x:f>IF(J45&gt;0,1,0)</x:f>
        <x:v>1</x:v>
      </x:c>
    </x:row>
    <x:row r="46" ht="23" customHeight="1">
      <x:c r="A46" s="14" t="str">
        <x:v>42</x:v>
      </x:c>
      <x:c r="B46" s="1" t="str">
        <x:v>Casey</x:v>
      </x:c>
      <x:c r="C46" s="1" t="str">
        <x:v>Medical</x:v>
      </x:c>
      <x:c r="D46" s="1" t="str">
        <x:v>West</x:v>
      </x:c>
      <x:c r="E46" s="1" t="n">
        <x:v>614</x:v>
      </x:c>
      <x:c r="F46" s="10" t="n">
        <x:v>46132</x:v>
      </x:c>
      <x:c r="G46" s="12" t="n">
        <x:v>13691.23</x:v>
      </x:c>
      <x:c r="H46" s="1" t="n">
        <x:v>70</x:v>
      </x:c>
      <x:c r="I46" s="1" t="n">
        <x:v>3</x:v>
      </x:c>
      <x:c r="J46" s="1" t="n">
        <x:v>3</x:v>
      </x:c>
      <x:c r="K46" s="1" t="n">
        <x:v>0</x:v>
      </x:c>
      <x:c r="L46" s="12" t="n">
        <x:f>SUMIFS('Payments'!$D$5:$D$3014,'Payments'!$B$5:$B$3014,A46)</x:f>
        <x:v>0</x:v>
      </x:c>
      <x:c r="M46" s="12" t="n">
        <x:f>G46-L46</x:f>
        <x:v>13691.23</x:v>
      </x:c>
      <x:c r="N46" s="1" t="str">
        <x:f>IF(H46=0,"0 Current",IF(H46&lt;=30,"1 1-30",IF(H46&lt;=60,"2 31-60",IF(H46&lt;=90,"3 61-90",IF(H46&lt;=120,"4 91-120","5 121+")))))</x:f>
        <x:v>3 61-90</x:v>
      </x:c>
      <x:c r="O46" s="1" t="n">
        <x:f>IF(J46&gt;0,1,0)</x:f>
        <x:v>1</x:v>
      </x:c>
    </x:row>
    <x:row r="47" ht="23" customHeight="1">
      <x:c r="A47" s="14" t="str">
        <x:v>43</x:v>
      </x:c>
      <x:c r="B47" s="1" t="str">
        <x:v>Riley</x:v>
      </x:c>
      <x:c r="C47" s="1" t="str">
        <x:v>Medical</x:v>
      </x:c>
      <x:c r="D47" s="1" t="str">
        <x:v>Midwest</x:v>
      </x:c>
      <x:c r="E47" s="1" t="n">
        <x:v>747</x:v>
      </x:c>
      <x:c r="F47" s="10" t="n">
        <x:v>46100</x:v>
      </x:c>
      <x:c r="G47" s="12" t="n">
        <x:v>9117.01</x:v>
      </x:c>
      <x:c r="H47" s="1" t="n">
        <x:v>191</x:v>
      </x:c>
      <x:c r="I47" s="1" t="n">
        <x:v>7</x:v>
      </x:c>
      <x:c r="J47" s="1" t="n">
        <x:v>3</x:v>
      </x:c>
      <x:c r="K47" s="1" t="n">
        <x:v>1</x:v>
      </x:c>
      <x:c r="L47" s="12" t="n">
        <x:f>SUMIFS('Payments'!$D$5:$D$3014,'Payments'!$B$5:$B$3014,A47)</x:f>
        <x:v>1529.31</x:v>
      </x:c>
      <x:c r="M47" s="12" t="n">
        <x:f>G47-L47</x:f>
        <x:v>7587.700000000001</x:v>
      </x:c>
      <x:c r="N47" s="1" t="str">
        <x:f>IF(H47=0,"0 Current",IF(H47&lt;=30,"1 1-30",IF(H47&lt;=60,"2 31-60",IF(H47&lt;=90,"3 61-90",IF(H47&lt;=120,"4 91-120","5 121+")))))</x:f>
        <x:v>5 121+</x:v>
      </x:c>
      <x:c r="O47" s="1" t="n">
        <x:f>IF(J47&gt;0,1,0)</x:f>
        <x:v>1</x:v>
      </x:c>
    </x:row>
    <x:row r="48" ht="23" customHeight="1">
      <x:c r="A48" s="14" t="str">
        <x:v>44</x:v>
      </x:c>
      <x:c r="B48" s="1" t="str">
        <x:v>Alex</x:v>
      </x:c>
      <x:c r="C48" s="1" t="str">
        <x:v>Credit Card</x:v>
      </x:c>
      <x:c r="D48" s="1" t="str">
        <x:v>South</x:v>
      </x:c>
      <x:c r="E48" s="1" t="n">
        <x:v>770</x:v>
      </x:c>
      <x:c r="F48" s="10" t="n">
        <x:v>46143</x:v>
      </x:c>
      <x:c r="G48" s="12" t="n">
        <x:v>3561.49</x:v>
      </x:c>
      <x:c r="H48" s="1" t="n">
        <x:v>3</x:v>
      </x:c>
      <x:c r="I48" s="1" t="n">
        <x:v>6</x:v>
      </x:c>
      <x:c r="J48" s="1" t="n">
        <x:v>0</x:v>
      </x:c>
      <x:c r="K48" s="1" t="n">
        <x:v>0</x:v>
      </x:c>
      <x:c r="L48" s="12" t="n">
        <x:f>SUMIFS('Payments'!$D$5:$D$3014,'Payments'!$B$5:$B$3014,A48)</x:f>
        <x:v>201</x:v>
      </x:c>
      <x:c r="M48" s="12" t="n">
        <x:f>G48-L48</x:f>
        <x:v>3360.49</x:v>
      </x:c>
      <x:c r="N48" s="1" t="str">
        <x:f>IF(H48=0,"0 Current",IF(H48&lt;=30,"1 1-30",IF(H48&lt;=60,"2 31-60",IF(H48&lt;=90,"3 61-90",IF(H48&lt;=120,"4 91-120","5 121+")))))</x:f>
        <x:v>1 1-30</x:v>
      </x:c>
      <x:c r="O48" s="1" t="n">
        <x:f>IF(J48&gt;0,1,0)</x:f>
        <x:v>0</x:v>
      </x:c>
    </x:row>
    <x:row r="49" ht="23" customHeight="1">
      <x:c r="A49" s="14" t="str">
        <x:v>45</x:v>
      </x:c>
      <x:c r="B49" s="1" t="str">
        <x:v>Riley</x:v>
      </x:c>
      <x:c r="C49" s="1" t="str">
        <x:v>Medical</x:v>
      </x:c>
      <x:c r="D49" s="1" t="str">
        <x:v>Midwest</x:v>
      </x:c>
      <x:c r="E49" s="1" t="n">
        <x:v>813</x:v>
      </x:c>
      <x:c r="F49" s="10" t="n">
        <x:v>46102</x:v>
      </x:c>
      <x:c r="G49" s="12" t="n">
        <x:v>3814.4</x:v>
      </x:c>
      <x:c r="H49" s="1" t="n">
        <x:v>206</x:v>
      </x:c>
      <x:c r="I49" s="1" t="n">
        <x:v>6</x:v>
      </x:c>
      <x:c r="J49" s="1" t="n">
        <x:v>4</x:v>
      </x:c>
      <x:c r="K49" s="1" t="n">
        <x:v>1</x:v>
      </x:c>
      <x:c r="L49" s="12" t="n">
        <x:f>SUMIFS('Payments'!$D$5:$D$3014,'Payments'!$B$5:$B$3014,A49)</x:f>
        <x:v>361.52</x:v>
      </x:c>
      <x:c r="M49" s="12" t="n">
        <x:f>G49-L49</x:f>
        <x:v>3452.88</x:v>
      </x:c>
      <x:c r="N49" s="1" t="str">
        <x:f>IF(H49=0,"0 Current",IF(H49&lt;=30,"1 1-30",IF(H49&lt;=60,"2 31-60",IF(H49&lt;=90,"3 61-90",IF(H49&lt;=120,"4 91-120","5 121+")))))</x:f>
        <x:v>5 121+</x:v>
      </x:c>
      <x:c r="O49" s="1" t="n">
        <x:f>IF(J49&gt;0,1,0)</x:f>
        <x:v>1</x:v>
      </x:c>
    </x:row>
    <x:row r="50" ht="23" customHeight="1">
      <x:c r="A50" s="14" t="str">
        <x:v>46</x:v>
      </x:c>
      <x:c r="B50" s="1" t="str">
        <x:v>Riley</x:v>
      </x:c>
      <x:c r="C50" s="1" t="str">
        <x:v>Credit Card</x:v>
      </x:c>
      <x:c r="D50" s="1" t="str">
        <x:v>Northeast</x:v>
      </x:c>
      <x:c r="E50" s="1" t="n">
        <x:v>537</x:v>
      </x:c>
      <x:c r="F50" s="10" t="n">
        <x:v>46052</x:v>
      </x:c>
      <x:c r="G50" s="12" t="n">
        <x:v>19515.79</x:v>
      </x:c>
      <x:c r="H50" s="1" t="n">
        <x:v>79</x:v>
      </x:c>
      <x:c r="I50" s="1" t="n">
        <x:v>2</x:v>
      </x:c>
      <x:c r="J50" s="1" t="n">
        <x:v>0</x:v>
      </x:c>
      <x:c r="K50" s="1" t="n">
        <x:v>0</x:v>
      </x:c>
      <x:c r="L50" s="12" t="n">
        <x:f>SUMIFS('Payments'!$D$5:$D$3014,'Payments'!$B$5:$B$3014,A50)</x:f>
        <x:v>323.11</x:v>
      </x:c>
      <x:c r="M50" s="12" t="n">
        <x:f>G50-L50</x:f>
        <x:v>19192.68</x:v>
      </x:c>
      <x:c r="N50" s="1" t="str">
        <x:f>IF(H50=0,"0 Current",IF(H50&lt;=30,"1 1-30",IF(H50&lt;=60,"2 31-60",IF(H50&lt;=90,"3 61-90",IF(H50&lt;=120,"4 91-120","5 121+")))))</x:f>
        <x:v>3 61-90</x:v>
      </x:c>
      <x:c r="O50" s="1" t="n">
        <x:f>IF(J50&gt;0,1,0)</x:f>
        <x:v>0</x:v>
      </x:c>
    </x:row>
    <x:row r="51" ht="23" customHeight="1">
      <x:c r="A51" s="14" t="str">
        <x:v>47</x:v>
      </x:c>
      <x:c r="B51" s="1" t="str">
        <x:v>Jordan</x:v>
      </x:c>
      <x:c r="C51" s="1" t="str">
        <x:v>Medical</x:v>
      </x:c>
      <x:c r="D51" s="1" t="str">
        <x:v>Northeast</x:v>
      </x:c>
      <x:c r="E51" s="1" t="n">
        <x:v>581</x:v>
      </x:c>
      <x:c r="F51" s="10" t="n">
        <x:v>46089</x:v>
      </x:c>
      <x:c r="G51" s="12" t="n">
        <x:v>7502.93</x:v>
      </x:c>
      <x:c r="H51" s="1" t="n">
        <x:v>191</x:v>
      </x:c>
      <x:c r="I51" s="1" t="n">
        <x:v>6</x:v>
      </x:c>
      <x:c r="J51" s="1" t="n">
        <x:v>2</x:v>
      </x:c>
      <x:c r="K51" s="1" t="n">
        <x:v>0</x:v>
      </x:c>
      <x:c r="L51" s="12" t="n">
        <x:f>SUMIFS('Payments'!$D$5:$D$3014,'Payments'!$B$5:$B$3014,A51)</x:f>
        <x:v>213.2</x:v>
      </x:c>
      <x:c r="M51" s="12" t="n">
        <x:f>G51-L51</x:f>
        <x:v>7289.7300000000005</x:v>
      </x:c>
      <x:c r="N51" s="1" t="str">
        <x:f>IF(H51=0,"0 Current",IF(H51&lt;=30,"1 1-30",IF(H51&lt;=60,"2 31-60",IF(H51&lt;=90,"3 61-90",IF(H51&lt;=120,"4 91-120","5 121+")))))</x:f>
        <x:v>5 121+</x:v>
      </x:c>
      <x:c r="O51" s="1" t="n">
        <x:f>IF(J51&gt;0,1,0)</x:f>
        <x:v>1</x:v>
      </x:c>
    </x:row>
    <x:row r="52" ht="23" customHeight="1">
      <x:c r="A52" s="14" t="str">
        <x:v>48</x:v>
      </x:c>
      <x:c r="B52" s="1" t="str">
        <x:v>Jordan</x:v>
      </x:c>
      <x:c r="C52" s="1" t="str">
        <x:v>Credit Card</x:v>
      </x:c>
      <x:c r="D52" s="1" t="str">
        <x:v>West</x:v>
      </x:c>
      <x:c r="E52" s="1" t="n">
        <x:v>557</x:v>
      </x:c>
      <x:c r="F52" s="10" t="n">
        <x:v>46117</x:v>
      </x:c>
      <x:c r="G52" s="12" t="n">
        <x:v>7098.05</x:v>
      </x:c>
      <x:c r="H52" s="1" t="n">
        <x:v>228</x:v>
      </x:c>
      <x:c r="I52" s="1" t="n">
        <x:v>7</x:v>
      </x:c>
      <x:c r="J52" s="1" t="n">
        <x:v>0</x:v>
      </x:c>
      <x:c r="K52" s="1" t="n">
        <x:v>0</x:v>
      </x:c>
      <x:c r="L52" s="12" t="n">
        <x:f>SUMIFS('Payments'!$D$5:$D$3014,'Payments'!$B$5:$B$3014,A52)</x:f>
        <x:v>1236.34</x:v>
      </x:c>
      <x:c r="M52" s="12" t="n">
        <x:f>G52-L52</x:f>
        <x:v>5861.71</x:v>
      </x:c>
      <x:c r="N52" s="1" t="str">
        <x:f>IF(H52=0,"0 Current",IF(H52&lt;=30,"1 1-30",IF(H52&lt;=60,"2 31-60",IF(H52&lt;=90,"3 61-90",IF(H52&lt;=120,"4 91-120","5 121+")))))</x:f>
        <x:v>5 121+</x:v>
      </x:c>
      <x:c r="O52" s="1" t="n">
        <x:f>IF(J52&gt;0,1,0)</x:f>
        <x:v>0</x:v>
      </x:c>
    </x:row>
    <x:row r="53" ht="23" customHeight="1">
      <x:c r="A53" s="14" t="str">
        <x:v>49</x:v>
      </x:c>
      <x:c r="B53" s="1" t="str">
        <x:v>Taylor</x:v>
      </x:c>
      <x:c r="C53" s="1" t="str">
        <x:v>Credit Card</x:v>
      </x:c>
      <x:c r="D53" s="1" t="str">
        <x:v>Northeast</x:v>
      </x:c>
      <x:c r="E53" s="1" t="n">
        <x:v>528</x:v>
      </x:c>
      <x:c r="F53" s="10" t="n">
        <x:v>46053</x:v>
      </x:c>
      <x:c r="G53" s="12" t="n">
        <x:v>21557.12</x:v>
      </x:c>
      <x:c r="H53" s="1" t="n">
        <x:v>45</x:v>
      </x:c>
      <x:c r="I53" s="1" t="n">
        <x:v>1</x:v>
      </x:c>
      <x:c r="J53" s="1" t="n">
        <x:v>1</x:v>
      </x:c>
      <x:c r="K53" s="1" t="n">
        <x:v>0</x:v>
      </x:c>
      <x:c r="L53" s="12" t="n">
        <x:f>SUMIFS('Payments'!$D$5:$D$3014,'Payments'!$B$5:$B$3014,A53)</x:f>
        <x:v>250.79</x:v>
      </x:c>
      <x:c r="M53" s="12" t="n">
        <x:f>G53-L53</x:f>
        <x:v>21306.329999999998</x:v>
      </x:c>
      <x:c r="N53" s="1" t="str">
        <x:f>IF(H53=0,"0 Current",IF(H53&lt;=30,"1 1-30",IF(H53&lt;=60,"2 31-60",IF(H53&lt;=90,"3 61-90",IF(H53&lt;=120,"4 91-120","5 121+")))))</x:f>
        <x:v>2 31-60</x:v>
      </x:c>
      <x:c r="O53" s="1" t="n">
        <x:f>IF(J53&gt;0,1,0)</x:f>
        <x:v>1</x:v>
      </x:c>
    </x:row>
    <x:row r="54" ht="23" customHeight="1">
      <x:c r="A54" s="14" t="str">
        <x:v>50</x:v>
      </x:c>
      <x:c r="B54" s="1" t="str">
        <x:v>Alex</x:v>
      </x:c>
      <x:c r="C54" s="1" t="str">
        <x:v>Auto</x:v>
      </x:c>
      <x:c r="D54" s="1" t="str">
        <x:v>Midwest</x:v>
      </x:c>
      <x:c r="E54" s="1" t="n">
        <x:v>528</x:v>
      </x:c>
      <x:c r="F54" s="10" t="n">
        <x:v>46102</x:v>
      </x:c>
      <x:c r="G54" s="12" t="n">
        <x:v>14227.99</x:v>
      </x:c>
      <x:c r="H54" s="1" t="n">
        <x:v>2</x:v>
      </x:c>
      <x:c r="I54" s="1" t="n">
        <x:v>4</x:v>
      </x:c>
      <x:c r="J54" s="1" t="n">
        <x:v>2</x:v>
      </x:c>
      <x:c r="K54" s="1" t="n">
        <x:v>1</x:v>
      </x:c>
      <x:c r="L54" s="12" t="n">
        <x:f>SUMIFS('Payments'!$D$5:$D$3014,'Payments'!$B$5:$B$3014,A54)</x:f>
        <x:v>2024.02</x:v>
      </x:c>
      <x:c r="M54" s="12" t="n">
        <x:f>G54-L54</x:f>
        <x:v>12203.97</x:v>
      </x:c>
      <x:c r="N54" s="1" t="str">
        <x:f>IF(H54=0,"0 Current",IF(H54&lt;=30,"1 1-30",IF(H54&lt;=60,"2 31-60",IF(H54&lt;=90,"3 61-90",IF(H54&lt;=120,"4 91-120","5 121+")))))</x:f>
        <x:v>1 1-30</x:v>
      </x:c>
      <x:c r="O54" s="1" t="n">
        <x:f>IF(J54&gt;0,1,0)</x:f>
        <x:v>1</x:v>
      </x:c>
    </x:row>
    <x:row r="55" ht="23" customHeight="1">
      <x:c r="A55" s="14" t="str">
        <x:v>51</x:v>
      </x:c>
      <x:c r="B55" s="1" t="str">
        <x:v>Casey</x:v>
      </x:c>
      <x:c r="C55" s="1" t="str">
        <x:v>Credit Card</x:v>
      </x:c>
      <x:c r="D55" s="1" t="str">
        <x:v>West</x:v>
      </x:c>
      <x:c r="E55" s="1" t="n">
        <x:v>622</x:v>
      </x:c>
      <x:c r="F55" s="10" t="n">
        <x:v>46162</x:v>
      </x:c>
      <x:c r="G55" s="12" t="n">
        <x:v>10781.36</x:v>
      </x:c>
      <x:c r="H55" s="1" t="n">
        <x:v>238</x:v>
      </x:c>
      <x:c r="I55" s="1" t="n">
        <x:v>0</x:v>
      </x:c>
      <x:c r="J55" s="1" t="n">
        <x:v>0</x:v>
      </x:c>
      <x:c r="K55" s="1" t="n">
        <x:v>0</x:v>
      </x:c>
      <x:c r="L55" s="12" t="n">
        <x:f>SUMIFS('Payments'!$D$5:$D$3014,'Payments'!$B$5:$B$3014,A55)</x:f>
        <x:v>1025.94</x:v>
      </x:c>
      <x:c r="M55" s="12" t="n">
        <x:f>G55-L55</x:f>
        <x:v>9755.42</x:v>
      </x:c>
      <x:c r="N55" s="1" t="str">
        <x:f>IF(H55=0,"0 Current",IF(H55&lt;=30,"1 1-30",IF(H55&lt;=60,"2 31-60",IF(H55&lt;=90,"3 61-90",IF(H55&lt;=120,"4 91-120","5 121+")))))</x:f>
        <x:v>5 121+</x:v>
      </x:c>
      <x:c r="O55" s="1" t="n">
        <x:f>IF(J55&gt;0,1,0)</x:f>
        <x:v>0</x:v>
      </x:c>
    </x:row>
    <x:row r="56" ht="23" customHeight="1">
      <x:c r="A56" s="14" t="str">
        <x:v>52</x:v>
      </x:c>
      <x:c r="B56" s="1" t="str">
        <x:v>Alex</x:v>
      </x:c>
      <x:c r="C56" s="1" t="str">
        <x:v>Medical</x:v>
      </x:c>
      <x:c r="D56" s="1" t="str">
        <x:v>West</x:v>
      </x:c>
      <x:c r="E56" s="1" t="n">
        <x:v>493</x:v>
      </x:c>
      <x:c r="F56" s="10" t="n">
        <x:v>46119</x:v>
      </x:c>
      <x:c r="G56" s="12" t="n">
        <x:v>13397.93</x:v>
      </x:c>
      <x:c r="H56" s="1" t="n">
        <x:v>135</x:v>
      </x:c>
      <x:c r="I56" s="1" t="n">
        <x:v>0</x:v>
      </x:c>
      <x:c r="J56" s="1" t="n">
        <x:v>0</x:v>
      </x:c>
      <x:c r="K56" s="1" t="n">
        <x:v>0</x:v>
      </x:c>
      <x:c r="L56" s="12" t="n">
        <x:f>SUMIFS('Payments'!$D$5:$D$3014,'Payments'!$B$5:$B$3014,A56)</x:f>
        <x:v>1110.52</x:v>
      </x:c>
      <x:c r="M56" s="12" t="n">
        <x:f>G56-L56</x:f>
        <x:v>12287.41</x:v>
      </x:c>
      <x:c r="N56" s="1" t="str">
        <x:f>IF(H56=0,"0 Current",IF(H56&lt;=30,"1 1-30",IF(H56&lt;=60,"2 31-60",IF(H56&lt;=90,"3 61-90",IF(H56&lt;=120,"4 91-120","5 121+")))))</x:f>
        <x:v>5 121+</x:v>
      </x:c>
      <x:c r="O56" s="1" t="n">
        <x:f>IF(J56&gt;0,1,0)</x:f>
        <x:v>0</x:v>
      </x:c>
    </x:row>
    <x:row r="57" ht="23" customHeight="1">
      <x:c r="A57" s="14" t="str">
        <x:v>53</x:v>
      </x:c>
      <x:c r="B57" s="1" t="str">
        <x:v>Alex</x:v>
      </x:c>
      <x:c r="C57" s="1" t="str">
        <x:v>Credit Card</x:v>
      </x:c>
      <x:c r="D57" s="1" t="str">
        <x:v>Midwest</x:v>
      </x:c>
      <x:c r="E57" s="1" t="n">
        <x:v>491</x:v>
      </x:c>
      <x:c r="F57" s="10" t="n">
        <x:v>46059</x:v>
      </x:c>
      <x:c r="G57" s="12" t="n">
        <x:v>12236.72</x:v>
      </x:c>
      <x:c r="H57" s="1" t="n">
        <x:v>235</x:v>
      </x:c>
      <x:c r="I57" s="1" t="n">
        <x:v>5</x:v>
      </x:c>
      <x:c r="J57" s="1" t="n">
        <x:v>1</x:v>
      </x:c>
      <x:c r="K57" s="1" t="n">
        <x:v>1</x:v>
      </x:c>
      <x:c r="L57" s="12" t="n">
        <x:f>SUMIFS('Payments'!$D$5:$D$3014,'Payments'!$B$5:$B$3014,A57)</x:f>
        <x:v>1372.51</x:v>
      </x:c>
      <x:c r="M57" s="12" t="n">
        <x:f>G57-L57</x:f>
        <x:v>10864.21</x:v>
      </x:c>
      <x:c r="N57" s="1" t="str">
        <x:f>IF(H57=0,"0 Current",IF(H57&lt;=30,"1 1-30",IF(H57&lt;=60,"2 31-60",IF(H57&lt;=90,"3 61-90",IF(H57&lt;=120,"4 91-120","5 121+")))))</x:f>
        <x:v>5 121+</x:v>
      </x:c>
      <x:c r="O57" s="1" t="n">
        <x:f>IF(J57&gt;0,1,0)</x:f>
        <x:v>1</x:v>
      </x:c>
    </x:row>
    <x:row r="58" ht="23" customHeight="1">
      <x:c r="A58" s="14" t="str">
        <x:v>54</x:v>
      </x:c>
      <x:c r="B58" s="1" t="str">
        <x:v>Jordan</x:v>
      </x:c>
      <x:c r="C58" s="1" t="str">
        <x:v>Personal Loan</x:v>
      </x:c>
      <x:c r="D58" s="1" t="str">
        <x:v>South</x:v>
      </x:c>
      <x:c r="E58" s="1" t="n">
        <x:v>801</x:v>
      </x:c>
      <x:c r="F58" s="10" t="n">
        <x:v>46056</x:v>
      </x:c>
      <x:c r="G58" s="12" t="n">
        <x:v>10430.92</x:v>
      </x:c>
      <x:c r="H58" s="1" t="n">
        <x:v>217</x:v>
      </x:c>
      <x:c r="I58" s="1" t="n">
        <x:v>5</x:v>
      </x:c>
      <x:c r="J58" s="1" t="n">
        <x:v>2</x:v>
      </x:c>
      <x:c r="K58" s="1" t="n">
        <x:v>1</x:v>
      </x:c>
      <x:c r="L58" s="12" t="n">
        <x:f>SUMIFS('Payments'!$D$5:$D$3014,'Payments'!$B$5:$B$3014,A58)</x:f>
        <x:v>2152.23</x:v>
      </x:c>
      <x:c r="M58" s="12" t="n">
        <x:f>G58-L58</x:f>
        <x:v>8278.69</x:v>
      </x:c>
      <x:c r="N58" s="1" t="str">
        <x:f>IF(H58=0,"0 Current",IF(H58&lt;=30,"1 1-30",IF(H58&lt;=60,"2 31-60",IF(H58&lt;=90,"3 61-90",IF(H58&lt;=120,"4 91-120","5 121+")))))</x:f>
        <x:v>5 121+</x:v>
      </x:c>
      <x:c r="O58" s="1" t="n">
        <x:f>IF(J58&gt;0,1,0)</x:f>
        <x:v>1</x:v>
      </x:c>
    </x:row>
    <x:row r="59" ht="23" customHeight="1">
      <x:c r="A59" s="14" t="str">
        <x:v>55</x:v>
      </x:c>
      <x:c r="B59" s="1" t="str">
        <x:v>Alex</x:v>
      </x:c>
      <x:c r="C59" s="1" t="str">
        <x:v>Personal Loan</x:v>
      </x:c>
      <x:c r="D59" s="1" t="str">
        <x:v>Midwest</x:v>
      </x:c>
      <x:c r="E59" s="1" t="n">
        <x:v>802</x:v>
      </x:c>
      <x:c r="F59" s="10" t="n">
        <x:v>46103</x:v>
      </x:c>
      <x:c r="G59" s="12" t="n">
        <x:v>17550.37</x:v>
      </x:c>
      <x:c r="H59" s="1" t="n">
        <x:v>197</x:v>
      </x:c>
      <x:c r="I59" s="1" t="n">
        <x:v>7</x:v>
      </x:c>
      <x:c r="J59" s="1" t="n">
        <x:v>2</x:v>
      </x:c>
      <x:c r="K59" s="1" t="n">
        <x:v>0</x:v>
      </x:c>
      <x:c r="L59" s="12" t="n">
        <x:f>SUMIFS('Payments'!$D$5:$D$3014,'Payments'!$B$5:$B$3014,A59)</x:f>
        <x:v>1194.67</x:v>
      </x:c>
      <x:c r="M59" s="12" t="n">
        <x:f>G59-L59</x:f>
        <x:v>16355.699999999999</x:v>
      </x:c>
      <x:c r="N59" s="1" t="str">
        <x:f>IF(H59=0,"0 Current",IF(H59&lt;=30,"1 1-30",IF(H59&lt;=60,"2 31-60",IF(H59&lt;=90,"3 61-90",IF(H59&lt;=120,"4 91-120","5 121+")))))</x:f>
        <x:v>5 121+</x:v>
      </x:c>
      <x:c r="O59" s="1" t="n">
        <x:f>IF(J59&gt;0,1,0)</x:f>
        <x:v>1</x:v>
      </x:c>
    </x:row>
    <x:row r="60" ht="23" customHeight="1">
      <x:c r="A60" s="14" t="str">
        <x:v>56</x:v>
      </x:c>
      <x:c r="B60" s="1" t="str">
        <x:v>Riley</x:v>
      </x:c>
      <x:c r="C60" s="1" t="str">
        <x:v>Credit Card</x:v>
      </x:c>
      <x:c r="D60" s="1" t="str">
        <x:v>West</x:v>
      </x:c>
      <x:c r="E60" s="1" t="n">
        <x:v>718</x:v>
      </x:c>
      <x:c r="F60" s="10" t="n">
        <x:v>46114</x:v>
      </x:c>
      <x:c r="G60" s="12" t="n">
        <x:v>17119.69</x:v>
      </x:c>
      <x:c r="H60" s="1" t="n">
        <x:v>173</x:v>
      </x:c>
      <x:c r="I60" s="1" t="n">
        <x:v>7</x:v>
      </x:c>
      <x:c r="J60" s="1" t="n">
        <x:v>3</x:v>
      </x:c>
      <x:c r="K60" s="1" t="n">
        <x:v>0</x:v>
      </x:c>
      <x:c r="L60" s="12" t="n">
        <x:f>SUMIFS('Payments'!$D$5:$D$3014,'Payments'!$B$5:$B$3014,A60)</x:f>
        <x:v>783.48</x:v>
      </x:c>
      <x:c r="M60" s="12" t="n">
        <x:f>G60-L60</x:f>
        <x:v>16336.21</x:v>
      </x:c>
      <x:c r="N60" s="1" t="str">
        <x:f>IF(H60=0,"0 Current",IF(H60&lt;=30,"1 1-30",IF(H60&lt;=60,"2 31-60",IF(H60&lt;=90,"3 61-90",IF(H60&lt;=120,"4 91-120","5 121+")))))</x:f>
        <x:v>5 121+</x:v>
      </x:c>
      <x:c r="O60" s="1" t="n">
        <x:f>IF(J60&gt;0,1,0)</x:f>
        <x:v>1</x:v>
      </x:c>
    </x:row>
    <x:row r="61">
      <x:c r="A61" s="15" t="str">
        <x:v>57</x:v>
      </x:c>
      <x:c r="B61" s="9" t="str">
        <x:v>Riley</x:v>
      </x:c>
      <x:c r="C61" s="9" t="str">
        <x:v>Personal Loan</x:v>
      </x:c>
      <x:c r="D61" s="9" t="str">
        <x:v>West</x:v>
      </x:c>
      <x:c r="E61" s="9" t="n">
        <x:v>605</x:v>
      </x:c>
      <x:c r="F61" s="11" t="n">
        <x:v>46044</x:v>
      </x:c>
      <x:c r="G61" s="13" t="n">
        <x:v>24924.43</x:v>
      </x:c>
      <x:c r="H61" s="9" t="n">
        <x:v>234</x:v>
      </x:c>
      <x:c r="I61" s="9" t="n">
        <x:v>0</x:v>
      </x:c>
      <x:c r="J61" s="9" t="n">
        <x:v>0</x:v>
      </x:c>
      <x:c r="K61" s="9" t="n">
        <x:v>0</x:v>
      </x:c>
      <x:c r="L61" s="13" t="n">
        <x:f>SUMIFS('Payments'!$D$5:$D$3014,'Payments'!$B$5:$B$3014,A61)</x:f>
        <x:v>0</x:v>
      </x:c>
      <x:c r="M61" s="13" t="n">
        <x:f>G61-L61</x:f>
        <x:v>24924.43</x:v>
      </x:c>
      <x:c r="N61" s="9" t="str">
        <x:f>IF(H61=0,"0 Current",IF(H61&lt;=30,"1 1-30",IF(H61&lt;=60,"2 31-60",IF(H61&lt;=90,"3 61-90",IF(H61&lt;=120,"4 91-120","5 121+")))))</x:f>
        <x:v>5 121+</x:v>
      </x:c>
      <x:c r="O61" s="9" t="n">
        <x:f>IF(J61&gt;0,1,0)</x:f>
        <x:v>0</x:v>
      </x:c>
    </x:row>
    <x:row r="62">
      <x:c r="A62" s="15" t="str">
        <x:v>58</x:v>
      </x:c>
      <x:c r="B62" s="9" t="str">
        <x:v>Taylor</x:v>
      </x:c>
      <x:c r="C62" s="9" t="str">
        <x:v>Auto</x:v>
      </x:c>
      <x:c r="D62" s="9" t="str">
        <x:v>South</x:v>
      </x:c>
      <x:c r="E62" s="9" t="n">
        <x:v>490</x:v>
      </x:c>
      <x:c r="F62" s="11" t="n">
        <x:v>46039</x:v>
      </x:c>
      <x:c r="G62" s="13" t="n">
        <x:v>8794.25</x:v>
      </x:c>
      <x:c r="H62" s="9" t="n">
        <x:v>207</x:v>
      </x:c>
      <x:c r="I62" s="9" t="n">
        <x:v>1</x:v>
      </x:c>
      <x:c r="J62" s="9" t="n">
        <x:v>1</x:v>
      </x:c>
      <x:c r="K62" s="9" t="n">
        <x:v>1</x:v>
      </x:c>
      <x:c r="L62" s="13" t="n">
        <x:f>SUMIFS('Payments'!$D$5:$D$3014,'Payments'!$B$5:$B$3014,A62)</x:f>
        <x:v>130.55</x:v>
      </x:c>
      <x:c r="M62" s="13" t="n">
        <x:f>G62-L62</x:f>
        <x:v>8663.7</x:v>
      </x:c>
      <x:c r="N62" s="9" t="str">
        <x:f>IF(H62=0,"0 Current",IF(H62&lt;=30,"1 1-30",IF(H62&lt;=60,"2 31-60",IF(H62&lt;=90,"3 61-90",IF(H62&lt;=120,"4 91-120","5 121+")))))</x:f>
        <x:v>5 121+</x:v>
      </x:c>
      <x:c r="O62" s="9" t="n">
        <x:f>IF(J62&gt;0,1,0)</x:f>
        <x:v>1</x:v>
      </x:c>
    </x:row>
    <x:row r="63">
      <x:c r="A63" s="15" t="str">
        <x:v>59</x:v>
      </x:c>
      <x:c r="B63" s="9" t="str">
        <x:v>Riley</x:v>
      </x:c>
      <x:c r="C63" s="9" t="str">
        <x:v>Auto</x:v>
      </x:c>
      <x:c r="D63" s="9" t="str">
        <x:v>West</x:v>
      </x:c>
      <x:c r="E63" s="9" t="n">
        <x:v>466</x:v>
      </x:c>
      <x:c r="F63" s="11" t="n">
        <x:v>46035</x:v>
      </x:c>
      <x:c r="G63" s="13" t="n">
        <x:v>7545.97</x:v>
      </x:c>
      <x:c r="H63" s="9" t="n">
        <x:v>210</x:v>
      </x:c>
      <x:c r="I63" s="9" t="n">
        <x:v>3</x:v>
      </x:c>
      <x:c r="J63" s="9" t="n">
        <x:v>2</x:v>
      </x:c>
      <x:c r="K63" s="9" t="n">
        <x:v>0</x:v>
      </x:c>
      <x:c r="L63" s="13" t="n">
        <x:f>SUMIFS('Payments'!$D$5:$D$3014,'Payments'!$B$5:$B$3014,A63)</x:f>
        <x:v>1408.4299999999998</x:v>
      </x:c>
      <x:c r="M63" s="13" t="n">
        <x:f>G63-L63</x:f>
        <x:v>6137.540000000001</x:v>
      </x:c>
      <x:c r="N63" s="9" t="str">
        <x:f>IF(H63=0,"0 Current",IF(H63&lt;=30,"1 1-30",IF(H63&lt;=60,"2 31-60",IF(H63&lt;=90,"3 61-90",IF(H63&lt;=120,"4 91-120","5 121+")))))</x:f>
        <x:v>5 121+</x:v>
      </x:c>
      <x:c r="O63" s="9" t="n">
        <x:f>IF(J63&gt;0,1,0)</x:f>
        <x:v>1</x:v>
      </x:c>
    </x:row>
    <x:row r="64">
      <x:c r="A64" s="15" t="str">
        <x:v>60</x:v>
      </x:c>
      <x:c r="B64" s="9" t="str">
        <x:v>Morgan</x:v>
      </x:c>
      <x:c r="C64" s="9" t="str">
        <x:v>Auto</x:v>
      </x:c>
      <x:c r="D64" s="9" t="str">
        <x:v>Northeast</x:v>
      </x:c>
      <x:c r="E64" s="9" t="n">
        <x:v>476</x:v>
      </x:c>
      <x:c r="F64" s="11" t="n">
        <x:v>46085</x:v>
      </x:c>
      <x:c r="G64" s="13" t="n">
        <x:v>12877.6</x:v>
      </x:c>
      <x:c r="H64" s="9" t="n">
        <x:v>225</x:v>
      </x:c>
      <x:c r="I64" s="9" t="n">
        <x:v>8</x:v>
      </x:c>
      <x:c r="J64" s="9" t="n">
        <x:v>3</x:v>
      </x:c>
      <x:c r="K64" s="9" t="n">
        <x:v>1</x:v>
      </x:c>
      <x:c r="L64" s="13" t="n">
        <x:f>SUMIFS('Payments'!$D$5:$D$3014,'Payments'!$B$5:$B$3014,A64)</x:f>
        <x:v>3628.74</x:v>
      </x:c>
      <x:c r="M64" s="13" t="n">
        <x:f>G64-L64</x:f>
        <x:v>9248.86</x:v>
      </x:c>
      <x:c r="N64" s="9" t="str">
        <x:f>IF(H64=0,"0 Current",IF(H64&lt;=30,"1 1-30",IF(H64&lt;=60,"2 31-60",IF(H64&lt;=90,"3 61-90",IF(H64&lt;=120,"4 91-120","5 121+")))))</x:f>
        <x:v>5 121+</x:v>
      </x:c>
      <x:c r="O64" s="9" t="n">
        <x:f>IF(J64&gt;0,1,0)</x:f>
        <x:v>1</x:v>
      </x:c>
    </x:row>
    <x:row r="65">
      <x:c r="A65" s="15" t="str">
        <x:v>61</x:v>
      </x:c>
      <x:c r="B65" s="9" t="str">
        <x:v>Riley</x:v>
      </x:c>
      <x:c r="C65" s="9" t="str">
        <x:v>Medical</x:v>
      </x:c>
      <x:c r="D65" s="9" t="str">
        <x:v>South</x:v>
      </x:c>
      <x:c r="E65" s="9" t="n">
        <x:v>741</x:v>
      </x:c>
      <x:c r="F65" s="11" t="n">
        <x:v>46029</x:v>
      </x:c>
      <x:c r="G65" s="13" t="n">
        <x:v>13874.69</x:v>
      </x:c>
      <x:c r="H65" s="9" t="n">
        <x:v>7</x:v>
      </x:c>
      <x:c r="I65" s="9" t="n">
        <x:v>3</x:v>
      </x:c>
      <x:c r="J65" s="9" t="n">
        <x:v>1</x:v>
      </x:c>
      <x:c r="K65" s="9" t="n">
        <x:v>0</x:v>
      </x:c>
      <x:c r="L65" s="13" t="n">
        <x:f>SUMIFS('Payments'!$D$5:$D$3014,'Payments'!$B$5:$B$3014,A65)</x:f>
        <x:v>1561.4599999999998</x:v>
      </x:c>
      <x:c r="M65" s="13" t="n">
        <x:f>G65-L65</x:f>
        <x:v>12313.230000000001</x:v>
      </x:c>
      <x:c r="N65" s="9" t="str">
        <x:f>IF(H65=0,"0 Current",IF(H65&lt;=30,"1 1-30",IF(H65&lt;=60,"2 31-60",IF(H65&lt;=90,"3 61-90",IF(H65&lt;=120,"4 91-120","5 121+")))))</x:f>
        <x:v>1 1-30</x:v>
      </x:c>
      <x:c r="O65" s="9" t="n">
        <x:f>IF(J65&gt;0,1,0)</x:f>
        <x:v>1</x:v>
      </x:c>
    </x:row>
    <x:row r="66">
      <x:c r="A66" s="15" t="str">
        <x:v>62</x:v>
      </x:c>
      <x:c r="B66" s="9" t="str">
        <x:v>Riley</x:v>
      </x:c>
      <x:c r="C66" s="9" t="str">
        <x:v>Auto</x:v>
      </x:c>
      <x:c r="D66" s="9" t="str">
        <x:v>South</x:v>
      </x:c>
      <x:c r="E66" s="9" t="n">
        <x:v>768</x:v>
      </x:c>
      <x:c r="F66" s="11" t="n">
        <x:v>46037</x:v>
      </x:c>
      <x:c r="G66" s="13" t="n">
        <x:v>9702.78</x:v>
      </x:c>
      <x:c r="H66" s="9" t="n">
        <x:v>90</x:v>
      </x:c>
      <x:c r="I66" s="9" t="n">
        <x:v>5</x:v>
      </x:c>
      <x:c r="J66" s="9" t="n">
        <x:v>4</x:v>
      </x:c>
      <x:c r="K66" s="9" t="n">
        <x:v>1</x:v>
      </x:c>
      <x:c r="L66" s="13" t="n">
        <x:f>SUMIFS('Payments'!$D$5:$D$3014,'Payments'!$B$5:$B$3014,A66)</x:f>
        <x:v>240.81</x:v>
      </x:c>
      <x:c r="M66" s="13" t="n">
        <x:f>G66-L66</x:f>
        <x:v>9461.970000000001</x:v>
      </x:c>
      <x:c r="N66" s="9" t="str">
        <x:f>IF(H66=0,"0 Current",IF(H66&lt;=30,"1 1-30",IF(H66&lt;=60,"2 31-60",IF(H66&lt;=90,"3 61-90",IF(H66&lt;=120,"4 91-120","5 121+")))))</x:f>
        <x:v>3 61-90</x:v>
      </x:c>
      <x:c r="O66" s="9" t="n">
        <x:f>IF(J66&gt;0,1,0)</x:f>
        <x:v>1</x:v>
      </x:c>
    </x:row>
    <x:row r="67">
      <x:c r="A67" s="15" t="str">
        <x:v>63</x:v>
      </x:c>
      <x:c r="B67" s="9" t="str">
        <x:v>Jordan</x:v>
      </x:c>
      <x:c r="C67" s="9" t="str">
        <x:v>Medical</x:v>
      </x:c>
      <x:c r="D67" s="9" t="str">
        <x:v>West</x:v>
      </x:c>
      <x:c r="E67" s="9" t="n">
        <x:v>725</x:v>
      </x:c>
      <x:c r="F67" s="11" t="n">
        <x:v>46149</x:v>
      </x:c>
      <x:c r="G67" s="13" t="n">
        <x:v>23238.35</x:v>
      </x:c>
      <x:c r="H67" s="9" t="n">
        <x:v>125</x:v>
      </x:c>
      <x:c r="I67" s="9" t="n">
        <x:v>1</x:v>
      </x:c>
      <x:c r="J67" s="9" t="n">
        <x:v>0</x:v>
      </x:c>
      <x:c r="K67" s="9" t="n">
        <x:v>0</x:v>
      </x:c>
      <x:c r="L67" s="13" t="n">
        <x:f>SUMIFS('Payments'!$D$5:$D$3014,'Payments'!$B$5:$B$3014,A67)</x:f>
        <x:v>0</x:v>
      </x:c>
      <x:c r="M67" s="13" t="n">
        <x:f>G67-L67</x:f>
        <x:v>23238.35</x:v>
      </x:c>
      <x:c r="N67" s="9" t="str">
        <x:f>IF(H67=0,"0 Current",IF(H67&lt;=30,"1 1-30",IF(H67&lt;=60,"2 31-60",IF(H67&lt;=90,"3 61-90",IF(H67&lt;=120,"4 91-120","5 121+")))))</x:f>
        <x:v>5 121+</x:v>
      </x:c>
      <x:c r="O67" s="9" t="n">
        <x:f>IF(J67&gt;0,1,0)</x:f>
        <x:v>0</x:v>
      </x:c>
    </x:row>
    <x:row r="68">
      <x:c r="A68" s="15" t="str">
        <x:v>64</x:v>
      </x:c>
      <x:c r="B68" s="9" t="str">
        <x:v>Riley</x:v>
      </x:c>
      <x:c r="C68" s="9" t="str">
        <x:v>Auto</x:v>
      </x:c>
      <x:c r="D68" s="9" t="str">
        <x:v>Northeast</x:v>
      </x:c>
      <x:c r="E68" s="9" t="n">
        <x:v>617</x:v>
      </x:c>
      <x:c r="F68" s="11" t="n">
        <x:v>46079</x:v>
      </x:c>
      <x:c r="G68" s="13" t="n">
        <x:v>1335.84</x:v>
      </x:c>
      <x:c r="H68" s="9" t="n">
        <x:v>0</x:v>
      </x:c>
      <x:c r="I68" s="9" t="n">
        <x:v>2</x:v>
      </x:c>
      <x:c r="J68" s="9" t="n">
        <x:v>2</x:v>
      </x:c>
      <x:c r="K68" s="9" t="n">
        <x:v>0</x:v>
      </x:c>
      <x:c r="L68" s="13" t="n">
        <x:f>SUMIFS('Payments'!$D$5:$D$3014,'Payments'!$B$5:$B$3014,A68)</x:f>
        <x:v>203.38</x:v>
      </x:c>
      <x:c r="M68" s="13" t="n">
        <x:f>G68-L68</x:f>
        <x:v>1132.46</x:v>
      </x:c>
      <x:c r="N68" s="9" t="str">
        <x:f>IF(H68=0,"0 Current",IF(H68&lt;=30,"1 1-30",IF(H68&lt;=60,"2 31-60",IF(H68&lt;=90,"3 61-90",IF(H68&lt;=120,"4 91-120","5 121+")))))</x:f>
        <x:v>0 Current</x:v>
      </x:c>
      <x:c r="O68" s="9" t="n">
        <x:f>IF(J68&gt;0,1,0)</x:f>
        <x:v>1</x:v>
      </x:c>
    </x:row>
    <x:row r="69">
      <x:c r="A69" s="15" t="str">
        <x:v>65</x:v>
      </x:c>
      <x:c r="B69" s="9" t="str">
        <x:v>Alex</x:v>
      </x:c>
      <x:c r="C69" s="9" t="str">
        <x:v>Medical</x:v>
      </x:c>
      <x:c r="D69" s="9" t="str">
        <x:v>West</x:v>
      </x:c>
      <x:c r="E69" s="9" t="n">
        <x:v>725</x:v>
      </x:c>
      <x:c r="F69" s="11" t="n">
        <x:v>46105</x:v>
      </x:c>
      <x:c r="G69" s="13" t="n">
        <x:v>2997.95</x:v>
      </x:c>
      <x:c r="H69" s="9" t="n">
        <x:v>150</x:v>
      </x:c>
      <x:c r="I69" s="9" t="n">
        <x:v>5</x:v>
      </x:c>
      <x:c r="J69" s="9" t="n">
        <x:v>1</x:v>
      </x:c>
      <x:c r="K69" s="9" t="n">
        <x:v>0</x:v>
      </x:c>
      <x:c r="L69" s="13" t="n">
        <x:f>SUMIFS('Payments'!$D$5:$D$3014,'Payments'!$B$5:$B$3014,A69)</x:f>
        <x:v>82.69</x:v>
      </x:c>
      <x:c r="M69" s="13" t="n">
        <x:f>G69-L69</x:f>
        <x:v>2915.2599999999998</x:v>
      </x:c>
      <x:c r="N69" s="9" t="str">
        <x:f>IF(H69=0,"0 Current",IF(H69&lt;=30,"1 1-30",IF(H69&lt;=60,"2 31-60",IF(H69&lt;=90,"3 61-90",IF(H69&lt;=120,"4 91-120","5 121+")))))</x:f>
        <x:v>5 121+</x:v>
      </x:c>
      <x:c r="O69" s="9" t="n">
        <x:f>IF(J69&gt;0,1,0)</x:f>
        <x:v>1</x:v>
      </x:c>
    </x:row>
    <x:row r="70">
      <x:c r="A70" s="15" t="str">
        <x:v>66</x:v>
      </x:c>
      <x:c r="B70" s="9" t="str">
        <x:v>Taylor</x:v>
      </x:c>
      <x:c r="C70" s="9" t="str">
        <x:v>Personal Loan</x:v>
      </x:c>
      <x:c r="D70" s="9" t="str">
        <x:v>West</x:v>
      </x:c>
      <x:c r="E70" s="9" t="n">
        <x:v>690</x:v>
      </x:c>
      <x:c r="F70" s="11" t="n">
        <x:v>46134</x:v>
      </x:c>
      <x:c r="G70" s="13" t="n">
        <x:v>20934.64</x:v>
      </x:c>
      <x:c r="H70" s="9" t="n">
        <x:v>44</x:v>
      </x:c>
      <x:c r="I70" s="9" t="n">
        <x:v>2</x:v>
      </x:c>
      <x:c r="J70" s="9" t="n">
        <x:v>2</x:v>
      </x:c>
      <x:c r="K70" s="9" t="n">
        <x:v>0</x:v>
      </x:c>
      <x:c r="L70" s="13" t="n">
        <x:f>SUMIFS('Payments'!$D$5:$D$3014,'Payments'!$B$5:$B$3014,A70)</x:f>
        <x:v>5359.349999999999</x:v>
      </x:c>
      <x:c r="M70" s="13" t="n">
        <x:f>G70-L70</x:f>
        <x:v>15575.29</x:v>
      </x:c>
      <x:c r="N70" s="9" t="str">
        <x:f>IF(H70=0,"0 Current",IF(H70&lt;=30,"1 1-30",IF(H70&lt;=60,"2 31-60",IF(H70&lt;=90,"3 61-90",IF(H70&lt;=120,"4 91-120","5 121+")))))</x:f>
        <x:v>2 31-60</x:v>
      </x:c>
      <x:c r="O70" s="9" t="n">
        <x:f>IF(J70&gt;0,1,0)</x:f>
        <x:v>1</x:v>
      </x:c>
    </x:row>
    <x:row r="71">
      <x:c r="A71" s="15" t="str">
        <x:v>67</x:v>
      </x:c>
      <x:c r="B71" s="9" t="str">
        <x:v>Casey</x:v>
      </x:c>
      <x:c r="C71" s="9" t="str">
        <x:v>Personal Loan</x:v>
      </x:c>
      <x:c r="D71" s="9" t="str">
        <x:v>Midwest</x:v>
      </x:c>
      <x:c r="E71" s="9" t="n">
        <x:v>703</x:v>
      </x:c>
      <x:c r="F71" s="11" t="n">
        <x:v>46168</x:v>
      </x:c>
      <x:c r="G71" s="13" t="n">
        <x:v>1858.23</x:v>
      </x:c>
      <x:c r="H71" s="9" t="n">
        <x:v>235</x:v>
      </x:c>
      <x:c r="I71" s="9" t="n">
        <x:v>5</x:v>
      </x:c>
      <x:c r="J71" s="9" t="n">
        <x:v>2</x:v>
      </x:c>
      <x:c r="K71" s="9" t="n">
        <x:v>0</x:v>
      </x:c>
      <x:c r="L71" s="13" t="n">
        <x:f>SUMIFS('Payments'!$D$5:$D$3014,'Payments'!$B$5:$B$3014,A71)</x:f>
        <x:v>461.45000000000005</x:v>
      </x:c>
      <x:c r="M71" s="13" t="n">
        <x:f>G71-L71</x:f>
        <x:v>1396.78</x:v>
      </x:c>
      <x:c r="N71" s="9" t="str">
        <x:f>IF(H71=0,"0 Current",IF(H71&lt;=30,"1 1-30",IF(H71&lt;=60,"2 31-60",IF(H71&lt;=90,"3 61-90",IF(H71&lt;=120,"4 91-120","5 121+")))))</x:f>
        <x:v>5 121+</x:v>
      </x:c>
      <x:c r="O71" s="9" t="n">
        <x:f>IF(J71&gt;0,1,0)</x:f>
        <x:v>1</x:v>
      </x:c>
    </x:row>
    <x:row r="72">
      <x:c r="A72" s="15" t="str">
        <x:v>68</x:v>
      </x:c>
      <x:c r="B72" s="9" t="str">
        <x:v>Alex</x:v>
      </x:c>
      <x:c r="C72" s="9" t="str">
        <x:v>Auto</x:v>
      </x:c>
      <x:c r="D72" s="9" t="str">
        <x:v>Northeast</x:v>
      </x:c>
      <x:c r="E72" s="9" t="n">
        <x:v>768</x:v>
      </x:c>
      <x:c r="F72" s="11" t="n">
        <x:v>46050</x:v>
      </x:c>
      <x:c r="G72" s="13" t="n">
        <x:v>553.73</x:v>
      </x:c>
      <x:c r="H72" s="9" t="n">
        <x:v>112</x:v>
      </x:c>
      <x:c r="I72" s="9" t="n">
        <x:v>6</x:v>
      </x:c>
      <x:c r="J72" s="9" t="n">
        <x:v>3</x:v>
      </x:c>
      <x:c r="K72" s="9" t="n">
        <x:v>0</x:v>
      </x:c>
      <x:c r="L72" s="13" t="n">
        <x:f>SUMIFS('Payments'!$D$5:$D$3014,'Payments'!$B$5:$B$3014,A72)</x:f>
        <x:v>112.78</x:v>
      </x:c>
      <x:c r="M72" s="13" t="n">
        <x:f>G72-L72</x:f>
        <x:v>440.95000000000005</x:v>
      </x:c>
      <x:c r="N72" s="9" t="str">
        <x:f>IF(H72=0,"0 Current",IF(H72&lt;=30,"1 1-30",IF(H72&lt;=60,"2 31-60",IF(H72&lt;=90,"3 61-90",IF(H72&lt;=120,"4 91-120","5 121+")))))</x:f>
        <x:v>4 91-120</x:v>
      </x:c>
      <x:c r="O72" s="9" t="n">
        <x:f>IF(J72&gt;0,1,0)</x:f>
        <x:v>1</x:v>
      </x:c>
    </x:row>
    <x:row r="73">
      <x:c r="A73" s="15" t="str">
        <x:v>69</x:v>
      </x:c>
      <x:c r="B73" s="9" t="str">
        <x:v>Jordan</x:v>
      </x:c>
      <x:c r="C73" s="9" t="str">
        <x:v>Medical</x:v>
      </x:c>
      <x:c r="D73" s="9" t="str">
        <x:v>Northeast</x:v>
      </x:c>
      <x:c r="E73" s="9" t="n">
        <x:v>769</x:v>
      </x:c>
      <x:c r="F73" s="11" t="n">
        <x:v>46049</x:v>
      </x:c>
      <x:c r="G73" s="13" t="n">
        <x:v>3612.19</x:v>
      </x:c>
      <x:c r="H73" s="9" t="n">
        <x:v>227</x:v>
      </x:c>
      <x:c r="I73" s="9" t="n">
        <x:v>7</x:v>
      </x:c>
      <x:c r="J73" s="9" t="n">
        <x:v>2</x:v>
      </x:c>
      <x:c r="K73" s="9" t="n">
        <x:v>0</x:v>
      </x:c>
      <x:c r="L73" s="13" t="n">
        <x:f>SUMIFS('Payments'!$D$5:$D$3014,'Payments'!$B$5:$B$3014,A73)</x:f>
        <x:v>715.43</x:v>
      </x:c>
      <x:c r="M73" s="13" t="n">
        <x:f>G73-L73</x:f>
        <x:v>2896.76</x:v>
      </x:c>
      <x:c r="N73" s="9" t="str">
        <x:f>IF(H73=0,"0 Current",IF(H73&lt;=30,"1 1-30",IF(H73&lt;=60,"2 31-60",IF(H73&lt;=90,"3 61-90",IF(H73&lt;=120,"4 91-120","5 121+")))))</x:f>
        <x:v>5 121+</x:v>
      </x:c>
      <x:c r="O73" s="9" t="n">
        <x:f>IF(J73&gt;0,1,0)</x:f>
        <x:v>1</x:v>
      </x:c>
    </x:row>
    <x:row r="74">
      <x:c r="A74" s="15" t="str">
        <x:v>70</x:v>
      </x:c>
      <x:c r="B74" s="9" t="str">
        <x:v>Casey</x:v>
      </x:c>
      <x:c r="C74" s="9" t="str">
        <x:v>Credit Card</x:v>
      </x:c>
      <x:c r="D74" s="9" t="str">
        <x:v>Midwest</x:v>
      </x:c>
      <x:c r="E74" s="9" t="n">
        <x:v>813</x:v>
      </x:c>
      <x:c r="F74" s="11" t="n">
        <x:v>46095</x:v>
      </x:c>
      <x:c r="G74" s="13" t="n">
        <x:v>12973.88</x:v>
      </x:c>
      <x:c r="H74" s="9" t="n">
        <x:v>12</x:v>
      </x:c>
      <x:c r="I74" s="9" t="n">
        <x:v>0</x:v>
      </x:c>
      <x:c r="J74" s="9" t="n">
        <x:v>0</x:v>
      </x:c>
      <x:c r="K74" s="9" t="n">
        <x:v>0</x:v>
      </x:c>
      <x:c r="L74" s="13" t="n">
        <x:f>SUMIFS('Payments'!$D$5:$D$3014,'Payments'!$B$5:$B$3014,A74)</x:f>
        <x:v>2958.73</x:v>
      </x:c>
      <x:c r="M74" s="13" t="n">
        <x:f>G74-L74</x:f>
        <x:v>10015.15</x:v>
      </x:c>
      <x:c r="N74" s="9" t="str">
        <x:f>IF(H74=0,"0 Current",IF(H74&lt;=30,"1 1-30",IF(H74&lt;=60,"2 31-60",IF(H74&lt;=90,"3 61-90",IF(H74&lt;=120,"4 91-120","5 121+")))))</x:f>
        <x:v>1 1-30</x:v>
      </x:c>
      <x:c r="O74" s="9" t="n">
        <x:f>IF(J74&gt;0,1,0)</x:f>
        <x:v>0</x:v>
      </x:c>
    </x:row>
    <x:row r="75">
      <x:c r="A75" s="15" t="str">
        <x:v>71</x:v>
      </x:c>
      <x:c r="B75" s="9" t="str">
        <x:v>Jordan</x:v>
      </x:c>
      <x:c r="C75" s="9" t="str">
        <x:v>Auto</x:v>
      </x:c>
      <x:c r="D75" s="9" t="str">
        <x:v>Midwest</x:v>
      </x:c>
      <x:c r="E75" s="9" t="n">
        <x:v>477</x:v>
      </x:c>
      <x:c r="F75" s="11" t="n">
        <x:v>46132</x:v>
      </x:c>
      <x:c r="G75" s="13" t="n">
        <x:v>4175.39</x:v>
      </x:c>
      <x:c r="H75" s="9" t="n">
        <x:v>51</x:v>
      </x:c>
      <x:c r="I75" s="9" t="n">
        <x:v>0</x:v>
      </x:c>
      <x:c r="J75" s="9" t="n">
        <x:v>0</x:v>
      </x:c>
      <x:c r="K75" s="9" t="n">
        <x:v>0</x:v>
      </x:c>
      <x:c r="L75" s="13" t="n">
        <x:f>SUMIFS('Payments'!$D$5:$D$3014,'Payments'!$B$5:$B$3014,A75)</x:f>
        <x:v>0</x:v>
      </x:c>
      <x:c r="M75" s="13" t="n">
        <x:f>G75-L75</x:f>
        <x:v>4175.39</x:v>
      </x:c>
      <x:c r="N75" s="9" t="str">
        <x:f>IF(H75=0,"0 Current",IF(H75&lt;=30,"1 1-30",IF(H75&lt;=60,"2 31-60",IF(H75&lt;=90,"3 61-90",IF(H75&lt;=120,"4 91-120","5 121+")))))</x:f>
        <x:v>2 31-60</x:v>
      </x:c>
      <x:c r="O75" s="9" t="n">
        <x:f>IF(J75&gt;0,1,0)</x:f>
        <x:v>0</x:v>
      </x:c>
    </x:row>
    <x:row r="76">
      <x:c r="A76" s="15" t="str">
        <x:v>72</x:v>
      </x:c>
      <x:c r="B76" s="9" t="str">
        <x:v>Taylor</x:v>
      </x:c>
      <x:c r="C76" s="9" t="str">
        <x:v>Personal Loan</x:v>
      </x:c>
      <x:c r="D76" s="9" t="str">
        <x:v>Midwest</x:v>
      </x:c>
      <x:c r="E76" s="9" t="n">
        <x:v>642</x:v>
      </x:c>
      <x:c r="F76" s="11" t="n">
        <x:v>46075</x:v>
      </x:c>
      <x:c r="G76" s="13" t="n">
        <x:v>7665.22</x:v>
      </x:c>
      <x:c r="H76" s="9" t="n">
        <x:v>20</x:v>
      </x:c>
      <x:c r="I76" s="9" t="n">
        <x:v>1</x:v>
      </x:c>
      <x:c r="J76" s="9" t="n">
        <x:v>0</x:v>
      </x:c>
      <x:c r="K76" s="9" t="n">
        <x:v>0</x:v>
      </x:c>
      <x:c r="L76" s="13" t="n">
        <x:f>SUMIFS('Payments'!$D$5:$D$3014,'Payments'!$B$5:$B$3014,A76)</x:f>
        <x:v>1343.4099999999999</x:v>
      </x:c>
      <x:c r="M76" s="13" t="n">
        <x:f>G76-L76</x:f>
        <x:v>6321.81</x:v>
      </x:c>
      <x:c r="N76" s="9" t="str">
        <x:f>IF(H76=0,"0 Current",IF(H76&lt;=30,"1 1-30",IF(H76&lt;=60,"2 31-60",IF(H76&lt;=90,"3 61-90",IF(H76&lt;=120,"4 91-120","5 121+")))))</x:f>
        <x:v>1 1-30</x:v>
      </x:c>
      <x:c r="O76" s="9" t="n">
        <x:f>IF(J76&gt;0,1,0)</x:f>
        <x:v>0</x:v>
      </x:c>
    </x:row>
    <x:row r="77">
      <x:c r="A77" s="15" t="str">
        <x:v>73</x:v>
      </x:c>
      <x:c r="B77" s="9" t="str">
        <x:v>Casey</x:v>
      </x:c>
      <x:c r="C77" s="9" t="str">
        <x:v>Auto</x:v>
      </x:c>
      <x:c r="D77" s="9" t="str">
        <x:v>South</x:v>
      </x:c>
      <x:c r="E77" s="9" t="n">
        <x:v>652</x:v>
      </x:c>
      <x:c r="F77" s="11" t="n">
        <x:v>46120</x:v>
      </x:c>
      <x:c r="G77" s="13" t="n">
        <x:v>15993.82</x:v>
      </x:c>
      <x:c r="H77" s="9" t="n">
        <x:v>11</x:v>
      </x:c>
      <x:c r="I77" s="9" t="n">
        <x:v>4</x:v>
      </x:c>
      <x:c r="J77" s="9" t="n">
        <x:v>2</x:v>
      </x:c>
      <x:c r="K77" s="9" t="n">
        <x:v>1</x:v>
      </x:c>
      <x:c r="L77" s="13" t="n">
        <x:f>SUMIFS('Payments'!$D$5:$D$3014,'Payments'!$B$5:$B$3014,A77)</x:f>
        <x:v>1863.23</x:v>
      </x:c>
      <x:c r="M77" s="13" t="n">
        <x:f>G77-L77</x:f>
        <x:v>14130.59</x:v>
      </x:c>
      <x:c r="N77" s="9" t="str">
        <x:f>IF(H77=0,"0 Current",IF(H77&lt;=30,"1 1-30",IF(H77&lt;=60,"2 31-60",IF(H77&lt;=90,"3 61-90",IF(H77&lt;=120,"4 91-120","5 121+")))))</x:f>
        <x:v>1 1-30</x:v>
      </x:c>
      <x:c r="O77" s="9" t="n">
        <x:f>IF(J77&gt;0,1,0)</x:f>
        <x:v>1</x:v>
      </x:c>
    </x:row>
    <x:row r="78">
      <x:c r="A78" s="15" t="str">
        <x:v>74</x:v>
      </x:c>
      <x:c r="B78" s="9" t="str">
        <x:v>Alex</x:v>
      </x:c>
      <x:c r="C78" s="9" t="str">
        <x:v>Auto</x:v>
      </x:c>
      <x:c r="D78" s="9" t="str">
        <x:v>Northeast</x:v>
      </x:c>
      <x:c r="E78" s="9" t="n">
        <x:v>789</x:v>
      </x:c>
      <x:c r="F78" s="11" t="n">
        <x:v>46081</x:v>
      </x:c>
      <x:c r="G78" s="13" t="n">
        <x:v>23719.74</x:v>
      </x:c>
      <x:c r="H78" s="9" t="n">
        <x:v>209</x:v>
      </x:c>
      <x:c r="I78" s="9" t="n">
        <x:v>6</x:v>
      </x:c>
      <x:c r="J78" s="9" t="n">
        <x:v>3</x:v>
      </x:c>
      <x:c r="K78" s="9" t="n">
        <x:v>0</x:v>
      </x:c>
      <x:c r="L78" s="13" t="n">
        <x:f>SUMIFS('Payments'!$D$5:$D$3014,'Payments'!$B$5:$B$3014,A78)</x:f>
        <x:v>7526.550000000001</x:v>
      </x:c>
      <x:c r="M78" s="13" t="n">
        <x:f>G78-L78</x:f>
        <x:v>16193.19</x:v>
      </x:c>
      <x:c r="N78" s="9" t="str">
        <x:f>IF(H78=0,"0 Current",IF(H78&lt;=30,"1 1-30",IF(H78&lt;=60,"2 31-60",IF(H78&lt;=90,"3 61-90",IF(H78&lt;=120,"4 91-120","5 121+")))))</x:f>
        <x:v>5 121+</x:v>
      </x:c>
      <x:c r="O78" s="9" t="n">
        <x:f>IF(J78&gt;0,1,0)</x:f>
        <x:v>1</x:v>
      </x:c>
    </x:row>
    <x:row r="79">
      <x:c r="A79" s="15" t="str">
        <x:v>75</x:v>
      </x:c>
      <x:c r="B79" s="9" t="str">
        <x:v>Casey</x:v>
      </x:c>
      <x:c r="C79" s="9" t="str">
        <x:v>Medical</x:v>
      </x:c>
      <x:c r="D79" s="9" t="str">
        <x:v>Midwest</x:v>
      </x:c>
      <x:c r="E79" s="9" t="n">
        <x:v>676</x:v>
      </x:c>
      <x:c r="F79" s="11" t="n">
        <x:v>46067</x:v>
      </x:c>
      <x:c r="G79" s="13" t="n">
        <x:v>7511.39</x:v>
      </x:c>
      <x:c r="H79" s="9" t="n">
        <x:v>32</x:v>
      </x:c>
      <x:c r="I79" s="9" t="n">
        <x:v>6</x:v>
      </x:c>
      <x:c r="J79" s="9" t="n">
        <x:v>2</x:v>
      </x:c>
      <x:c r="K79" s="9" t="n">
        <x:v>1</x:v>
      </x:c>
      <x:c r="L79" s="13" t="n">
        <x:f>SUMIFS('Payments'!$D$5:$D$3014,'Payments'!$B$5:$B$3014,A79)</x:f>
        <x:v>0</x:v>
      </x:c>
      <x:c r="M79" s="13" t="n">
        <x:f>G79-L79</x:f>
        <x:v>7511.39</x:v>
      </x:c>
      <x:c r="N79" s="9" t="str">
        <x:f>IF(H79=0,"0 Current",IF(H79&lt;=30,"1 1-30",IF(H79&lt;=60,"2 31-60",IF(H79&lt;=90,"3 61-90",IF(H79&lt;=120,"4 91-120","5 121+")))))</x:f>
        <x:v>2 31-60</x:v>
      </x:c>
      <x:c r="O79" s="9" t="n">
        <x:f>IF(J79&gt;0,1,0)</x:f>
        <x:v>1</x:v>
      </x:c>
    </x:row>
    <x:row r="80">
      <x:c r="A80" s="15" t="str">
        <x:v>76</x:v>
      </x:c>
      <x:c r="B80" s="9" t="str">
        <x:v>Morgan</x:v>
      </x:c>
      <x:c r="C80" s="9" t="str">
        <x:v>Credit Card</x:v>
      </x:c>
      <x:c r="D80" s="9" t="str">
        <x:v>South</x:v>
      </x:c>
      <x:c r="E80" s="9" t="n">
        <x:v>679</x:v>
      </x:c>
      <x:c r="F80" s="11" t="n">
        <x:v>46093</x:v>
      </x:c>
      <x:c r="G80" s="13" t="n">
        <x:v>22297.3</x:v>
      </x:c>
      <x:c r="H80" s="9" t="n">
        <x:v>201</x:v>
      </x:c>
      <x:c r="I80" s="9" t="n">
        <x:v>1</x:v>
      </x:c>
      <x:c r="J80" s="9" t="n">
        <x:v>0</x:v>
      </x:c>
      <x:c r="K80" s="9" t="n">
        <x:v>0</x:v>
      </x:c>
      <x:c r="L80" s="13" t="n">
        <x:f>SUMIFS('Payments'!$D$5:$D$3014,'Payments'!$B$5:$B$3014,A80)</x:f>
        <x:v>7929.46</x:v>
      </x:c>
      <x:c r="M80" s="13" t="n">
        <x:f>G80-L80</x:f>
        <x:v>14367.84</x:v>
      </x:c>
      <x:c r="N80" s="9" t="str">
        <x:f>IF(H80=0,"0 Current",IF(H80&lt;=30,"1 1-30",IF(H80&lt;=60,"2 31-60",IF(H80&lt;=90,"3 61-90",IF(H80&lt;=120,"4 91-120","5 121+")))))</x:f>
        <x:v>5 121+</x:v>
      </x:c>
      <x:c r="O80" s="9" t="n">
        <x:f>IF(J80&gt;0,1,0)</x:f>
        <x:v>0</x:v>
      </x:c>
    </x:row>
    <x:row r="81">
      <x:c r="A81" s="15" t="str">
        <x:v>77</x:v>
      </x:c>
      <x:c r="B81" s="9" t="str">
        <x:v>Riley</x:v>
      </x:c>
      <x:c r="C81" s="9" t="str">
        <x:v>Personal Loan</x:v>
      </x:c>
      <x:c r="D81" s="9" t="str">
        <x:v>Northeast</x:v>
      </x:c>
      <x:c r="E81" s="9" t="n">
        <x:v>740</x:v>
      </x:c>
      <x:c r="F81" s="11" t="n">
        <x:v>46048</x:v>
      </x:c>
      <x:c r="G81" s="13" t="n">
        <x:v>12499.6</x:v>
      </x:c>
      <x:c r="H81" s="9" t="n">
        <x:v>224</x:v>
      </x:c>
      <x:c r="I81" s="9" t="n">
        <x:v>2</x:v>
      </x:c>
      <x:c r="J81" s="9" t="n">
        <x:v>1</x:v>
      </x:c>
      <x:c r="K81" s="9" t="n">
        <x:v>0</x:v>
      </x:c>
      <x:c r="L81" s="13" t="n">
        <x:f>SUMIFS('Payments'!$D$5:$D$3014,'Payments'!$B$5:$B$3014,A81)</x:f>
        <x:v>3235.4</x:v>
      </x:c>
      <x:c r="M81" s="13" t="n">
        <x:f>G81-L81</x:f>
        <x:v>9264.2</x:v>
      </x:c>
      <x:c r="N81" s="9" t="str">
        <x:f>IF(H81=0,"0 Current",IF(H81&lt;=30,"1 1-30",IF(H81&lt;=60,"2 31-60",IF(H81&lt;=90,"3 61-90",IF(H81&lt;=120,"4 91-120","5 121+")))))</x:f>
        <x:v>5 121+</x:v>
      </x:c>
      <x:c r="O81" s="9" t="n">
        <x:f>IF(J81&gt;0,1,0)</x:f>
        <x:v>1</x:v>
      </x:c>
    </x:row>
    <x:row r="82">
      <x:c r="A82" s="15" t="str">
        <x:v>78</x:v>
      </x:c>
      <x:c r="B82" s="9" t="str">
        <x:v>Morgan</x:v>
      </x:c>
      <x:c r="C82" s="9" t="str">
        <x:v>Personal Loan</x:v>
      </x:c>
      <x:c r="D82" s="9" t="str">
        <x:v>Midwest</x:v>
      </x:c>
      <x:c r="E82" s="9" t="n">
        <x:v>747</x:v>
      </x:c>
      <x:c r="F82" s="11" t="n">
        <x:v>46125</x:v>
      </x:c>
      <x:c r="G82" s="13" t="n">
        <x:v>2126.65</x:v>
      </x:c>
      <x:c r="H82" s="9" t="n">
        <x:v>176</x:v>
      </x:c>
      <x:c r="I82" s="9" t="n">
        <x:v>4</x:v>
      </x:c>
      <x:c r="J82" s="9" t="n">
        <x:v>2</x:v>
      </x:c>
      <x:c r="K82" s="9" t="n">
        <x:v>1</x:v>
      </x:c>
      <x:c r="L82" s="13" t="n">
        <x:f>SUMIFS('Payments'!$D$5:$D$3014,'Payments'!$B$5:$B$3014,A82)</x:f>
        <x:v>26.15</x:v>
      </x:c>
      <x:c r="M82" s="13" t="n">
        <x:f>G82-L82</x:f>
        <x:v>2100.5</x:v>
      </x:c>
      <x:c r="N82" s="9" t="str">
        <x:f>IF(H82=0,"0 Current",IF(H82&lt;=30,"1 1-30",IF(H82&lt;=60,"2 31-60",IF(H82&lt;=90,"3 61-90",IF(H82&lt;=120,"4 91-120","5 121+")))))</x:f>
        <x:v>5 121+</x:v>
      </x:c>
      <x:c r="O82" s="9" t="n">
        <x:f>IF(J82&gt;0,1,0)</x:f>
        <x:v>1</x:v>
      </x:c>
    </x:row>
    <x:row r="83">
      <x:c r="A83" s="15" t="str">
        <x:v>79</x:v>
      </x:c>
      <x:c r="B83" s="9" t="str">
        <x:v>Jordan</x:v>
      </x:c>
      <x:c r="C83" s="9" t="str">
        <x:v>Auto</x:v>
      </x:c>
      <x:c r="D83" s="9" t="str">
        <x:v>South</x:v>
      </x:c>
      <x:c r="E83" s="9" t="n">
        <x:v>498</x:v>
      </x:c>
      <x:c r="F83" s="11" t="n">
        <x:v>46081</x:v>
      </x:c>
      <x:c r="G83" s="13" t="n">
        <x:v>6136.53</x:v>
      </x:c>
      <x:c r="H83" s="9" t="n">
        <x:v>198</x:v>
      </x:c>
      <x:c r="I83" s="9" t="n">
        <x:v>1</x:v>
      </x:c>
      <x:c r="J83" s="9" t="n">
        <x:v>0</x:v>
      </x:c>
      <x:c r="K83" s="9" t="n">
        <x:v>0</x:v>
      </x:c>
      <x:c r="L83" s="13" t="n">
        <x:f>SUMIFS('Payments'!$D$5:$D$3014,'Payments'!$B$5:$B$3014,A83)</x:f>
        <x:v>919.4</x:v>
      </x:c>
      <x:c r="M83" s="13" t="n">
        <x:f>G83-L83</x:f>
        <x:v>5217.13</x:v>
      </x:c>
      <x:c r="N83" s="9" t="str">
        <x:f>IF(H83=0,"0 Current",IF(H83&lt;=30,"1 1-30",IF(H83&lt;=60,"2 31-60",IF(H83&lt;=90,"3 61-90",IF(H83&lt;=120,"4 91-120","5 121+")))))</x:f>
        <x:v>5 121+</x:v>
      </x:c>
      <x:c r="O83" s="9" t="n">
        <x:f>IF(J83&gt;0,1,0)</x:f>
        <x:v>0</x:v>
      </x:c>
    </x:row>
    <x:row r="84">
      <x:c r="A84" s="15" t="str">
        <x:v>80</x:v>
      </x:c>
      <x:c r="B84" s="9" t="str">
        <x:v>Riley</x:v>
      </x:c>
      <x:c r="C84" s="9" t="str">
        <x:v>Personal Loan</x:v>
      </x:c>
      <x:c r="D84" s="9" t="str">
        <x:v>Midwest</x:v>
      </x:c>
      <x:c r="E84" s="9" t="n">
        <x:v>810</x:v>
      </x:c>
      <x:c r="F84" s="11" t="n">
        <x:v>46127</x:v>
      </x:c>
      <x:c r="G84" s="13" t="n">
        <x:v>20819.73</x:v>
      </x:c>
      <x:c r="H84" s="9" t="n">
        <x:v>210</x:v>
      </x:c>
      <x:c r="I84" s="9" t="n">
        <x:v>8</x:v>
      </x:c>
      <x:c r="J84" s="9" t="n">
        <x:v>3</x:v>
      </x:c>
      <x:c r="K84" s="9" t="n">
        <x:v>1</x:v>
      </x:c>
      <x:c r="L84" s="13" t="n">
        <x:f>SUMIFS('Payments'!$D$5:$D$3014,'Payments'!$B$5:$B$3014,A84)</x:f>
        <x:v>0</x:v>
      </x:c>
      <x:c r="M84" s="13" t="n">
        <x:f>G84-L84</x:f>
        <x:v>20819.73</x:v>
      </x:c>
      <x:c r="N84" s="9" t="str">
        <x:f>IF(H84=0,"0 Current",IF(H84&lt;=30,"1 1-30",IF(H84&lt;=60,"2 31-60",IF(H84&lt;=90,"3 61-90",IF(H84&lt;=120,"4 91-120","5 121+")))))</x:f>
        <x:v>5 121+</x:v>
      </x:c>
      <x:c r="O84" s="9" t="n">
        <x:f>IF(J84&gt;0,1,0)</x:f>
        <x:v>1</x:v>
      </x:c>
    </x:row>
    <x:row r="85">
      <x:c r="A85" s="15" t="str">
        <x:v>81</x:v>
      </x:c>
      <x:c r="B85" s="9" t="str">
        <x:v>Morgan</x:v>
      </x:c>
      <x:c r="C85" s="9" t="str">
        <x:v>Credit Card</x:v>
      </x:c>
      <x:c r="D85" s="9" t="str">
        <x:v>South</x:v>
      </x:c>
      <x:c r="E85" s="9" t="n">
        <x:v>696</x:v>
      </x:c>
      <x:c r="F85" s="11" t="n">
        <x:v>46141</x:v>
      </x:c>
      <x:c r="G85" s="13" t="n">
        <x:v>21686.53</x:v>
      </x:c>
      <x:c r="H85" s="9" t="n">
        <x:v>174</x:v>
      </x:c>
      <x:c r="I85" s="9" t="n">
        <x:v>3</x:v>
      </x:c>
      <x:c r="J85" s="9" t="n">
        <x:v>0</x:v>
      </x:c>
      <x:c r="K85" s="9" t="n">
        <x:v>0</x:v>
      </x:c>
      <x:c r="L85" s="13" t="n">
        <x:f>SUMIFS('Payments'!$D$5:$D$3014,'Payments'!$B$5:$B$3014,A85)</x:f>
        <x:v>0</x:v>
      </x:c>
      <x:c r="M85" s="13" t="n">
        <x:f>G85-L85</x:f>
        <x:v>21686.53</x:v>
      </x:c>
      <x:c r="N85" s="9" t="str">
        <x:f>IF(H85=0,"0 Current",IF(H85&lt;=30,"1 1-30",IF(H85&lt;=60,"2 31-60",IF(H85&lt;=90,"3 61-90",IF(H85&lt;=120,"4 91-120","5 121+")))))</x:f>
        <x:v>5 121+</x:v>
      </x:c>
      <x:c r="O85" s="9" t="n">
        <x:f>IF(J85&gt;0,1,0)</x:f>
        <x:v>0</x:v>
      </x:c>
    </x:row>
    <x:row r="86">
      <x:c r="A86" s="15" t="str">
        <x:v>82</x:v>
      </x:c>
      <x:c r="B86" s="9" t="str">
        <x:v>Jordan</x:v>
      </x:c>
      <x:c r="C86" s="9" t="str">
        <x:v>Medical</x:v>
      </x:c>
      <x:c r="D86" s="9" t="str">
        <x:v>Northeast</x:v>
      </x:c>
      <x:c r="E86" s="9" t="n">
        <x:v>726</x:v>
      </x:c>
      <x:c r="F86" s="11" t="n">
        <x:v>46164</x:v>
      </x:c>
      <x:c r="G86" s="13" t="n">
        <x:v>15169.99</x:v>
      </x:c>
      <x:c r="H86" s="9" t="n">
        <x:v>214</x:v>
      </x:c>
      <x:c r="I86" s="9" t="n">
        <x:v>6</x:v>
      </x:c>
      <x:c r="J86" s="9" t="n">
        <x:v>4</x:v>
      </x:c>
      <x:c r="K86" s="9" t="n">
        <x:v>0</x:v>
      </x:c>
      <x:c r="L86" s="13" t="n">
        <x:f>SUMIFS('Payments'!$D$5:$D$3014,'Payments'!$B$5:$B$3014,A86)</x:f>
        <x:v>2573.0699999999997</x:v>
      </x:c>
      <x:c r="M86" s="13" t="n">
        <x:f>G86-L86</x:f>
        <x:v>12596.92</x:v>
      </x:c>
      <x:c r="N86" s="9" t="str">
        <x:f>IF(H86=0,"0 Current",IF(H86&lt;=30,"1 1-30",IF(H86&lt;=60,"2 31-60",IF(H86&lt;=90,"3 61-90",IF(H86&lt;=120,"4 91-120","5 121+")))))</x:f>
        <x:v>5 121+</x:v>
      </x:c>
      <x:c r="O86" s="9" t="n">
        <x:f>IF(J86&gt;0,1,0)</x:f>
        <x:v>1</x:v>
      </x:c>
    </x:row>
    <x:row r="87">
      <x:c r="A87" s="15" t="str">
        <x:v>83</x:v>
      </x:c>
      <x:c r="B87" s="9" t="str">
        <x:v>Casey</x:v>
      </x:c>
      <x:c r="C87" s="9" t="str">
        <x:v>Medical</x:v>
      </x:c>
      <x:c r="D87" s="9" t="str">
        <x:v>Midwest</x:v>
      </x:c>
      <x:c r="E87" s="9" t="n">
        <x:v>670</x:v>
      </x:c>
      <x:c r="F87" s="11" t="n">
        <x:v>46025</x:v>
      </x:c>
      <x:c r="G87" s="13" t="n">
        <x:v>20385.07</x:v>
      </x:c>
      <x:c r="H87" s="9" t="n">
        <x:v>153</x:v>
      </x:c>
      <x:c r="I87" s="9" t="n">
        <x:v>3</x:v>
      </x:c>
      <x:c r="J87" s="9" t="n">
        <x:v>2</x:v>
      </x:c>
      <x:c r="K87" s="9" t="n">
        <x:v>0</x:v>
      </x:c>
      <x:c r="L87" s="13" t="n">
        <x:f>SUMIFS('Payments'!$D$5:$D$3014,'Payments'!$B$5:$B$3014,A87)</x:f>
        <x:v>0</x:v>
      </x:c>
      <x:c r="M87" s="13" t="n">
        <x:f>G87-L87</x:f>
        <x:v>20385.07</x:v>
      </x:c>
      <x:c r="N87" s="9" t="str">
        <x:f>IF(H87=0,"0 Current",IF(H87&lt;=30,"1 1-30",IF(H87&lt;=60,"2 31-60",IF(H87&lt;=90,"3 61-90",IF(H87&lt;=120,"4 91-120","5 121+")))))</x:f>
        <x:v>5 121+</x:v>
      </x:c>
      <x:c r="O87" s="9" t="n">
        <x:f>IF(J87&gt;0,1,0)</x:f>
        <x:v>1</x:v>
      </x:c>
    </x:row>
    <x:row r="88">
      <x:c r="A88" s="15" t="str">
        <x:v>84</x:v>
      </x:c>
      <x:c r="B88" s="9" t="str">
        <x:v>Morgan</x:v>
      </x:c>
      <x:c r="C88" s="9" t="str">
        <x:v>Personal Loan</x:v>
      </x:c>
      <x:c r="D88" s="9" t="str">
        <x:v>Northeast</x:v>
      </x:c>
      <x:c r="E88" s="9" t="n">
        <x:v>477</x:v>
      </x:c>
      <x:c r="F88" s="11" t="n">
        <x:v>46119</x:v>
      </x:c>
      <x:c r="G88" s="13" t="n">
        <x:v>15125.92</x:v>
      </x:c>
      <x:c r="H88" s="9" t="n">
        <x:v>55</x:v>
      </x:c>
      <x:c r="I88" s="9" t="n">
        <x:v>0</x:v>
      </x:c>
      <x:c r="J88" s="9" t="n">
        <x:v>0</x:v>
      </x:c>
      <x:c r="K88" s="9" t="n">
        <x:v>0</x:v>
      </x:c>
      <x:c r="L88" s="13" t="n">
        <x:f>SUMIFS('Payments'!$D$5:$D$3014,'Payments'!$B$5:$B$3014,A88)</x:f>
        <x:v>3988.98</x:v>
      </x:c>
      <x:c r="M88" s="13" t="n">
        <x:f>G88-L88</x:f>
        <x:v>11136.94</x:v>
      </x:c>
      <x:c r="N88" s="9" t="str">
        <x:f>IF(H88=0,"0 Current",IF(H88&lt;=30,"1 1-30",IF(H88&lt;=60,"2 31-60",IF(H88&lt;=90,"3 61-90",IF(H88&lt;=120,"4 91-120","5 121+")))))</x:f>
        <x:v>2 31-60</x:v>
      </x:c>
      <x:c r="O88" s="9" t="n">
        <x:f>IF(J88&gt;0,1,0)</x:f>
        <x:v>0</x:v>
      </x:c>
    </x:row>
    <x:row r="89">
      <x:c r="A89" s="15" t="str">
        <x:v>85</x:v>
      </x:c>
      <x:c r="B89" s="9" t="str">
        <x:v>Riley</x:v>
      </x:c>
      <x:c r="C89" s="9" t="str">
        <x:v>Personal Loan</x:v>
      </x:c>
      <x:c r="D89" s="9" t="str">
        <x:v>Midwest</x:v>
      </x:c>
      <x:c r="E89" s="9" t="n">
        <x:v>577</x:v>
      </x:c>
      <x:c r="F89" s="11" t="n">
        <x:v>46153</x:v>
      </x:c>
      <x:c r="G89" s="13" t="n">
        <x:v>16196.33</x:v>
      </x:c>
      <x:c r="H89" s="9" t="n">
        <x:v>76</x:v>
      </x:c>
      <x:c r="I89" s="9" t="n">
        <x:v>7</x:v>
      </x:c>
      <x:c r="J89" s="9" t="n">
        <x:v>3</x:v>
      </x:c>
      <x:c r="K89" s="9" t="n">
        <x:v>1</x:v>
      </x:c>
      <x:c r="L89" s="13" t="n">
        <x:f>SUMIFS('Payments'!$D$5:$D$3014,'Payments'!$B$5:$B$3014,A89)</x:f>
        <x:v>0</x:v>
      </x:c>
      <x:c r="M89" s="13" t="n">
        <x:f>G89-L89</x:f>
        <x:v>16196.33</x:v>
      </x:c>
      <x:c r="N89" s="9" t="str">
        <x:f>IF(H89=0,"0 Current",IF(H89&lt;=30,"1 1-30",IF(H89&lt;=60,"2 31-60",IF(H89&lt;=90,"3 61-90",IF(H89&lt;=120,"4 91-120","5 121+")))))</x:f>
        <x:v>3 61-90</x:v>
      </x:c>
      <x:c r="O89" s="9" t="n">
        <x:f>IF(J89&gt;0,1,0)</x:f>
        <x:v>1</x:v>
      </x:c>
    </x:row>
    <x:row r="90">
      <x:c r="A90" s="15" t="str">
        <x:v>86</x:v>
      </x:c>
      <x:c r="B90" s="9" t="str">
        <x:v>Taylor</x:v>
      </x:c>
      <x:c r="C90" s="9" t="str">
        <x:v>Medical</x:v>
      </x:c>
      <x:c r="D90" s="9" t="str">
        <x:v>South</x:v>
      </x:c>
      <x:c r="E90" s="9" t="n">
        <x:v>449</x:v>
      </x:c>
      <x:c r="F90" s="11" t="n">
        <x:v>46126</x:v>
      </x:c>
      <x:c r="G90" s="13" t="n">
        <x:v>13904.39</x:v>
      </x:c>
      <x:c r="H90" s="9" t="n">
        <x:v>184</x:v>
      </x:c>
      <x:c r="I90" s="9" t="n">
        <x:v>7</x:v>
      </x:c>
      <x:c r="J90" s="9" t="n">
        <x:v>4</x:v>
      </x:c>
      <x:c r="K90" s="9" t="n">
        <x:v>1</x:v>
      </x:c>
      <x:c r="L90" s="13" t="n">
        <x:f>SUMIFS('Payments'!$D$5:$D$3014,'Payments'!$B$5:$B$3014,A90)</x:f>
        <x:v>0</x:v>
      </x:c>
      <x:c r="M90" s="13" t="n">
        <x:f>G90-L90</x:f>
        <x:v>13904.39</x:v>
      </x:c>
      <x:c r="N90" s="9" t="str">
        <x:f>IF(H90=0,"0 Current",IF(H90&lt;=30,"1 1-30",IF(H90&lt;=60,"2 31-60",IF(H90&lt;=90,"3 61-90",IF(H90&lt;=120,"4 91-120","5 121+")))))</x:f>
        <x:v>5 121+</x:v>
      </x:c>
      <x:c r="O90" s="9" t="n">
        <x:f>IF(J90&gt;0,1,0)</x:f>
        <x:v>1</x:v>
      </x:c>
    </x:row>
    <x:row r="91">
      <x:c r="A91" s="15" t="str">
        <x:v>87</x:v>
      </x:c>
      <x:c r="B91" s="9" t="str">
        <x:v>Jordan</x:v>
      </x:c>
      <x:c r="C91" s="9" t="str">
        <x:v>Medical</x:v>
      </x:c>
      <x:c r="D91" s="9" t="str">
        <x:v>South</x:v>
      </x:c>
      <x:c r="E91" s="9" t="n">
        <x:v>710</x:v>
      </x:c>
      <x:c r="F91" s="11" t="n">
        <x:v>46114</x:v>
      </x:c>
      <x:c r="G91" s="13" t="n">
        <x:v>21778.32</x:v>
      </x:c>
      <x:c r="H91" s="9" t="n">
        <x:v>215</x:v>
      </x:c>
      <x:c r="I91" s="9" t="n">
        <x:v>5</x:v>
      </x:c>
      <x:c r="J91" s="9" t="n">
        <x:v>0</x:v>
      </x:c>
      <x:c r="K91" s="9" t="n">
        <x:v>0</x:v>
      </x:c>
      <x:c r="L91" s="13" t="n">
        <x:f>SUMIFS('Payments'!$D$5:$D$3014,'Payments'!$B$5:$B$3014,A91)</x:f>
        <x:v>3131.9799999999996</x:v>
      </x:c>
      <x:c r="M91" s="13" t="n">
        <x:f>G91-L91</x:f>
        <x:v>18646.34</x:v>
      </x:c>
      <x:c r="N91" s="9" t="str">
        <x:f>IF(H91=0,"0 Current",IF(H91&lt;=30,"1 1-30",IF(H91&lt;=60,"2 31-60",IF(H91&lt;=90,"3 61-90",IF(H91&lt;=120,"4 91-120","5 121+")))))</x:f>
        <x:v>5 121+</x:v>
      </x:c>
      <x:c r="O91" s="9" t="n">
        <x:f>IF(J91&gt;0,1,0)</x:f>
        <x:v>0</x:v>
      </x:c>
    </x:row>
    <x:row r="92">
      <x:c r="A92" s="15" t="str">
        <x:v>88</x:v>
      </x:c>
      <x:c r="B92" s="9" t="str">
        <x:v>Alex</x:v>
      </x:c>
      <x:c r="C92" s="9" t="str">
        <x:v>Credit Card</x:v>
      </x:c>
      <x:c r="D92" s="9" t="str">
        <x:v>Northeast</x:v>
      </x:c>
      <x:c r="E92" s="9" t="n">
        <x:v>463</x:v>
      </x:c>
      <x:c r="F92" s="11" t="n">
        <x:v>46053</x:v>
      </x:c>
      <x:c r="G92" s="13" t="n">
        <x:v>20235.73</x:v>
      </x:c>
      <x:c r="H92" s="9" t="n">
        <x:v>120</x:v>
      </x:c>
      <x:c r="I92" s="9" t="n">
        <x:v>6</x:v>
      </x:c>
      <x:c r="J92" s="9" t="n">
        <x:v>2</x:v>
      </x:c>
      <x:c r="K92" s="9" t="n">
        <x:v>0</x:v>
      </x:c>
      <x:c r="L92" s="13" t="n">
        <x:f>SUMIFS('Payments'!$D$5:$D$3014,'Payments'!$B$5:$B$3014,A92)</x:f>
        <x:v>1321.97</x:v>
      </x:c>
      <x:c r="M92" s="13" t="n">
        <x:f>G92-L92</x:f>
        <x:v>18913.76</x:v>
      </x:c>
      <x:c r="N92" s="9" t="str">
        <x:f>IF(H92=0,"0 Current",IF(H92&lt;=30,"1 1-30",IF(H92&lt;=60,"2 31-60",IF(H92&lt;=90,"3 61-90",IF(H92&lt;=120,"4 91-120","5 121+")))))</x:f>
        <x:v>4 91-120</x:v>
      </x:c>
      <x:c r="O92" s="9" t="n">
        <x:f>IF(J92&gt;0,1,0)</x:f>
        <x:v>1</x:v>
      </x:c>
    </x:row>
    <x:row r="93">
      <x:c r="A93" s="15" t="str">
        <x:v>89</x:v>
      </x:c>
      <x:c r="B93" s="9" t="str">
        <x:v>Morgan</x:v>
      </x:c>
      <x:c r="C93" s="9" t="str">
        <x:v>Personal Loan</x:v>
      </x:c>
      <x:c r="D93" s="9" t="str">
        <x:v>West</x:v>
      </x:c>
      <x:c r="E93" s="9" t="n">
        <x:v>455</x:v>
      </x:c>
      <x:c r="F93" s="11" t="n">
        <x:v>46069</x:v>
      </x:c>
      <x:c r="G93" s="13" t="n">
        <x:v>3889.47</x:v>
      </x:c>
      <x:c r="H93" s="9" t="n">
        <x:v>161</x:v>
      </x:c>
      <x:c r="I93" s="9" t="n">
        <x:v>0</x:v>
      </x:c>
      <x:c r="J93" s="9" t="n">
        <x:v>0</x:v>
      </x:c>
      <x:c r="K93" s="9" t="n">
        <x:v>0</x:v>
      </x:c>
      <x:c r="L93" s="13" t="n">
        <x:f>SUMIFS('Payments'!$D$5:$D$3014,'Payments'!$B$5:$B$3014,A93)</x:f>
        <x:v>215.39</x:v>
      </x:c>
      <x:c r="M93" s="13" t="n">
        <x:f>G93-L93</x:f>
        <x:v>3674.08</x:v>
      </x:c>
      <x:c r="N93" s="9" t="str">
        <x:f>IF(H93=0,"0 Current",IF(H93&lt;=30,"1 1-30",IF(H93&lt;=60,"2 31-60",IF(H93&lt;=90,"3 61-90",IF(H93&lt;=120,"4 91-120","5 121+")))))</x:f>
        <x:v>5 121+</x:v>
      </x:c>
      <x:c r="O93" s="9" t="n">
        <x:f>IF(J93&gt;0,1,0)</x:f>
        <x:v>0</x:v>
      </x:c>
    </x:row>
    <x:row r="94">
      <x:c r="A94" s="15" t="str">
        <x:v>90</x:v>
      </x:c>
      <x:c r="B94" s="9" t="str">
        <x:v>Casey</x:v>
      </x:c>
      <x:c r="C94" s="9" t="str">
        <x:v>Medical</x:v>
      </x:c>
      <x:c r="D94" s="9" t="str">
        <x:v>South</x:v>
      </x:c>
      <x:c r="E94" s="9" t="n">
        <x:v>485</x:v>
      </x:c>
      <x:c r="F94" s="11" t="n">
        <x:v>46138</x:v>
      </x:c>
      <x:c r="G94" s="13" t="n">
        <x:v>11972.59</x:v>
      </x:c>
      <x:c r="H94" s="9" t="n">
        <x:v>147</x:v>
      </x:c>
      <x:c r="I94" s="9" t="n">
        <x:v>2</x:v>
      </x:c>
      <x:c r="J94" s="9" t="n">
        <x:v>1</x:v>
      </x:c>
      <x:c r="K94" s="9" t="n">
        <x:v>0</x:v>
      </x:c>
      <x:c r="L94" s="13" t="n">
        <x:f>SUMIFS('Payments'!$D$5:$D$3014,'Payments'!$B$5:$B$3014,A94)</x:f>
        <x:v>1293.39</x:v>
      </x:c>
      <x:c r="M94" s="13" t="n">
        <x:f>G94-L94</x:f>
        <x:v>10679.2</x:v>
      </x:c>
      <x:c r="N94" s="9" t="str">
        <x:f>IF(H94=0,"0 Current",IF(H94&lt;=30,"1 1-30",IF(H94&lt;=60,"2 31-60",IF(H94&lt;=90,"3 61-90",IF(H94&lt;=120,"4 91-120","5 121+")))))</x:f>
        <x:v>5 121+</x:v>
      </x:c>
      <x:c r="O94" s="9" t="n">
        <x:f>IF(J94&gt;0,1,0)</x:f>
        <x:v>1</x:v>
      </x:c>
    </x:row>
    <x:row r="95">
      <x:c r="A95" s="15" t="str">
        <x:v>91</x:v>
      </x:c>
      <x:c r="B95" s="9" t="str">
        <x:v>Alex</x:v>
      </x:c>
      <x:c r="C95" s="9" t="str">
        <x:v>Credit Card</x:v>
      </x:c>
      <x:c r="D95" s="9" t="str">
        <x:v>West</x:v>
      </x:c>
      <x:c r="E95" s="9" t="n">
        <x:v>701</x:v>
      </x:c>
      <x:c r="F95" s="11" t="n">
        <x:v>46145</x:v>
      </x:c>
      <x:c r="G95" s="13" t="n">
        <x:v>16577.45</x:v>
      </x:c>
      <x:c r="H95" s="9" t="n">
        <x:v>136</x:v>
      </x:c>
      <x:c r="I95" s="9" t="n">
        <x:v>0</x:v>
      </x:c>
      <x:c r="J95" s="9" t="n">
        <x:v>0</x:v>
      </x:c>
      <x:c r="K95" s="9" t="n">
        <x:v>0</x:v>
      </x:c>
      <x:c r="L95" s="13" t="n">
        <x:f>SUMIFS('Payments'!$D$5:$D$3014,'Payments'!$B$5:$B$3014,A95)</x:f>
        <x:v>1925.37</x:v>
      </x:c>
      <x:c r="M95" s="13" t="n">
        <x:f>G95-L95</x:f>
        <x:v>14652.080000000002</x:v>
      </x:c>
      <x:c r="N95" s="9" t="str">
        <x:f>IF(H95=0,"0 Current",IF(H95&lt;=30,"1 1-30",IF(H95&lt;=60,"2 31-60",IF(H95&lt;=90,"3 61-90",IF(H95&lt;=120,"4 91-120","5 121+")))))</x:f>
        <x:v>5 121+</x:v>
      </x:c>
      <x:c r="O95" s="9" t="n">
        <x:f>IF(J95&gt;0,1,0)</x:f>
        <x:v>0</x:v>
      </x:c>
    </x:row>
    <x:row r="96">
      <x:c r="A96" s="15" t="str">
        <x:v>92</x:v>
      </x:c>
      <x:c r="B96" s="9" t="str">
        <x:v>Casey</x:v>
      </x:c>
      <x:c r="C96" s="9" t="str">
        <x:v>Credit Card</x:v>
      </x:c>
      <x:c r="D96" s="9" t="str">
        <x:v>South</x:v>
      </x:c>
      <x:c r="E96" s="9" t="n">
        <x:v>555</x:v>
      </x:c>
      <x:c r="F96" s="11" t="n">
        <x:v>46105</x:v>
      </x:c>
      <x:c r="G96" s="13" t="n">
        <x:v>22773.17</x:v>
      </x:c>
      <x:c r="H96" s="9" t="n">
        <x:v>173</x:v>
      </x:c>
      <x:c r="I96" s="9" t="n">
        <x:v>3</x:v>
      </x:c>
      <x:c r="J96" s="9" t="n">
        <x:v>1</x:v>
      </x:c>
      <x:c r="K96" s="9" t="n">
        <x:v>0</x:v>
      </x:c>
      <x:c r="L96" s="13" t="n">
        <x:f>SUMIFS('Payments'!$D$5:$D$3014,'Payments'!$B$5:$B$3014,A96)</x:f>
        <x:v>0</x:v>
      </x:c>
      <x:c r="M96" s="13" t="n">
        <x:f>G96-L96</x:f>
        <x:v>22773.17</x:v>
      </x:c>
      <x:c r="N96" s="9" t="str">
        <x:f>IF(H96=0,"0 Current",IF(H96&lt;=30,"1 1-30",IF(H96&lt;=60,"2 31-60",IF(H96&lt;=90,"3 61-90",IF(H96&lt;=120,"4 91-120","5 121+")))))</x:f>
        <x:v>5 121+</x:v>
      </x:c>
      <x:c r="O96" s="9" t="n">
        <x:f>IF(J96&gt;0,1,0)</x:f>
        <x:v>1</x:v>
      </x:c>
    </x:row>
    <x:row r="97">
      <x:c r="A97" s="15" t="str">
        <x:v>93</x:v>
      </x:c>
      <x:c r="B97" s="9" t="str">
        <x:v>Alex</x:v>
      </x:c>
      <x:c r="C97" s="9" t="str">
        <x:v>Credit Card</x:v>
      </x:c>
      <x:c r="D97" s="9" t="str">
        <x:v>West</x:v>
      </x:c>
      <x:c r="E97" s="9" t="n">
        <x:v>528</x:v>
      </x:c>
      <x:c r="F97" s="11" t="n">
        <x:v>46101</x:v>
      </x:c>
      <x:c r="G97" s="13" t="n">
        <x:v>7505.33</x:v>
      </x:c>
      <x:c r="H97" s="9" t="n">
        <x:v>76</x:v>
      </x:c>
      <x:c r="I97" s="9" t="n">
        <x:v>8</x:v>
      </x:c>
      <x:c r="J97" s="9" t="n">
        <x:v>3</x:v>
      </x:c>
      <x:c r="K97" s="9" t="n">
        <x:v>1</x:v>
      </x:c>
      <x:c r="L97" s="13" t="n">
        <x:f>SUMIFS('Payments'!$D$5:$D$3014,'Payments'!$B$5:$B$3014,A97)</x:f>
        <x:v>1299.54</x:v>
      </x:c>
      <x:c r="M97" s="13" t="n">
        <x:f>G97-L97</x:f>
        <x:v>6205.79</x:v>
      </x:c>
      <x:c r="N97" s="9" t="str">
        <x:f>IF(H97=0,"0 Current",IF(H97&lt;=30,"1 1-30",IF(H97&lt;=60,"2 31-60",IF(H97&lt;=90,"3 61-90",IF(H97&lt;=120,"4 91-120","5 121+")))))</x:f>
        <x:v>3 61-90</x:v>
      </x:c>
      <x:c r="O97" s="9" t="n">
        <x:f>IF(J97&gt;0,1,0)</x:f>
        <x:v>1</x:v>
      </x:c>
    </x:row>
    <x:row r="98">
      <x:c r="A98" s="15" t="str">
        <x:v>94</x:v>
      </x:c>
      <x:c r="B98" s="9" t="str">
        <x:v>Casey</x:v>
      </x:c>
      <x:c r="C98" s="9" t="str">
        <x:v>Credit Card</x:v>
      </x:c>
      <x:c r="D98" s="9" t="str">
        <x:v>South</x:v>
      </x:c>
      <x:c r="E98" s="9" t="n">
        <x:v>785</x:v>
      </x:c>
      <x:c r="F98" s="11" t="n">
        <x:v>46028</x:v>
      </x:c>
      <x:c r="G98" s="13" t="n">
        <x:v>21665.86</x:v>
      </x:c>
      <x:c r="H98" s="9" t="n">
        <x:v>93</x:v>
      </x:c>
      <x:c r="I98" s="9" t="n">
        <x:v>6</x:v>
      </x:c>
      <x:c r="J98" s="9" t="n">
        <x:v>2</x:v>
      </x:c>
      <x:c r="K98" s="9" t="n">
        <x:v>1</x:v>
      </x:c>
      <x:c r="L98" s="13" t="n">
        <x:f>SUMIFS('Payments'!$D$5:$D$3014,'Payments'!$B$5:$B$3014,A98)</x:f>
        <x:v>0</x:v>
      </x:c>
      <x:c r="M98" s="13" t="n">
        <x:f>G98-L98</x:f>
        <x:v>21665.86</x:v>
      </x:c>
      <x:c r="N98" s="9" t="str">
        <x:f>IF(H98=0,"0 Current",IF(H98&lt;=30,"1 1-30",IF(H98&lt;=60,"2 31-60",IF(H98&lt;=90,"3 61-90",IF(H98&lt;=120,"4 91-120","5 121+")))))</x:f>
        <x:v>4 91-120</x:v>
      </x:c>
      <x:c r="O98" s="9" t="n">
        <x:f>IF(J98&gt;0,1,0)</x:f>
        <x:v>1</x:v>
      </x:c>
    </x:row>
    <x:row r="99">
      <x:c r="A99" s="15" t="str">
        <x:v>95</x:v>
      </x:c>
      <x:c r="B99" s="9" t="str">
        <x:v>Riley</x:v>
      </x:c>
      <x:c r="C99" s="9" t="str">
        <x:v>Personal Loan</x:v>
      </x:c>
      <x:c r="D99" s="9" t="str">
        <x:v>Midwest</x:v>
      </x:c>
      <x:c r="E99" s="9" t="n">
        <x:v>624</x:v>
      </x:c>
      <x:c r="F99" s="11" t="n">
        <x:v>46120</x:v>
      </x:c>
      <x:c r="G99" s="13" t="n">
        <x:v>5683.95</x:v>
      </x:c>
      <x:c r="H99" s="9" t="n">
        <x:v>121</x:v>
      </x:c>
      <x:c r="I99" s="9" t="n">
        <x:v>0</x:v>
      </x:c>
      <x:c r="J99" s="9" t="n">
        <x:v>0</x:v>
      </x:c>
      <x:c r="K99" s="9" t="n">
        <x:v>0</x:v>
      </x:c>
      <x:c r="L99" s="13" t="n">
        <x:f>SUMIFS('Payments'!$D$5:$D$3014,'Payments'!$B$5:$B$3014,A99)</x:f>
        <x:v>279.34</x:v>
      </x:c>
      <x:c r="M99" s="13" t="n">
        <x:f>G99-L99</x:f>
        <x:v>5404.61</x:v>
      </x:c>
      <x:c r="N99" s="9" t="str">
        <x:f>IF(H99=0,"0 Current",IF(H99&lt;=30,"1 1-30",IF(H99&lt;=60,"2 31-60",IF(H99&lt;=90,"3 61-90",IF(H99&lt;=120,"4 91-120","5 121+")))))</x:f>
        <x:v>5 121+</x:v>
      </x:c>
      <x:c r="O99" s="9" t="n">
        <x:f>IF(J99&gt;0,1,0)</x:f>
        <x:v>0</x:v>
      </x:c>
    </x:row>
    <x:row r="100">
      <x:c r="A100" s="15" t="str">
        <x:v>96</x:v>
      </x:c>
      <x:c r="B100" s="9" t="str">
        <x:v>Taylor</x:v>
      </x:c>
      <x:c r="C100" s="9" t="str">
        <x:v>Credit Card</x:v>
      </x:c>
      <x:c r="D100" s="9" t="str">
        <x:v>Midwest</x:v>
      </x:c>
      <x:c r="E100" s="9" t="n">
        <x:v>644</x:v>
      </x:c>
      <x:c r="F100" s="11" t="n">
        <x:v>46100</x:v>
      </x:c>
      <x:c r="G100" s="13" t="n">
        <x:v>18152.62</x:v>
      </x:c>
      <x:c r="H100" s="9" t="n">
        <x:v>169</x:v>
      </x:c>
      <x:c r="I100" s="9" t="n">
        <x:v>8</x:v>
      </x:c>
      <x:c r="J100" s="9" t="n">
        <x:v>2</x:v>
      </x:c>
      <x:c r="K100" s="9" t="n">
        <x:v>0</x:v>
      </x:c>
      <x:c r="L100" s="13" t="n">
        <x:f>SUMIFS('Payments'!$D$5:$D$3014,'Payments'!$B$5:$B$3014,A100)</x:f>
        <x:v>4872.41</x:v>
      </x:c>
      <x:c r="M100" s="13" t="n">
        <x:f>G100-L100</x:f>
        <x:v>13280.21</x:v>
      </x:c>
      <x:c r="N100" s="9" t="str">
        <x:f>IF(H100=0,"0 Current",IF(H100&lt;=30,"1 1-30",IF(H100&lt;=60,"2 31-60",IF(H100&lt;=90,"3 61-90",IF(H100&lt;=120,"4 91-120","5 121+")))))</x:f>
        <x:v>5 121+</x:v>
      </x:c>
      <x:c r="O100" s="9" t="n">
        <x:f>IF(J100&gt;0,1,0)</x:f>
        <x:v>1</x:v>
      </x:c>
    </x:row>
    <x:row r="101">
      <x:c r="A101" s="15" t="str">
        <x:v>97</x:v>
      </x:c>
      <x:c r="B101" s="9" t="str">
        <x:v>Jordan</x:v>
      </x:c>
      <x:c r="C101" s="9" t="str">
        <x:v>Medical</x:v>
      </x:c>
      <x:c r="D101" s="9" t="str">
        <x:v>West</x:v>
      </x:c>
      <x:c r="E101" s="9" t="n">
        <x:v>481</x:v>
      </x:c>
      <x:c r="F101" s="11" t="n">
        <x:v>46076</x:v>
      </x:c>
      <x:c r="G101" s="13" t="n">
        <x:v>20660.5</x:v>
      </x:c>
      <x:c r="H101" s="9" t="n">
        <x:v>0</x:v>
      </x:c>
      <x:c r="I101" s="9" t="n">
        <x:v>1</x:v>
      </x:c>
      <x:c r="J101" s="9" t="n">
        <x:v>1</x:v>
      </x:c>
      <x:c r="K101" s="9" t="n">
        <x:v>0</x:v>
      </x:c>
      <x:c r="L101" s="13" t="n">
        <x:f>SUMIFS('Payments'!$D$5:$D$3014,'Payments'!$B$5:$B$3014,A101)</x:f>
        <x:v>0</x:v>
      </x:c>
      <x:c r="M101" s="13" t="n">
        <x:f>G101-L101</x:f>
        <x:v>20660.5</x:v>
      </x:c>
      <x:c r="N101" s="9" t="str">
        <x:f>IF(H101=0,"0 Current",IF(H101&lt;=30,"1 1-30",IF(H101&lt;=60,"2 31-60",IF(H101&lt;=90,"3 61-90",IF(H101&lt;=120,"4 91-120","5 121+")))))</x:f>
        <x:v>0 Current</x:v>
      </x:c>
      <x:c r="O101" s="9" t="n">
        <x:f>IF(J101&gt;0,1,0)</x:f>
        <x:v>1</x:v>
      </x:c>
    </x:row>
    <x:row r="102">
      <x:c r="A102" s="15" t="str">
        <x:v>98</x:v>
      </x:c>
      <x:c r="B102" s="9" t="str">
        <x:v>Alex</x:v>
      </x:c>
      <x:c r="C102" s="9" t="str">
        <x:v>Credit Card</x:v>
      </x:c>
      <x:c r="D102" s="9" t="str">
        <x:v>South</x:v>
      </x:c>
      <x:c r="E102" s="9" t="n">
        <x:v>535</x:v>
      </x:c>
      <x:c r="F102" s="11" t="n">
        <x:v>46149</x:v>
      </x:c>
      <x:c r="G102" s="13" t="n">
        <x:v>6755.57</x:v>
      </x:c>
      <x:c r="H102" s="9" t="n">
        <x:v>185</x:v>
      </x:c>
      <x:c r="I102" s="9" t="n">
        <x:v>4</x:v>
      </x:c>
      <x:c r="J102" s="9" t="n">
        <x:v>1</x:v>
      </x:c>
      <x:c r="K102" s="9" t="n">
        <x:v>0</x:v>
      </x:c>
      <x:c r="L102" s="13" t="n">
        <x:f>SUMIFS('Payments'!$D$5:$D$3014,'Payments'!$B$5:$B$3014,A102)</x:f>
        <x:v>0</x:v>
      </x:c>
      <x:c r="M102" s="13" t="n">
        <x:f>G102-L102</x:f>
        <x:v>6755.57</x:v>
      </x:c>
      <x:c r="N102" s="9" t="str">
        <x:f>IF(H102=0,"0 Current",IF(H102&lt;=30,"1 1-30",IF(H102&lt;=60,"2 31-60",IF(H102&lt;=90,"3 61-90",IF(H102&lt;=120,"4 91-120","5 121+")))))</x:f>
        <x:v>5 121+</x:v>
      </x:c>
      <x:c r="O102" s="9" t="n">
        <x:f>IF(J102&gt;0,1,0)</x:f>
        <x:v>1</x:v>
      </x:c>
    </x:row>
    <x:row r="103">
      <x:c r="A103" s="15" t="str">
        <x:v>99</x:v>
      </x:c>
      <x:c r="B103" s="9" t="str">
        <x:v>Taylor</x:v>
      </x:c>
      <x:c r="C103" s="9" t="str">
        <x:v>Personal Loan</x:v>
      </x:c>
      <x:c r="D103" s="9" t="str">
        <x:v>Northeast</x:v>
      </x:c>
      <x:c r="E103" s="9" t="n">
        <x:v>593</x:v>
      </x:c>
      <x:c r="F103" s="11" t="n">
        <x:v>46097</x:v>
      </x:c>
      <x:c r="G103" s="13" t="n">
        <x:v>15608.49</x:v>
      </x:c>
      <x:c r="H103" s="9" t="n">
        <x:v>109</x:v>
      </x:c>
      <x:c r="I103" s="9" t="n">
        <x:v>1</x:v>
      </x:c>
      <x:c r="J103" s="9" t="n">
        <x:v>1</x:v>
      </x:c>
      <x:c r="K103" s="9" t="n">
        <x:v>0</x:v>
      </x:c>
      <x:c r="L103" s="13" t="n">
        <x:f>SUMIFS('Payments'!$D$5:$D$3014,'Payments'!$B$5:$B$3014,A103)</x:f>
        <x:v>0</x:v>
      </x:c>
      <x:c r="M103" s="13" t="n">
        <x:f>G103-L103</x:f>
        <x:v>15608.49</x:v>
      </x:c>
      <x:c r="N103" s="9" t="str">
        <x:f>IF(H103=0,"0 Current",IF(H103&lt;=30,"1 1-30",IF(H103&lt;=60,"2 31-60",IF(H103&lt;=90,"3 61-90",IF(H103&lt;=120,"4 91-120","5 121+")))))</x:f>
        <x:v>4 91-120</x:v>
      </x:c>
      <x:c r="O103" s="9" t="n">
        <x:f>IF(J103&gt;0,1,0)</x:f>
        <x:v>1</x:v>
      </x:c>
    </x:row>
    <x:row r="104">
      <x:c r="A104" s="15" t="str">
        <x:v>100</x:v>
      </x:c>
      <x:c r="B104" s="9" t="str">
        <x:v>Taylor</x:v>
      </x:c>
      <x:c r="C104" s="9" t="str">
        <x:v>Medical</x:v>
      </x:c>
      <x:c r="D104" s="9" t="str">
        <x:v>Northeast</x:v>
      </x:c>
      <x:c r="E104" s="9" t="n">
        <x:v>721</x:v>
      </x:c>
      <x:c r="F104" s="11" t="n">
        <x:v>46025</x:v>
      </x:c>
      <x:c r="G104" s="13" t="n">
        <x:v>6304.68</x:v>
      </x:c>
      <x:c r="H104" s="9" t="n">
        <x:v>84</x:v>
      </x:c>
      <x:c r="I104" s="9" t="n">
        <x:v>5</x:v>
      </x:c>
      <x:c r="J104" s="9" t="n">
        <x:v>2</x:v>
      </x:c>
      <x:c r="K104" s="9" t="n">
        <x:v>0</x:v>
      </x:c>
      <x:c r="L104" s="13" t="n">
        <x:f>SUMIFS('Payments'!$D$5:$D$3014,'Payments'!$B$5:$B$3014,A104)</x:f>
        <x:v>945.3900000000001</x:v>
      </x:c>
      <x:c r="M104" s="13" t="n">
        <x:f>G104-L104</x:f>
        <x:v>5359.29</x:v>
      </x:c>
      <x:c r="N104" s="9" t="str">
        <x:f>IF(H104=0,"0 Current",IF(H104&lt;=30,"1 1-30",IF(H104&lt;=60,"2 31-60",IF(H104&lt;=90,"3 61-90",IF(H104&lt;=120,"4 91-120","5 121+")))))</x:f>
        <x:v>3 61-90</x:v>
      </x:c>
      <x:c r="O104" s="9" t="n">
        <x:f>IF(J104&gt;0,1,0)</x:f>
        <x:v>1</x:v>
      </x:c>
    </x:row>
    <x:row r="105">
      <x:c r="A105" s="15" t="str">
        <x:v>101</x:v>
      </x:c>
      <x:c r="B105" s="9" t="str">
        <x:v>Casey</x:v>
      </x:c>
      <x:c r="C105" s="9" t="str">
        <x:v>Credit Card</x:v>
      </x:c>
      <x:c r="D105" s="9" t="str">
        <x:v>South</x:v>
      </x:c>
      <x:c r="E105" s="9" t="n">
        <x:v>721</x:v>
      </x:c>
      <x:c r="F105" s="11" t="n">
        <x:v>46065</x:v>
      </x:c>
      <x:c r="G105" s="13" t="n">
        <x:v>5241.93</x:v>
      </x:c>
      <x:c r="H105" s="9" t="n">
        <x:v>216</x:v>
      </x:c>
      <x:c r="I105" s="9" t="n">
        <x:v>7</x:v>
      </x:c>
      <x:c r="J105" s="9" t="n">
        <x:v>2</x:v>
      </x:c>
      <x:c r="K105" s="9" t="n">
        <x:v>0</x:v>
      </x:c>
      <x:c r="L105" s="13" t="n">
        <x:f>SUMIFS('Payments'!$D$5:$D$3014,'Payments'!$B$5:$B$3014,A105)</x:f>
        <x:v>77.96</x:v>
      </x:c>
      <x:c r="M105" s="13" t="n">
        <x:f>G105-L105</x:f>
        <x:v>5163.97</x:v>
      </x:c>
      <x:c r="N105" s="9" t="str">
        <x:f>IF(H105=0,"0 Current",IF(H105&lt;=30,"1 1-30",IF(H105&lt;=60,"2 31-60",IF(H105&lt;=90,"3 61-90",IF(H105&lt;=120,"4 91-120","5 121+")))))</x:f>
        <x:v>5 121+</x:v>
      </x:c>
      <x:c r="O105" s="9" t="n">
        <x:f>IF(J105&gt;0,1,0)</x:f>
        <x:v>1</x:v>
      </x:c>
    </x:row>
    <x:row r="106">
      <x:c r="A106" s="15" t="str">
        <x:v>102</x:v>
      </x:c>
      <x:c r="B106" s="9" t="str">
        <x:v>Taylor</x:v>
      </x:c>
      <x:c r="C106" s="9" t="str">
        <x:v>Medical</x:v>
      </x:c>
      <x:c r="D106" s="9" t="str">
        <x:v>South</x:v>
      </x:c>
      <x:c r="E106" s="9" t="n">
        <x:v>423</x:v>
      </x:c>
      <x:c r="F106" s="11" t="n">
        <x:v>46103</x:v>
      </x:c>
      <x:c r="G106" s="13" t="n">
        <x:v>1018.42</x:v>
      </x:c>
      <x:c r="H106" s="9" t="n">
        <x:v>171</x:v>
      </x:c>
      <x:c r="I106" s="9" t="n">
        <x:v>1</x:v>
      </x:c>
      <x:c r="J106" s="9" t="n">
        <x:v>1</x:v>
      </x:c>
      <x:c r="K106" s="9" t="n">
        <x:v>0</x:v>
      </x:c>
      <x:c r="L106" s="13" t="n">
        <x:f>SUMIFS('Payments'!$D$5:$D$3014,'Payments'!$B$5:$B$3014,A106)</x:f>
        <x:v>217.8</x:v>
      </x:c>
      <x:c r="M106" s="13" t="n">
        <x:f>G106-L106</x:f>
        <x:v>800.6199999999999</x:v>
      </x:c>
      <x:c r="N106" s="9" t="str">
        <x:f>IF(H106=0,"0 Current",IF(H106&lt;=30,"1 1-30",IF(H106&lt;=60,"2 31-60",IF(H106&lt;=90,"3 61-90",IF(H106&lt;=120,"4 91-120","5 121+")))))</x:f>
        <x:v>5 121+</x:v>
      </x:c>
      <x:c r="O106" s="9" t="n">
        <x:f>IF(J106&gt;0,1,0)</x:f>
        <x:v>1</x:v>
      </x:c>
    </x:row>
    <x:row r="107">
      <x:c r="A107" s="15" t="str">
        <x:v>103</x:v>
      </x:c>
      <x:c r="B107" s="9" t="str">
        <x:v>Jordan</x:v>
      </x:c>
      <x:c r="C107" s="9" t="str">
        <x:v>Auto</x:v>
      </x:c>
      <x:c r="D107" s="9" t="str">
        <x:v>Northeast</x:v>
      </x:c>
      <x:c r="E107" s="9" t="n">
        <x:v>782</x:v>
      </x:c>
      <x:c r="F107" s="11" t="n">
        <x:v>46086</x:v>
      </x:c>
      <x:c r="G107" s="13" t="n">
        <x:v>20713.59</x:v>
      </x:c>
      <x:c r="H107" s="9" t="n">
        <x:v>38</x:v>
      </x:c>
      <x:c r="I107" s="9" t="n">
        <x:v>7</x:v>
      </x:c>
      <x:c r="J107" s="9" t="n">
        <x:v>3</x:v>
      </x:c>
      <x:c r="K107" s="9" t="n">
        <x:v>1</x:v>
      </x:c>
      <x:c r="L107" s="13" t="n">
        <x:f>SUMIFS('Payments'!$D$5:$D$3014,'Payments'!$B$5:$B$3014,A107)</x:f>
        <x:v>5533.459999999999</x:v>
      </x:c>
      <x:c r="M107" s="13" t="n">
        <x:f>G107-L107</x:f>
        <x:v>15180.130000000001</x:v>
      </x:c>
      <x:c r="N107" s="9" t="str">
        <x:f>IF(H107=0,"0 Current",IF(H107&lt;=30,"1 1-30",IF(H107&lt;=60,"2 31-60",IF(H107&lt;=90,"3 61-90",IF(H107&lt;=120,"4 91-120","5 121+")))))</x:f>
        <x:v>2 31-60</x:v>
      </x:c>
      <x:c r="O107" s="9" t="n">
        <x:f>IF(J107&gt;0,1,0)</x:f>
        <x:v>1</x:v>
      </x:c>
    </x:row>
    <x:row r="108">
      <x:c r="A108" s="15" t="str">
        <x:v>104</x:v>
      </x:c>
      <x:c r="B108" s="9" t="str">
        <x:v>Morgan</x:v>
      </x:c>
      <x:c r="C108" s="9" t="str">
        <x:v>Auto</x:v>
      </x:c>
      <x:c r="D108" s="9" t="str">
        <x:v>Northeast</x:v>
      </x:c>
      <x:c r="E108" s="9" t="n">
        <x:v>537</x:v>
      </x:c>
      <x:c r="F108" s="11" t="n">
        <x:v>46043</x:v>
      </x:c>
      <x:c r="G108" s="13" t="n">
        <x:v>19755.82</x:v>
      </x:c>
      <x:c r="H108" s="9" t="n">
        <x:v>22</x:v>
      </x:c>
      <x:c r="I108" s="9" t="n">
        <x:v>1</x:v>
      </x:c>
      <x:c r="J108" s="9" t="n">
        <x:v>0</x:v>
      </x:c>
      <x:c r="K108" s="9" t="n">
        <x:v>0</x:v>
      </x:c>
      <x:c r="L108" s="13" t="n">
        <x:f>SUMIFS('Payments'!$D$5:$D$3014,'Payments'!$B$5:$B$3014,A108)</x:f>
        <x:v>3466.73</x:v>
      </x:c>
      <x:c r="M108" s="13" t="n">
        <x:f>G108-L108</x:f>
        <x:v>16289.09</x:v>
      </x:c>
      <x:c r="N108" s="9" t="str">
        <x:f>IF(H108=0,"0 Current",IF(H108&lt;=30,"1 1-30",IF(H108&lt;=60,"2 31-60",IF(H108&lt;=90,"3 61-90",IF(H108&lt;=120,"4 91-120","5 121+")))))</x:f>
        <x:v>1 1-30</x:v>
      </x:c>
      <x:c r="O108" s="9" t="n">
        <x:f>IF(J108&gt;0,1,0)</x:f>
        <x:v>0</x:v>
      </x:c>
    </x:row>
    <x:row r="109">
      <x:c r="A109" s="15" t="str">
        <x:v>105</x:v>
      </x:c>
      <x:c r="B109" s="9" t="str">
        <x:v>Alex</x:v>
      </x:c>
      <x:c r="C109" s="9" t="str">
        <x:v>Credit Card</x:v>
      </x:c>
      <x:c r="D109" s="9" t="str">
        <x:v>Northeast</x:v>
      </x:c>
      <x:c r="E109" s="9" t="n">
        <x:v>436</x:v>
      </x:c>
      <x:c r="F109" s="11" t="n">
        <x:v>46165</x:v>
      </x:c>
      <x:c r="G109" s="13" t="n">
        <x:v>23530.87</x:v>
      </x:c>
      <x:c r="H109" s="9" t="n">
        <x:v>202</x:v>
      </x:c>
      <x:c r="I109" s="9" t="n">
        <x:v>7</x:v>
      </x:c>
      <x:c r="J109" s="9" t="n">
        <x:v>2</x:v>
      </x:c>
      <x:c r="K109" s="9" t="n">
        <x:v>0</x:v>
      </x:c>
      <x:c r="L109" s="13" t="n">
        <x:f>SUMIFS('Payments'!$D$5:$D$3014,'Payments'!$B$5:$B$3014,A109)</x:f>
        <x:v>4793.06</x:v>
      </x:c>
      <x:c r="M109" s="13" t="n">
        <x:f>G109-L109</x:f>
        <x:v>18737.809999999998</x:v>
      </x:c>
      <x:c r="N109" s="9" t="str">
        <x:f>IF(H109=0,"0 Current",IF(H109&lt;=30,"1 1-30",IF(H109&lt;=60,"2 31-60",IF(H109&lt;=90,"3 61-90",IF(H109&lt;=120,"4 91-120","5 121+")))))</x:f>
        <x:v>5 121+</x:v>
      </x:c>
      <x:c r="O109" s="9" t="n">
        <x:f>IF(J109&gt;0,1,0)</x:f>
        <x:v>1</x:v>
      </x:c>
    </x:row>
    <x:row r="110">
      <x:c r="A110" s="15" t="str">
        <x:v>106</x:v>
      </x:c>
      <x:c r="B110" s="9" t="str">
        <x:v>Alex</x:v>
      </x:c>
      <x:c r="C110" s="9" t="str">
        <x:v>Medical</x:v>
      </x:c>
      <x:c r="D110" s="9" t="str">
        <x:v>Midwest</x:v>
      </x:c>
      <x:c r="E110" s="9" t="n">
        <x:v>456</x:v>
      </x:c>
      <x:c r="F110" s="11" t="n">
        <x:v>46118</x:v>
      </x:c>
      <x:c r="G110" s="13" t="n">
        <x:v>4959.47</x:v>
      </x:c>
      <x:c r="H110" s="9" t="n">
        <x:v>126</x:v>
      </x:c>
      <x:c r="I110" s="9" t="n">
        <x:v>1</x:v>
      </x:c>
      <x:c r="J110" s="9" t="n">
        <x:v>1</x:v>
      </x:c>
      <x:c r="K110" s="9" t="n">
        <x:v>0</x:v>
      </x:c>
      <x:c r="L110" s="13" t="n">
        <x:f>SUMIFS('Payments'!$D$5:$D$3014,'Payments'!$B$5:$B$3014,A110)</x:f>
        <x:v>548.6</x:v>
      </x:c>
      <x:c r="M110" s="13" t="n">
        <x:f>G110-L110</x:f>
        <x:v>4410.87</x:v>
      </x:c>
      <x:c r="N110" s="9" t="str">
        <x:f>IF(H110=0,"0 Current",IF(H110&lt;=30,"1 1-30",IF(H110&lt;=60,"2 31-60",IF(H110&lt;=90,"3 61-90",IF(H110&lt;=120,"4 91-120","5 121+")))))</x:f>
        <x:v>5 121+</x:v>
      </x:c>
      <x:c r="O110" s="9" t="n">
        <x:f>IF(J110&gt;0,1,0)</x:f>
        <x:v>1</x:v>
      </x:c>
    </x:row>
    <x:row r="111">
      <x:c r="A111" s="15" t="str">
        <x:v>107</x:v>
      </x:c>
      <x:c r="B111" s="9" t="str">
        <x:v>Morgan</x:v>
      </x:c>
      <x:c r="C111" s="9" t="str">
        <x:v>Medical</x:v>
      </x:c>
      <x:c r="D111" s="9" t="str">
        <x:v>South</x:v>
      </x:c>
      <x:c r="E111" s="9" t="n">
        <x:v>562</x:v>
      </x:c>
      <x:c r="F111" s="11" t="n">
        <x:v>46071</x:v>
      </x:c>
      <x:c r="G111" s="13" t="n">
        <x:v>5564.44</x:v>
      </x:c>
      <x:c r="H111" s="9" t="n">
        <x:v>117</x:v>
      </x:c>
      <x:c r="I111" s="9" t="n">
        <x:v>6</x:v>
      </x:c>
      <x:c r="J111" s="9" t="n">
        <x:v>2</x:v>
      </x:c>
      <x:c r="K111" s="9" t="n">
        <x:v>1</x:v>
      </x:c>
      <x:c r="L111" s="13" t="n">
        <x:f>SUMIFS('Payments'!$D$5:$D$3014,'Payments'!$B$5:$B$3014,A111)</x:f>
        <x:v>452.93</x:v>
      </x:c>
      <x:c r="M111" s="13" t="n">
        <x:f>G111-L111</x:f>
        <x:v>5111.509999999999</x:v>
      </x:c>
      <x:c r="N111" s="9" t="str">
        <x:f>IF(H111=0,"0 Current",IF(H111&lt;=30,"1 1-30",IF(H111&lt;=60,"2 31-60",IF(H111&lt;=90,"3 61-90",IF(H111&lt;=120,"4 91-120","5 121+")))))</x:f>
        <x:v>4 91-120</x:v>
      </x:c>
      <x:c r="O111" s="9" t="n">
        <x:f>IF(J111&gt;0,1,0)</x:f>
        <x:v>1</x:v>
      </x:c>
    </x:row>
    <x:row r="112">
      <x:c r="A112" s="15" t="str">
        <x:v>108</x:v>
      </x:c>
      <x:c r="B112" s="9" t="str">
        <x:v>Riley</x:v>
      </x:c>
      <x:c r="C112" s="9" t="str">
        <x:v>Medical</x:v>
      </x:c>
      <x:c r="D112" s="9" t="str">
        <x:v>West</x:v>
      </x:c>
      <x:c r="E112" s="9" t="n">
        <x:v>529</x:v>
      </x:c>
      <x:c r="F112" s="11" t="n">
        <x:v>46133</x:v>
      </x:c>
      <x:c r="G112" s="13" t="n">
        <x:v>20755.63</x:v>
      </x:c>
      <x:c r="H112" s="9" t="n">
        <x:v>177</x:v>
      </x:c>
      <x:c r="I112" s="9" t="n">
        <x:v>6</x:v>
      </x:c>
      <x:c r="J112" s="9" t="n">
        <x:v>3</x:v>
      </x:c>
      <x:c r="K112" s="9" t="n">
        <x:v>1</x:v>
      </x:c>
      <x:c r="L112" s="13" t="n">
        <x:f>SUMIFS('Payments'!$D$5:$D$3014,'Payments'!$B$5:$B$3014,A112)</x:f>
        <x:v>3811.8100000000004</x:v>
      </x:c>
      <x:c r="M112" s="13" t="n">
        <x:f>G112-L112</x:f>
        <x:v>16943.82</x:v>
      </x:c>
      <x:c r="N112" s="9" t="str">
        <x:f>IF(H112=0,"0 Current",IF(H112&lt;=30,"1 1-30",IF(H112&lt;=60,"2 31-60",IF(H112&lt;=90,"3 61-90",IF(H112&lt;=120,"4 91-120","5 121+")))))</x:f>
        <x:v>5 121+</x:v>
      </x:c>
      <x:c r="O112" s="9" t="n">
        <x:f>IF(J112&gt;0,1,0)</x:f>
        <x:v>1</x:v>
      </x:c>
    </x:row>
    <x:row r="113">
      <x:c r="A113" s="15" t="str">
        <x:v>109</x:v>
      </x:c>
      <x:c r="B113" s="9" t="str">
        <x:v>Casey</x:v>
      </x:c>
      <x:c r="C113" s="9" t="str">
        <x:v>Medical</x:v>
      </x:c>
      <x:c r="D113" s="9" t="str">
        <x:v>South</x:v>
      </x:c>
      <x:c r="E113" s="9" t="n">
        <x:v>790</x:v>
      </x:c>
      <x:c r="F113" s="11" t="n">
        <x:v>46164</x:v>
      </x:c>
      <x:c r="G113" s="13" t="n">
        <x:v>9616</x:v>
      </x:c>
      <x:c r="H113" s="9" t="n">
        <x:v>159</x:v>
      </x:c>
      <x:c r="I113" s="9" t="n">
        <x:v>2</x:v>
      </x:c>
      <x:c r="J113" s="9" t="n">
        <x:v>1</x:v>
      </x:c>
      <x:c r="K113" s="9" t="n">
        <x:v>0</x:v>
      </x:c>
      <x:c r="L113" s="13" t="n">
        <x:f>SUMIFS('Payments'!$D$5:$D$3014,'Payments'!$B$5:$B$3014,A113)</x:f>
        <x:v>1801.24</x:v>
      </x:c>
      <x:c r="M113" s="13" t="n">
        <x:f>G113-L113</x:f>
        <x:v>7814.76</x:v>
      </x:c>
      <x:c r="N113" s="9" t="str">
        <x:f>IF(H113=0,"0 Current",IF(H113&lt;=30,"1 1-30",IF(H113&lt;=60,"2 31-60",IF(H113&lt;=90,"3 61-90",IF(H113&lt;=120,"4 91-120","5 121+")))))</x:f>
        <x:v>5 121+</x:v>
      </x:c>
      <x:c r="O113" s="9" t="n">
        <x:f>IF(J113&gt;0,1,0)</x:f>
        <x:v>1</x:v>
      </x:c>
    </x:row>
    <x:row r="114">
      <x:c r="A114" s="15" t="str">
        <x:v>110</x:v>
      </x:c>
      <x:c r="B114" s="9" t="str">
        <x:v>Morgan</x:v>
      </x:c>
      <x:c r="C114" s="9" t="str">
        <x:v>Auto</x:v>
      </x:c>
      <x:c r="D114" s="9" t="str">
        <x:v>West</x:v>
      </x:c>
      <x:c r="E114" s="9" t="n">
        <x:v>544</x:v>
      </x:c>
      <x:c r="F114" s="11" t="n">
        <x:v>46113</x:v>
      </x:c>
      <x:c r="G114" s="13" t="n">
        <x:v>24083.74</x:v>
      </x:c>
      <x:c r="H114" s="9" t="n">
        <x:v>172</x:v>
      </x:c>
      <x:c r="I114" s="9" t="n">
        <x:v>0</x:v>
      </x:c>
      <x:c r="J114" s="9" t="n">
        <x:v>0</x:v>
      </x:c>
      <x:c r="K114" s="9" t="n">
        <x:v>0</x:v>
      </x:c>
      <x:c r="L114" s="13" t="n">
        <x:f>SUMIFS('Payments'!$D$5:$D$3014,'Payments'!$B$5:$B$3014,A114)</x:f>
        <x:v>4161.09</x:v>
      </x:c>
      <x:c r="M114" s="13" t="n">
        <x:f>G114-L114</x:f>
        <x:v>19922.65</x:v>
      </x:c>
      <x:c r="N114" s="9" t="str">
        <x:f>IF(H114=0,"0 Current",IF(H114&lt;=30,"1 1-30",IF(H114&lt;=60,"2 31-60",IF(H114&lt;=90,"3 61-90",IF(H114&lt;=120,"4 91-120","5 121+")))))</x:f>
        <x:v>5 121+</x:v>
      </x:c>
      <x:c r="O114" s="9" t="n">
        <x:f>IF(J114&gt;0,1,0)</x:f>
        <x:v>0</x:v>
      </x:c>
    </x:row>
    <x:row r="115">
      <x:c r="A115" s="15" t="str">
        <x:v>111</x:v>
      </x:c>
      <x:c r="B115" s="9" t="str">
        <x:v>Jordan</x:v>
      </x:c>
      <x:c r="C115" s="9" t="str">
        <x:v>Medical</x:v>
      </x:c>
      <x:c r="D115" s="9" t="str">
        <x:v>West</x:v>
      </x:c>
      <x:c r="E115" s="9" t="n">
        <x:v>628</x:v>
      </x:c>
      <x:c r="F115" s="11" t="n">
        <x:v>46037</x:v>
      </x:c>
      <x:c r="G115" s="13" t="n">
        <x:v>8884.51</x:v>
      </x:c>
      <x:c r="H115" s="9" t="n">
        <x:v>73</x:v>
      </x:c>
      <x:c r="I115" s="9" t="n">
        <x:v>3</x:v>
      </x:c>
      <x:c r="J115" s="9" t="n">
        <x:v>1</x:v>
      </x:c>
      <x:c r="K115" s="9" t="n">
        <x:v>0</x:v>
      </x:c>
      <x:c r="L115" s="13" t="n">
        <x:f>SUMIFS('Payments'!$D$5:$D$3014,'Payments'!$B$5:$B$3014,A115)</x:f>
        <x:v>1117.09</x:v>
      </x:c>
      <x:c r="M115" s="13" t="n">
        <x:f>G115-L115</x:f>
        <x:v>7767.42</x:v>
      </x:c>
      <x:c r="N115" s="9" t="str">
        <x:f>IF(H115=0,"0 Current",IF(H115&lt;=30,"1 1-30",IF(H115&lt;=60,"2 31-60",IF(H115&lt;=90,"3 61-90",IF(H115&lt;=120,"4 91-120","5 121+")))))</x:f>
        <x:v>3 61-90</x:v>
      </x:c>
      <x:c r="O115" s="9" t="n">
        <x:f>IF(J115&gt;0,1,0)</x:f>
        <x:v>1</x:v>
      </x:c>
    </x:row>
    <x:row r="116">
      <x:c r="A116" s="15" t="str">
        <x:v>112</x:v>
      </x:c>
      <x:c r="B116" s="9" t="str">
        <x:v>Casey</x:v>
      </x:c>
      <x:c r="C116" s="9" t="str">
        <x:v>Personal Loan</x:v>
      </x:c>
      <x:c r="D116" s="9" t="str">
        <x:v>South</x:v>
      </x:c>
      <x:c r="E116" s="9" t="n">
        <x:v>468</x:v>
      </x:c>
      <x:c r="F116" s="11" t="n">
        <x:v>46166</x:v>
      </x:c>
      <x:c r="G116" s="13" t="n">
        <x:v>16811.08</x:v>
      </x:c>
      <x:c r="H116" s="9" t="n">
        <x:v>177</x:v>
      </x:c>
      <x:c r="I116" s="9" t="n">
        <x:v>6</x:v>
      </x:c>
      <x:c r="J116" s="9" t="n">
        <x:v>3</x:v>
      </x:c>
      <x:c r="K116" s="9" t="n">
        <x:v>1</x:v>
      </x:c>
      <x:c r="L116" s="13" t="n">
        <x:f>SUMIFS('Payments'!$D$5:$D$3014,'Payments'!$B$5:$B$3014,A116)</x:f>
        <x:v>0</x:v>
      </x:c>
      <x:c r="M116" s="13" t="n">
        <x:f>G116-L116</x:f>
        <x:v>16811.08</x:v>
      </x:c>
      <x:c r="N116" s="9" t="str">
        <x:f>IF(H116=0,"0 Current",IF(H116&lt;=30,"1 1-30",IF(H116&lt;=60,"2 31-60",IF(H116&lt;=90,"3 61-90",IF(H116&lt;=120,"4 91-120","5 121+")))))</x:f>
        <x:v>5 121+</x:v>
      </x:c>
      <x:c r="O116" s="9" t="n">
        <x:f>IF(J116&gt;0,1,0)</x:f>
        <x:v>1</x:v>
      </x:c>
    </x:row>
    <x:row r="117">
      <x:c r="A117" s="15" t="str">
        <x:v>113</x:v>
      </x:c>
      <x:c r="B117" s="9" t="str">
        <x:v>Taylor</x:v>
      </x:c>
      <x:c r="C117" s="9" t="str">
        <x:v>Medical</x:v>
      </x:c>
      <x:c r="D117" s="9" t="str">
        <x:v>Northeast</x:v>
      </x:c>
      <x:c r="E117" s="9" t="n">
        <x:v>757</x:v>
      </x:c>
      <x:c r="F117" s="11" t="n">
        <x:v>46162</x:v>
      </x:c>
      <x:c r="G117" s="13" t="n">
        <x:v>8740.51</x:v>
      </x:c>
      <x:c r="H117" s="9" t="n">
        <x:v>75</x:v>
      </x:c>
      <x:c r="I117" s="9" t="n">
        <x:v>1</x:v>
      </x:c>
      <x:c r="J117" s="9" t="n">
        <x:v>0</x:v>
      </x:c>
      <x:c r="K117" s="9" t="n">
        <x:v>0</x:v>
      </x:c>
      <x:c r="L117" s="13" t="n">
        <x:f>SUMIFS('Payments'!$D$5:$D$3014,'Payments'!$B$5:$B$3014,A117)</x:f>
        <x:v>1471.1</x:v>
      </x:c>
      <x:c r="M117" s="13" t="n">
        <x:f>G117-L117</x:f>
        <x:v>7269.41</x:v>
      </x:c>
      <x:c r="N117" s="9" t="str">
        <x:f>IF(H117=0,"0 Current",IF(H117&lt;=30,"1 1-30",IF(H117&lt;=60,"2 31-60",IF(H117&lt;=90,"3 61-90",IF(H117&lt;=120,"4 91-120","5 121+")))))</x:f>
        <x:v>3 61-90</x:v>
      </x:c>
      <x:c r="O117" s="9" t="n">
        <x:f>IF(J117&gt;0,1,0)</x:f>
        <x:v>0</x:v>
      </x:c>
    </x:row>
    <x:row r="118">
      <x:c r="A118" s="15" t="str">
        <x:v>114</x:v>
      </x:c>
      <x:c r="B118" s="9" t="str">
        <x:v>Jordan</x:v>
      </x:c>
      <x:c r="C118" s="9" t="str">
        <x:v>Medical</x:v>
      </x:c>
      <x:c r="D118" s="9" t="str">
        <x:v>West</x:v>
      </x:c>
      <x:c r="E118" s="9" t="n">
        <x:v>601</x:v>
      </x:c>
      <x:c r="F118" s="11" t="n">
        <x:v>46094</x:v>
      </x:c>
      <x:c r="G118" s="13" t="n">
        <x:v>23845.43</x:v>
      </x:c>
      <x:c r="H118" s="9" t="n">
        <x:v>41</x:v>
      </x:c>
      <x:c r="I118" s="9" t="n">
        <x:v>0</x:v>
      </x:c>
      <x:c r="J118" s="9" t="n">
        <x:v>0</x:v>
      </x:c>
      <x:c r="K118" s="9" t="n">
        <x:v>0</x:v>
      </x:c>
      <x:c r="L118" s="13" t="n">
        <x:f>SUMIFS('Payments'!$D$5:$D$3014,'Payments'!$B$5:$B$3014,A118)</x:f>
        <x:v>4727.57</x:v>
      </x:c>
      <x:c r="M118" s="13" t="n">
        <x:f>G118-L118</x:f>
        <x:v>19117.86</x:v>
      </x:c>
      <x:c r="N118" s="9" t="str">
        <x:f>IF(H118=0,"0 Current",IF(H118&lt;=30,"1 1-30",IF(H118&lt;=60,"2 31-60",IF(H118&lt;=90,"3 61-90",IF(H118&lt;=120,"4 91-120","5 121+")))))</x:f>
        <x:v>2 31-60</x:v>
      </x:c>
      <x:c r="O118" s="9" t="n">
        <x:f>IF(J118&gt;0,1,0)</x:f>
        <x:v>0</x:v>
      </x:c>
    </x:row>
    <x:row r="119">
      <x:c r="A119" s="15" t="str">
        <x:v>115</x:v>
      </x:c>
      <x:c r="B119" s="9" t="str">
        <x:v>Riley</x:v>
      </x:c>
      <x:c r="C119" s="9" t="str">
        <x:v>Personal Loan</x:v>
      </x:c>
      <x:c r="D119" s="9" t="str">
        <x:v>West</x:v>
      </x:c>
      <x:c r="E119" s="9" t="n">
        <x:v>630</x:v>
      </x:c>
      <x:c r="F119" s="11" t="n">
        <x:v>46100</x:v>
      </x:c>
      <x:c r="G119" s="13" t="n">
        <x:v>21075.19</x:v>
      </x:c>
      <x:c r="H119" s="9" t="n">
        <x:v>18</x:v>
      </x:c>
      <x:c r="I119" s="9" t="n">
        <x:v>8</x:v>
      </x:c>
      <x:c r="J119" s="9" t="n">
        <x:v>3</x:v>
      </x:c>
      <x:c r="K119" s="9" t="n">
        <x:v>1</x:v>
      </x:c>
      <x:c r="L119" s="13" t="n">
        <x:f>SUMIFS('Payments'!$D$5:$D$3014,'Payments'!$B$5:$B$3014,A119)</x:f>
        <x:v>1530.67</x:v>
      </x:c>
      <x:c r="M119" s="13" t="n">
        <x:f>G119-L119</x:f>
        <x:v>19544.519999999997</x:v>
      </x:c>
      <x:c r="N119" s="9" t="str">
        <x:f>IF(H119=0,"0 Current",IF(H119&lt;=30,"1 1-30",IF(H119&lt;=60,"2 31-60",IF(H119&lt;=90,"3 61-90",IF(H119&lt;=120,"4 91-120","5 121+")))))</x:f>
        <x:v>1 1-30</x:v>
      </x:c>
      <x:c r="O119" s="9" t="n">
        <x:f>IF(J119&gt;0,1,0)</x:f>
        <x:v>1</x:v>
      </x:c>
    </x:row>
    <x:row r="120">
      <x:c r="A120" s="15" t="str">
        <x:v>116</x:v>
      </x:c>
      <x:c r="B120" s="9" t="str">
        <x:v>Taylor</x:v>
      </x:c>
      <x:c r="C120" s="9" t="str">
        <x:v>Personal Loan</x:v>
      </x:c>
      <x:c r="D120" s="9" t="str">
        <x:v>West</x:v>
      </x:c>
      <x:c r="E120" s="9" t="n">
        <x:v>793</x:v>
      </x:c>
      <x:c r="F120" s="11" t="n">
        <x:v>46025</x:v>
      </x:c>
      <x:c r="G120" s="13" t="n">
        <x:v>5311.78</x:v>
      </x:c>
      <x:c r="H120" s="9" t="n">
        <x:v>114</x:v>
      </x:c>
      <x:c r="I120" s="9" t="n">
        <x:v>3</x:v>
      </x:c>
      <x:c r="J120" s="9" t="n">
        <x:v>1</x:v>
      </x:c>
      <x:c r="K120" s="9" t="n">
        <x:v>0</x:v>
      </x:c>
      <x:c r="L120" s="13" t="n">
        <x:f>SUMIFS('Payments'!$D$5:$D$3014,'Payments'!$B$5:$B$3014,A120)</x:f>
        <x:v>602.77</x:v>
      </x:c>
      <x:c r="M120" s="13" t="n">
        <x:f>G120-L120</x:f>
        <x:v>4709.01</x:v>
      </x:c>
      <x:c r="N120" s="9" t="str">
        <x:f>IF(H120=0,"0 Current",IF(H120&lt;=30,"1 1-30",IF(H120&lt;=60,"2 31-60",IF(H120&lt;=90,"3 61-90",IF(H120&lt;=120,"4 91-120","5 121+")))))</x:f>
        <x:v>4 91-120</x:v>
      </x:c>
      <x:c r="O120" s="9" t="n">
        <x:f>IF(J120&gt;0,1,0)</x:f>
        <x:v>1</x:v>
      </x:c>
    </x:row>
    <x:row r="121">
      <x:c r="A121" s="15" t="str">
        <x:v>117</x:v>
      </x:c>
      <x:c r="B121" s="9" t="str">
        <x:v>Alex</x:v>
      </x:c>
      <x:c r="C121" s="9" t="str">
        <x:v>Personal Loan</x:v>
      </x:c>
      <x:c r="D121" s="9" t="str">
        <x:v>Northeast</x:v>
      </x:c>
      <x:c r="E121" s="9" t="n">
        <x:v>764</x:v>
      </x:c>
      <x:c r="F121" s="11" t="n">
        <x:v>46161</x:v>
      </x:c>
      <x:c r="G121" s="13" t="n">
        <x:v>12362.7</x:v>
      </x:c>
      <x:c r="H121" s="9" t="n">
        <x:v>131</x:v>
      </x:c>
      <x:c r="I121" s="9" t="n">
        <x:v>1</x:v>
      </x:c>
      <x:c r="J121" s="9" t="n">
        <x:v>1</x:v>
      </x:c>
      <x:c r="K121" s="9" t="n">
        <x:v>1</x:v>
      </x:c>
      <x:c r="L121" s="13" t="n">
        <x:f>SUMIFS('Payments'!$D$5:$D$3014,'Payments'!$B$5:$B$3014,A121)</x:f>
        <x:v>3174.74</x:v>
      </x:c>
      <x:c r="M121" s="13" t="n">
        <x:f>G121-L121</x:f>
        <x:v>9187.960000000001</x:v>
      </x:c>
      <x:c r="N121" s="9" t="str">
        <x:f>IF(H121=0,"0 Current",IF(H121&lt;=30,"1 1-30",IF(H121&lt;=60,"2 31-60",IF(H121&lt;=90,"3 61-90",IF(H121&lt;=120,"4 91-120","5 121+")))))</x:f>
        <x:v>5 121+</x:v>
      </x:c>
      <x:c r="O121" s="9" t="n">
        <x:f>IF(J121&gt;0,1,0)</x:f>
        <x:v>1</x:v>
      </x:c>
    </x:row>
    <x:row r="122">
      <x:c r="A122" s="15" t="str">
        <x:v>118</x:v>
      </x:c>
      <x:c r="B122" s="9" t="str">
        <x:v>Alex</x:v>
      </x:c>
      <x:c r="C122" s="9" t="str">
        <x:v>Credit Card</x:v>
      </x:c>
      <x:c r="D122" s="9" t="str">
        <x:v>Northeast</x:v>
      </x:c>
      <x:c r="E122" s="9" t="n">
        <x:v>451</x:v>
      </x:c>
      <x:c r="F122" s="11" t="n">
        <x:v>46160</x:v>
      </x:c>
      <x:c r="G122" s="13" t="n">
        <x:v>22864.27</x:v>
      </x:c>
      <x:c r="H122" s="9" t="n">
        <x:v>53</x:v>
      </x:c>
      <x:c r="I122" s="9" t="n">
        <x:v>3</x:v>
      </x:c>
      <x:c r="J122" s="9" t="n">
        <x:v>3</x:v>
      </x:c>
      <x:c r="K122" s="9" t="n">
        <x:v>0</x:v>
      </x:c>
      <x:c r="L122" s="13" t="n">
        <x:f>SUMIFS('Payments'!$D$5:$D$3014,'Payments'!$B$5:$B$3014,A122)</x:f>
        <x:v>2234.07</x:v>
      </x:c>
      <x:c r="M122" s="13" t="n">
        <x:f>G122-L122</x:f>
        <x:v>20630.2</x:v>
      </x:c>
      <x:c r="N122" s="9" t="str">
        <x:f>IF(H122=0,"0 Current",IF(H122&lt;=30,"1 1-30",IF(H122&lt;=60,"2 31-60",IF(H122&lt;=90,"3 61-90",IF(H122&lt;=120,"4 91-120","5 121+")))))</x:f>
        <x:v>2 31-60</x:v>
      </x:c>
      <x:c r="O122" s="9" t="n">
        <x:f>IF(J122&gt;0,1,0)</x:f>
        <x:v>1</x:v>
      </x:c>
    </x:row>
    <x:row r="123">
      <x:c r="A123" s="15" t="str">
        <x:v>119</x:v>
      </x:c>
      <x:c r="B123" s="9" t="str">
        <x:v>Morgan</x:v>
      </x:c>
      <x:c r="C123" s="9" t="str">
        <x:v>Personal Loan</x:v>
      </x:c>
      <x:c r="D123" s="9" t="str">
        <x:v>West</x:v>
      </x:c>
      <x:c r="E123" s="9" t="n">
        <x:v>792</x:v>
      </x:c>
      <x:c r="F123" s="11" t="n">
        <x:v>46062</x:v>
      </x:c>
      <x:c r="G123" s="13" t="n">
        <x:v>1496.27</x:v>
      </x:c>
      <x:c r="H123" s="9" t="n">
        <x:v>9</x:v>
      </x:c>
      <x:c r="I123" s="9" t="n">
        <x:v>1</x:v>
      </x:c>
      <x:c r="J123" s="9" t="n">
        <x:v>0</x:v>
      </x:c>
      <x:c r="K123" s="9" t="n">
        <x:v>0</x:v>
      </x:c>
      <x:c r="L123" s="13" t="n">
        <x:f>SUMIFS('Payments'!$D$5:$D$3014,'Payments'!$B$5:$B$3014,A123)</x:f>
        <x:v>0</x:v>
      </x:c>
      <x:c r="M123" s="13" t="n">
        <x:f>G123-L123</x:f>
        <x:v>1496.27</x:v>
      </x:c>
      <x:c r="N123" s="9" t="str">
        <x:f>IF(H123=0,"0 Current",IF(H123&lt;=30,"1 1-30",IF(H123&lt;=60,"2 31-60",IF(H123&lt;=90,"3 61-90",IF(H123&lt;=120,"4 91-120","5 121+")))))</x:f>
        <x:v>1 1-30</x:v>
      </x:c>
      <x:c r="O123" s="9" t="n">
        <x:f>IF(J123&gt;0,1,0)</x:f>
        <x:v>0</x:v>
      </x:c>
    </x:row>
    <x:row r="124">
      <x:c r="A124" s="15" t="str">
        <x:v>120</x:v>
      </x:c>
      <x:c r="B124" s="9" t="str">
        <x:v>Alex</x:v>
      </x:c>
      <x:c r="C124" s="9" t="str">
        <x:v>Medical</x:v>
      </x:c>
      <x:c r="D124" s="9" t="str">
        <x:v>Midwest</x:v>
      </x:c>
      <x:c r="E124" s="9" t="n">
        <x:v>475</x:v>
      </x:c>
      <x:c r="F124" s="11" t="n">
        <x:v>46087</x:v>
      </x:c>
      <x:c r="G124" s="13" t="n">
        <x:v>23907.74</x:v>
      </x:c>
      <x:c r="H124" s="9" t="n">
        <x:v>233</x:v>
      </x:c>
      <x:c r="I124" s="9" t="n">
        <x:v>6</x:v>
      </x:c>
      <x:c r="J124" s="9" t="n">
        <x:v>4</x:v>
      </x:c>
      <x:c r="K124" s="9" t="n">
        <x:v>0</x:v>
      </x:c>
      <x:c r="L124" s="13" t="n">
        <x:f>SUMIFS('Payments'!$D$5:$D$3014,'Payments'!$B$5:$B$3014,A124)</x:f>
        <x:v>4522.35</x:v>
      </x:c>
      <x:c r="M124" s="13" t="n">
        <x:f>G124-L124</x:f>
        <x:v>19385.39</x:v>
      </x:c>
      <x:c r="N124" s="9" t="str">
        <x:f>IF(H124=0,"0 Current",IF(H124&lt;=30,"1 1-30",IF(H124&lt;=60,"2 31-60",IF(H124&lt;=90,"3 61-90",IF(H124&lt;=120,"4 91-120","5 121+")))))</x:f>
        <x:v>5 121+</x:v>
      </x:c>
      <x:c r="O124" s="9" t="n">
        <x:f>IF(J124&gt;0,1,0)</x:f>
        <x:v>1</x:v>
      </x:c>
    </x:row>
    <x:row r="125">
      <x:c r="A125" s="15" t="str">
        <x:v>121</x:v>
      </x:c>
      <x:c r="B125" s="9" t="str">
        <x:v>Riley</x:v>
      </x:c>
      <x:c r="C125" s="9" t="str">
        <x:v>Credit Card</x:v>
      </x:c>
      <x:c r="D125" s="9" t="str">
        <x:v>South</x:v>
      </x:c>
      <x:c r="E125" s="9" t="n">
        <x:v>518</x:v>
      </x:c>
      <x:c r="F125" s="11" t="n">
        <x:v>46041</x:v>
      </x:c>
      <x:c r="G125" s="13" t="n">
        <x:v>15503.03</x:v>
      </x:c>
      <x:c r="H125" s="9" t="n">
        <x:v>74</x:v>
      </x:c>
      <x:c r="I125" s="9" t="n">
        <x:v>6</x:v>
      </x:c>
      <x:c r="J125" s="9" t="n">
        <x:v>2</x:v>
      </x:c>
      <x:c r="K125" s="9" t="n">
        <x:v>0</x:v>
      </x:c>
      <x:c r="L125" s="13" t="n">
        <x:f>SUMIFS('Payments'!$D$5:$D$3014,'Payments'!$B$5:$B$3014,A125)</x:f>
        <x:v>2348.05</x:v>
      </x:c>
      <x:c r="M125" s="13" t="n">
        <x:f>G125-L125</x:f>
        <x:v>13154.98</x:v>
      </x:c>
      <x:c r="N125" s="9" t="str">
        <x:f>IF(H125=0,"0 Current",IF(H125&lt;=30,"1 1-30",IF(H125&lt;=60,"2 31-60",IF(H125&lt;=90,"3 61-90",IF(H125&lt;=120,"4 91-120","5 121+")))))</x:f>
        <x:v>3 61-90</x:v>
      </x:c>
      <x:c r="O125" s="9" t="n">
        <x:f>IF(J125&gt;0,1,0)</x:f>
        <x:v>1</x:v>
      </x:c>
    </x:row>
    <x:row r="126">
      <x:c r="A126" s="15" t="str">
        <x:v>122</x:v>
      </x:c>
      <x:c r="B126" s="9" t="str">
        <x:v>Riley</x:v>
      </x:c>
      <x:c r="C126" s="9" t="str">
        <x:v>Medical</x:v>
      </x:c>
      <x:c r="D126" s="9" t="str">
        <x:v>South</x:v>
      </x:c>
      <x:c r="E126" s="9" t="n">
        <x:v>694</x:v>
      </x:c>
      <x:c r="F126" s="11" t="n">
        <x:v>46118</x:v>
      </x:c>
      <x:c r="G126" s="13" t="n">
        <x:v>967.67</x:v>
      </x:c>
      <x:c r="H126" s="9" t="n">
        <x:v>31</x:v>
      </x:c>
      <x:c r="I126" s="9" t="n">
        <x:v>0</x:v>
      </x:c>
      <x:c r="J126" s="9" t="n">
        <x:v>0</x:v>
      </x:c>
      <x:c r="K126" s="9" t="n">
        <x:v>0</x:v>
      </x:c>
      <x:c r="L126" s="13" t="n">
        <x:f>SUMIFS('Payments'!$D$5:$D$3014,'Payments'!$B$5:$B$3014,A126)</x:f>
        <x:v>0</x:v>
      </x:c>
      <x:c r="M126" s="13" t="n">
        <x:f>G126-L126</x:f>
        <x:v>967.67</x:v>
      </x:c>
      <x:c r="N126" s="9" t="str">
        <x:f>IF(H126=0,"0 Current",IF(H126&lt;=30,"1 1-30",IF(H126&lt;=60,"2 31-60",IF(H126&lt;=90,"3 61-90",IF(H126&lt;=120,"4 91-120","5 121+")))))</x:f>
        <x:v>2 31-60</x:v>
      </x:c>
      <x:c r="O126" s="9" t="n">
        <x:f>IF(J126&gt;0,1,0)</x:f>
        <x:v>0</x:v>
      </x:c>
    </x:row>
    <x:row r="127">
      <x:c r="A127" s="15" t="str">
        <x:v>123</x:v>
      </x:c>
      <x:c r="B127" s="9" t="str">
        <x:v>Riley</x:v>
      </x:c>
      <x:c r="C127" s="9" t="str">
        <x:v>Credit Card</x:v>
      </x:c>
      <x:c r="D127" s="9" t="str">
        <x:v>West</x:v>
      </x:c>
      <x:c r="E127" s="9" t="n">
        <x:v>491</x:v>
      </x:c>
      <x:c r="F127" s="11" t="n">
        <x:v>46169</x:v>
      </x:c>
      <x:c r="G127" s="13" t="n">
        <x:v>17028.98</x:v>
      </x:c>
      <x:c r="H127" s="9" t="n">
        <x:v>78</x:v>
      </x:c>
      <x:c r="I127" s="9" t="n">
        <x:v>3</x:v>
      </x:c>
      <x:c r="J127" s="9" t="n">
        <x:v>1</x:v>
      </x:c>
      <x:c r="K127" s="9" t="n">
        <x:v>1</x:v>
      </x:c>
      <x:c r="L127" s="13" t="n">
        <x:f>SUMIFS('Payments'!$D$5:$D$3014,'Payments'!$B$5:$B$3014,A127)</x:f>
        <x:v>1971.61</x:v>
      </x:c>
      <x:c r="M127" s="13" t="n">
        <x:f>G127-L127</x:f>
        <x:v>15057.369999999999</x:v>
      </x:c>
      <x:c r="N127" s="9" t="str">
        <x:f>IF(H127=0,"0 Current",IF(H127&lt;=30,"1 1-30",IF(H127&lt;=60,"2 31-60",IF(H127&lt;=90,"3 61-90",IF(H127&lt;=120,"4 91-120","5 121+")))))</x:f>
        <x:v>3 61-90</x:v>
      </x:c>
      <x:c r="O127" s="9" t="n">
        <x:f>IF(J127&gt;0,1,0)</x:f>
        <x:v>1</x:v>
      </x:c>
    </x:row>
    <x:row r="128">
      <x:c r="A128" s="15" t="str">
        <x:v>124</x:v>
      </x:c>
      <x:c r="B128" s="9" t="str">
        <x:v>Alex</x:v>
      </x:c>
      <x:c r="C128" s="9" t="str">
        <x:v>Medical</x:v>
      </x:c>
      <x:c r="D128" s="9" t="str">
        <x:v>West</x:v>
      </x:c>
      <x:c r="E128" s="9" t="n">
        <x:v>513</x:v>
      </x:c>
      <x:c r="F128" s="11" t="n">
        <x:v>46087</x:v>
      </x:c>
      <x:c r="G128" s="13" t="n">
        <x:v>8650.63</x:v>
      </x:c>
      <x:c r="H128" s="9" t="n">
        <x:v>171</x:v>
      </x:c>
      <x:c r="I128" s="9" t="n">
        <x:v>4</x:v>
      </x:c>
      <x:c r="J128" s="9" t="n">
        <x:v>0</x:v>
      </x:c>
      <x:c r="K128" s="9" t="n">
        <x:v>0</x:v>
      </x:c>
      <x:c r="L128" s="13" t="n">
        <x:f>SUMIFS('Payments'!$D$5:$D$3014,'Payments'!$B$5:$B$3014,A128)</x:f>
        <x:v>2420.71</x:v>
      </x:c>
      <x:c r="M128" s="13" t="n">
        <x:f>G128-L128</x:f>
        <x:v>6229.919999999999</x:v>
      </x:c>
      <x:c r="N128" s="9" t="str">
        <x:f>IF(H128=0,"0 Current",IF(H128&lt;=30,"1 1-30",IF(H128&lt;=60,"2 31-60",IF(H128&lt;=90,"3 61-90",IF(H128&lt;=120,"4 91-120","5 121+")))))</x:f>
        <x:v>5 121+</x:v>
      </x:c>
      <x:c r="O128" s="9" t="n">
        <x:f>IF(J128&gt;0,1,0)</x:f>
        <x:v>0</x:v>
      </x:c>
    </x:row>
    <x:row r="129">
      <x:c r="A129" s="15" t="str">
        <x:v>125</x:v>
      </x:c>
      <x:c r="B129" s="9" t="str">
        <x:v>Jordan</x:v>
      </x:c>
      <x:c r="C129" s="9" t="str">
        <x:v>Credit Card</x:v>
      </x:c>
      <x:c r="D129" s="9" t="str">
        <x:v>Midwest</x:v>
      </x:c>
      <x:c r="E129" s="9" t="n">
        <x:v>656</x:v>
      </x:c>
      <x:c r="F129" s="11" t="n">
        <x:v>46083</x:v>
      </x:c>
      <x:c r="G129" s="13" t="n">
        <x:v>4696.19</x:v>
      </x:c>
      <x:c r="H129" s="9" t="n">
        <x:v>230</x:v>
      </x:c>
      <x:c r="I129" s="9" t="n">
        <x:v>7</x:v>
      </x:c>
      <x:c r="J129" s="9" t="n">
        <x:v>4</x:v>
      </x:c>
      <x:c r="K129" s="9" t="n">
        <x:v>0</x:v>
      </x:c>
      <x:c r="L129" s="13" t="n">
        <x:f>SUMIFS('Payments'!$D$5:$D$3014,'Payments'!$B$5:$B$3014,A129)</x:f>
        <x:v>218.26</x:v>
      </x:c>
      <x:c r="M129" s="13" t="n">
        <x:f>G129-L129</x:f>
        <x:v>4477.929999999999</x:v>
      </x:c>
      <x:c r="N129" s="9" t="str">
        <x:f>IF(H129=0,"0 Current",IF(H129&lt;=30,"1 1-30",IF(H129&lt;=60,"2 31-60",IF(H129&lt;=90,"3 61-90",IF(H129&lt;=120,"4 91-120","5 121+")))))</x:f>
        <x:v>5 121+</x:v>
      </x:c>
      <x:c r="O129" s="9" t="n">
        <x:f>IF(J129&gt;0,1,0)</x:f>
        <x:v>1</x:v>
      </x:c>
    </x:row>
    <x:row r="130">
      <x:c r="A130" s="15" t="str">
        <x:v>126</x:v>
      </x:c>
      <x:c r="B130" s="9" t="str">
        <x:v>Jordan</x:v>
      </x:c>
      <x:c r="C130" s="9" t="str">
        <x:v>Medical</x:v>
      </x:c>
      <x:c r="D130" s="9" t="str">
        <x:v>South</x:v>
      </x:c>
      <x:c r="E130" s="9" t="n">
        <x:v>458</x:v>
      </x:c>
      <x:c r="F130" s="11" t="n">
        <x:v>46134</x:v>
      </x:c>
      <x:c r="G130" s="13" t="n">
        <x:v>12104.79</x:v>
      </x:c>
      <x:c r="H130" s="9" t="n">
        <x:v>173</x:v>
      </x:c>
      <x:c r="I130" s="9" t="n">
        <x:v>4</x:v>
      </x:c>
      <x:c r="J130" s="9" t="n">
        <x:v>3</x:v>
      </x:c>
      <x:c r="K130" s="9" t="n">
        <x:v>0</x:v>
      </x:c>
      <x:c r="L130" s="13" t="n">
        <x:f>SUMIFS('Payments'!$D$5:$D$3014,'Payments'!$B$5:$B$3014,A130)</x:f>
        <x:v>2445.6400000000003</x:v>
      </x:c>
      <x:c r="M130" s="13" t="n">
        <x:f>G130-L130</x:f>
        <x:v>9659.150000000001</x:v>
      </x:c>
      <x:c r="N130" s="9" t="str">
        <x:f>IF(H130=0,"0 Current",IF(H130&lt;=30,"1 1-30",IF(H130&lt;=60,"2 31-60",IF(H130&lt;=90,"3 61-90",IF(H130&lt;=120,"4 91-120","5 121+")))))</x:f>
        <x:v>5 121+</x:v>
      </x:c>
      <x:c r="O130" s="9" t="n">
        <x:f>IF(J130&gt;0,1,0)</x:f>
        <x:v>1</x:v>
      </x:c>
    </x:row>
    <x:row r="131">
      <x:c r="A131" s="15" t="str">
        <x:v>127</x:v>
      </x:c>
      <x:c r="B131" s="9" t="str">
        <x:v>Taylor</x:v>
      </x:c>
      <x:c r="C131" s="9" t="str">
        <x:v>Credit Card</x:v>
      </x:c>
      <x:c r="D131" s="9" t="str">
        <x:v>West</x:v>
      </x:c>
      <x:c r="E131" s="9" t="n">
        <x:v>701</x:v>
      </x:c>
      <x:c r="F131" s="11" t="n">
        <x:v>46073</x:v>
      </x:c>
      <x:c r="G131" s="13" t="n">
        <x:v>11540.86</x:v>
      </x:c>
      <x:c r="H131" s="9" t="n">
        <x:v>186</x:v>
      </x:c>
      <x:c r="I131" s="9" t="n">
        <x:v>0</x:v>
      </x:c>
      <x:c r="J131" s="9" t="n">
        <x:v>0</x:v>
      </x:c>
      <x:c r="K131" s="9" t="n">
        <x:v>0</x:v>
      </x:c>
      <x:c r="L131" s="13" t="n">
        <x:f>SUMIFS('Payments'!$D$5:$D$3014,'Payments'!$B$5:$B$3014,A131)</x:f>
        <x:v>0</x:v>
      </x:c>
      <x:c r="M131" s="13" t="n">
        <x:f>G131-L131</x:f>
        <x:v>11540.86</x:v>
      </x:c>
      <x:c r="N131" s="9" t="str">
        <x:f>IF(H131=0,"0 Current",IF(H131&lt;=30,"1 1-30",IF(H131&lt;=60,"2 31-60",IF(H131&lt;=90,"3 61-90",IF(H131&lt;=120,"4 91-120","5 121+")))))</x:f>
        <x:v>5 121+</x:v>
      </x:c>
      <x:c r="O131" s="9" t="n">
        <x:f>IF(J131&gt;0,1,0)</x:f>
        <x:v>0</x:v>
      </x:c>
    </x:row>
    <x:row r="132">
      <x:c r="A132" s="15" t="str">
        <x:v>128</x:v>
      </x:c>
      <x:c r="B132" s="9" t="str">
        <x:v>Riley</x:v>
      </x:c>
      <x:c r="C132" s="9" t="str">
        <x:v>Auto</x:v>
      </x:c>
      <x:c r="D132" s="9" t="str">
        <x:v>Northeast</x:v>
      </x:c>
      <x:c r="E132" s="9" t="n">
        <x:v>445</x:v>
      </x:c>
      <x:c r="F132" s="11" t="n">
        <x:v>46152</x:v>
      </x:c>
      <x:c r="G132" s="13" t="n">
        <x:v>1808.38</x:v>
      </x:c>
      <x:c r="H132" s="9" t="n">
        <x:v>196</x:v>
      </x:c>
      <x:c r="I132" s="9" t="n">
        <x:v>2</x:v>
      </x:c>
      <x:c r="J132" s="9" t="n">
        <x:v>0</x:v>
      </x:c>
      <x:c r="K132" s="9" t="n">
        <x:v>0</x:v>
      </x:c>
      <x:c r="L132" s="13" t="n">
        <x:f>SUMIFS('Payments'!$D$5:$D$3014,'Payments'!$B$5:$B$3014,A132)</x:f>
        <x:v>623.22</x:v>
      </x:c>
      <x:c r="M132" s="13" t="n">
        <x:f>G132-L132</x:f>
        <x:v>1185.16</x:v>
      </x:c>
      <x:c r="N132" s="9" t="str">
        <x:f>IF(H132=0,"0 Current",IF(H132&lt;=30,"1 1-30",IF(H132&lt;=60,"2 31-60",IF(H132&lt;=90,"3 61-90",IF(H132&lt;=120,"4 91-120","5 121+")))))</x:f>
        <x:v>5 121+</x:v>
      </x:c>
      <x:c r="O132" s="9" t="n">
        <x:f>IF(J132&gt;0,1,0)</x:f>
        <x:v>0</x:v>
      </x:c>
    </x:row>
    <x:row r="133">
      <x:c r="A133" s="15" t="str">
        <x:v>129</x:v>
      </x:c>
      <x:c r="B133" s="9" t="str">
        <x:v>Morgan</x:v>
      </x:c>
      <x:c r="C133" s="9" t="str">
        <x:v>Credit Card</x:v>
      </x:c>
      <x:c r="D133" s="9" t="str">
        <x:v>Northeast</x:v>
      </x:c>
      <x:c r="E133" s="9" t="n">
        <x:v>467</x:v>
      </x:c>
      <x:c r="F133" s="11" t="n">
        <x:v>46097</x:v>
      </x:c>
      <x:c r="G133" s="13" t="n">
        <x:v>6115.38</x:v>
      </x:c>
      <x:c r="H133" s="9" t="n">
        <x:v>101</x:v>
      </x:c>
      <x:c r="I133" s="9" t="n">
        <x:v>2</x:v>
      </x:c>
      <x:c r="J133" s="9" t="n">
        <x:v>0</x:v>
      </x:c>
      <x:c r="K133" s="9" t="n">
        <x:v>0</x:v>
      </x:c>
      <x:c r="L133" s="13" t="n">
        <x:f>SUMIFS('Payments'!$D$5:$D$3014,'Payments'!$B$5:$B$3014,A133)</x:f>
        <x:v>991.3000000000001</x:v>
      </x:c>
      <x:c r="M133" s="13" t="n">
        <x:f>G133-L133</x:f>
        <x:v>5124.08</x:v>
      </x:c>
      <x:c r="N133" s="9" t="str">
        <x:f>IF(H133=0,"0 Current",IF(H133&lt;=30,"1 1-30",IF(H133&lt;=60,"2 31-60",IF(H133&lt;=90,"3 61-90",IF(H133&lt;=120,"4 91-120","5 121+")))))</x:f>
        <x:v>4 91-120</x:v>
      </x:c>
      <x:c r="O133" s="9" t="n">
        <x:f>IF(J133&gt;0,1,0)</x:f>
        <x:v>0</x:v>
      </x:c>
    </x:row>
    <x:row r="134">
      <x:c r="A134" s="15" t="str">
        <x:v>130</x:v>
      </x:c>
      <x:c r="B134" s="9" t="str">
        <x:v>Taylor</x:v>
      </x:c>
      <x:c r="C134" s="9" t="str">
        <x:v>Medical</x:v>
      </x:c>
      <x:c r="D134" s="9" t="str">
        <x:v>South</x:v>
      </x:c>
      <x:c r="E134" s="9" t="n">
        <x:v>505</x:v>
      </x:c>
      <x:c r="F134" s="11" t="n">
        <x:v>46167</x:v>
      </x:c>
      <x:c r="G134" s="13" t="n">
        <x:v>24231.89</x:v>
      </x:c>
      <x:c r="H134" s="9" t="n">
        <x:v>188</x:v>
      </x:c>
      <x:c r="I134" s="9" t="n">
        <x:v>4</x:v>
      </x:c>
      <x:c r="J134" s="9" t="n">
        <x:v>1</x:v>
      </x:c>
      <x:c r="K134" s="9" t="n">
        <x:v>0</x:v>
      </x:c>
      <x:c r="L134" s="13" t="n">
        <x:f>SUMIFS('Payments'!$D$5:$D$3014,'Payments'!$B$5:$B$3014,A134)</x:f>
        <x:v>4273.389999999999</x:v>
      </x:c>
      <x:c r="M134" s="13" t="n">
        <x:f>G134-L134</x:f>
        <x:v>19958.5</x:v>
      </x:c>
      <x:c r="N134" s="9" t="str">
        <x:f>IF(H134=0,"0 Current",IF(H134&lt;=30,"1 1-30",IF(H134&lt;=60,"2 31-60",IF(H134&lt;=90,"3 61-90",IF(H134&lt;=120,"4 91-120","5 121+")))))</x:f>
        <x:v>5 121+</x:v>
      </x:c>
      <x:c r="O134" s="9" t="n">
        <x:f>IF(J134&gt;0,1,0)</x:f>
        <x:v>1</x:v>
      </x:c>
    </x:row>
    <x:row r="135">
      <x:c r="A135" s="15" t="str">
        <x:v>131</x:v>
      </x:c>
      <x:c r="B135" s="9" t="str">
        <x:v>Alex</x:v>
      </x:c>
      <x:c r="C135" s="9" t="str">
        <x:v>Personal Loan</x:v>
      </x:c>
      <x:c r="D135" s="9" t="str">
        <x:v>West</x:v>
      </x:c>
      <x:c r="E135" s="9" t="n">
        <x:v>668</x:v>
      </x:c>
      <x:c r="F135" s="11" t="n">
        <x:v>46033</x:v>
      </x:c>
      <x:c r="G135" s="13" t="n">
        <x:v>14092.52</x:v>
      </x:c>
      <x:c r="H135" s="9" t="n">
        <x:v>213</x:v>
      </x:c>
      <x:c r="I135" s="9" t="n">
        <x:v>6</x:v>
      </x:c>
      <x:c r="J135" s="9" t="n">
        <x:v>3</x:v>
      </x:c>
      <x:c r="K135" s="9" t="n">
        <x:v>1</x:v>
      </x:c>
      <x:c r="L135" s="13" t="n">
        <x:f>SUMIFS('Payments'!$D$5:$D$3014,'Payments'!$B$5:$B$3014,A135)</x:f>
        <x:v>3031.48</x:v>
      </x:c>
      <x:c r="M135" s="13" t="n">
        <x:f>G135-L135</x:f>
        <x:v>11061.04</x:v>
      </x:c>
      <x:c r="N135" s="9" t="str">
        <x:f>IF(H135=0,"0 Current",IF(H135&lt;=30,"1 1-30",IF(H135&lt;=60,"2 31-60",IF(H135&lt;=90,"3 61-90",IF(H135&lt;=120,"4 91-120","5 121+")))))</x:f>
        <x:v>5 121+</x:v>
      </x:c>
      <x:c r="O135" s="9" t="n">
        <x:f>IF(J135&gt;0,1,0)</x:f>
        <x:v>1</x:v>
      </x:c>
    </x:row>
    <x:row r="136">
      <x:c r="A136" s="15" t="str">
        <x:v>132</x:v>
      </x:c>
      <x:c r="B136" s="9" t="str">
        <x:v>Morgan</x:v>
      </x:c>
      <x:c r="C136" s="9" t="str">
        <x:v>Credit Card</x:v>
      </x:c>
      <x:c r="D136" s="9" t="str">
        <x:v>West</x:v>
      </x:c>
      <x:c r="E136" s="9" t="n">
        <x:v>529</x:v>
      </x:c>
      <x:c r="F136" s="11" t="n">
        <x:v>46111</x:v>
      </x:c>
      <x:c r="G136" s="13" t="n">
        <x:v>20920.45</x:v>
      </x:c>
      <x:c r="H136" s="9" t="n">
        <x:v>128</x:v>
      </x:c>
      <x:c r="I136" s="9" t="n">
        <x:v>3</x:v>
      </x:c>
      <x:c r="J136" s="9" t="n">
        <x:v>0</x:v>
      </x:c>
      <x:c r="K136" s="9" t="n">
        <x:v>0</x:v>
      </x:c>
      <x:c r="L136" s="13" t="n">
        <x:f>SUMIFS('Payments'!$D$5:$D$3014,'Payments'!$B$5:$B$3014,A136)</x:f>
        <x:v>1163.16</x:v>
      </x:c>
      <x:c r="M136" s="13" t="n">
        <x:f>G136-L136</x:f>
        <x:v>19757.29</x:v>
      </x:c>
      <x:c r="N136" s="9" t="str">
        <x:f>IF(H136=0,"0 Current",IF(H136&lt;=30,"1 1-30",IF(H136&lt;=60,"2 31-60",IF(H136&lt;=90,"3 61-90",IF(H136&lt;=120,"4 91-120","5 121+")))))</x:f>
        <x:v>5 121+</x:v>
      </x:c>
      <x:c r="O136" s="9" t="n">
        <x:f>IF(J136&gt;0,1,0)</x:f>
        <x:v>0</x:v>
      </x:c>
    </x:row>
    <x:row r="137">
      <x:c r="A137" s="15" t="str">
        <x:v>133</x:v>
      </x:c>
      <x:c r="B137" s="9" t="str">
        <x:v>Morgan</x:v>
      </x:c>
      <x:c r="C137" s="9" t="str">
        <x:v>Personal Loan</x:v>
      </x:c>
      <x:c r="D137" s="9" t="str">
        <x:v>West</x:v>
      </x:c>
      <x:c r="E137" s="9" t="n">
        <x:v>450</x:v>
      </x:c>
      <x:c r="F137" s="11" t="n">
        <x:v>46053</x:v>
      </x:c>
      <x:c r="G137" s="13" t="n">
        <x:v>10161.42</x:v>
      </x:c>
      <x:c r="H137" s="9" t="n">
        <x:v>184</x:v>
      </x:c>
      <x:c r="I137" s="9" t="n">
        <x:v>7</x:v>
      </x:c>
      <x:c r="J137" s="9" t="n">
        <x:v>1</x:v>
      </x:c>
      <x:c r="K137" s="9" t="n">
        <x:v>0</x:v>
      </x:c>
      <x:c r="L137" s="13" t="n">
        <x:f>SUMIFS('Payments'!$D$5:$D$3014,'Payments'!$B$5:$B$3014,A137)</x:f>
        <x:v>0</x:v>
      </x:c>
      <x:c r="M137" s="13" t="n">
        <x:f>G137-L137</x:f>
        <x:v>10161.42</x:v>
      </x:c>
      <x:c r="N137" s="9" t="str">
        <x:f>IF(H137=0,"0 Current",IF(H137&lt;=30,"1 1-30",IF(H137&lt;=60,"2 31-60",IF(H137&lt;=90,"3 61-90",IF(H137&lt;=120,"4 91-120","5 121+")))))</x:f>
        <x:v>5 121+</x:v>
      </x:c>
      <x:c r="O137" s="9" t="n">
        <x:f>IF(J137&gt;0,1,0)</x:f>
        <x:v>1</x:v>
      </x:c>
    </x:row>
    <x:row r="138">
      <x:c r="A138" s="15" t="str">
        <x:v>134</x:v>
      </x:c>
      <x:c r="B138" s="9" t="str">
        <x:v>Casey</x:v>
      </x:c>
      <x:c r="C138" s="9" t="str">
        <x:v>Auto</x:v>
      </x:c>
      <x:c r="D138" s="9" t="str">
        <x:v>South</x:v>
      </x:c>
      <x:c r="E138" s="9" t="n">
        <x:v>614</x:v>
      </x:c>
      <x:c r="F138" s="11" t="n">
        <x:v>46065</x:v>
      </x:c>
      <x:c r="G138" s="13" t="n">
        <x:v>11332.19</x:v>
      </x:c>
      <x:c r="H138" s="9" t="n">
        <x:v>153</x:v>
      </x:c>
      <x:c r="I138" s="9" t="n">
        <x:v>3</x:v>
      </x:c>
      <x:c r="J138" s="9" t="n">
        <x:v>2</x:v>
      </x:c>
      <x:c r="K138" s="9" t="n">
        <x:v>0</x:v>
      </x:c>
      <x:c r="L138" s="13" t="n">
        <x:f>SUMIFS('Payments'!$D$5:$D$3014,'Payments'!$B$5:$B$3014,A138)</x:f>
        <x:v>2753.8</x:v>
      </x:c>
      <x:c r="M138" s="13" t="n">
        <x:f>G138-L138</x:f>
        <x:v>8578.39</x:v>
      </x:c>
      <x:c r="N138" s="9" t="str">
        <x:f>IF(H138=0,"0 Current",IF(H138&lt;=30,"1 1-30",IF(H138&lt;=60,"2 31-60",IF(H138&lt;=90,"3 61-90",IF(H138&lt;=120,"4 91-120","5 121+")))))</x:f>
        <x:v>5 121+</x:v>
      </x:c>
      <x:c r="O138" s="9" t="n">
        <x:f>IF(J138&gt;0,1,0)</x:f>
        <x:v>1</x:v>
      </x:c>
    </x:row>
    <x:row r="139">
      <x:c r="A139" s="15" t="str">
        <x:v>135</x:v>
      </x:c>
      <x:c r="B139" s="9" t="str">
        <x:v>Riley</x:v>
      </x:c>
      <x:c r="C139" s="9" t="str">
        <x:v>Credit Card</x:v>
      </x:c>
      <x:c r="D139" s="9" t="str">
        <x:v>Northeast</x:v>
      </x:c>
      <x:c r="E139" s="9" t="n">
        <x:v>619</x:v>
      </x:c>
      <x:c r="F139" s="11" t="n">
        <x:v>46110</x:v>
      </x:c>
      <x:c r="G139" s="13" t="n">
        <x:v>19519.91</x:v>
      </x:c>
      <x:c r="H139" s="9" t="n">
        <x:v>58</x:v>
      </x:c>
      <x:c r="I139" s="9" t="n">
        <x:v>8</x:v>
      </x:c>
      <x:c r="J139" s="9" t="n">
        <x:v>1</x:v>
      </x:c>
      <x:c r="K139" s="9" t="n">
        <x:v>0</x:v>
      </x:c>
      <x:c r="L139" s="13" t="n">
        <x:f>SUMIFS('Payments'!$D$5:$D$3014,'Payments'!$B$5:$B$3014,A139)</x:f>
        <x:v>1855.5100000000002</x:v>
      </x:c>
      <x:c r="M139" s="13" t="n">
        <x:f>G139-L139</x:f>
        <x:v>17664.4</x:v>
      </x:c>
      <x:c r="N139" s="9" t="str">
        <x:f>IF(H139=0,"0 Current",IF(H139&lt;=30,"1 1-30",IF(H139&lt;=60,"2 31-60",IF(H139&lt;=90,"3 61-90",IF(H139&lt;=120,"4 91-120","5 121+")))))</x:f>
        <x:v>2 31-60</x:v>
      </x:c>
      <x:c r="O139" s="9" t="n">
        <x:f>IF(J139&gt;0,1,0)</x:f>
        <x:v>1</x:v>
      </x:c>
    </x:row>
    <x:row r="140">
      <x:c r="A140" s="15" t="str">
        <x:v>136</x:v>
      </x:c>
      <x:c r="B140" s="9" t="str">
        <x:v>Riley</x:v>
      </x:c>
      <x:c r="C140" s="9" t="str">
        <x:v>Auto</x:v>
      </x:c>
      <x:c r="D140" s="9" t="str">
        <x:v>Midwest</x:v>
      </x:c>
      <x:c r="E140" s="9" t="n">
        <x:v>652</x:v>
      </x:c>
      <x:c r="F140" s="11" t="n">
        <x:v>46023</x:v>
      </x:c>
      <x:c r="G140" s="13" t="n">
        <x:v>18598.28</x:v>
      </x:c>
      <x:c r="H140" s="9" t="n">
        <x:v>94</x:v>
      </x:c>
      <x:c r="I140" s="9" t="n">
        <x:v>8</x:v>
      </x:c>
      <x:c r="J140" s="9" t="n">
        <x:v>2</x:v>
      </x:c>
      <x:c r="K140" s="9" t="n">
        <x:v>0</x:v>
      </x:c>
      <x:c r="L140" s="13" t="n">
        <x:f>SUMIFS('Payments'!$D$5:$D$3014,'Payments'!$B$5:$B$3014,A140)</x:f>
        <x:v>0</x:v>
      </x:c>
      <x:c r="M140" s="13" t="n">
        <x:f>G140-L140</x:f>
        <x:v>18598.28</x:v>
      </x:c>
      <x:c r="N140" s="9" t="str">
        <x:f>IF(H140=0,"0 Current",IF(H140&lt;=30,"1 1-30",IF(H140&lt;=60,"2 31-60",IF(H140&lt;=90,"3 61-90",IF(H140&lt;=120,"4 91-120","5 121+")))))</x:f>
        <x:v>4 91-120</x:v>
      </x:c>
      <x:c r="O140" s="9" t="n">
        <x:f>IF(J140&gt;0,1,0)</x:f>
        <x:v>1</x:v>
      </x:c>
    </x:row>
    <x:row r="141">
      <x:c r="A141" s="15" t="str">
        <x:v>137</x:v>
      </x:c>
      <x:c r="B141" s="9" t="str">
        <x:v>Taylor</x:v>
      </x:c>
      <x:c r="C141" s="9" t="str">
        <x:v>Credit Card</x:v>
      </x:c>
      <x:c r="D141" s="9" t="str">
        <x:v>Midwest</x:v>
      </x:c>
      <x:c r="E141" s="9" t="n">
        <x:v>636</x:v>
      </x:c>
      <x:c r="F141" s="11" t="n">
        <x:v>46071</x:v>
      </x:c>
      <x:c r="G141" s="13" t="n">
        <x:v>729.4</x:v>
      </x:c>
      <x:c r="H141" s="9" t="n">
        <x:v>147</x:v>
      </x:c>
      <x:c r="I141" s="9" t="n">
        <x:v>1</x:v>
      </x:c>
      <x:c r="J141" s="9" t="n">
        <x:v>0</x:v>
      </x:c>
      <x:c r="K141" s="9" t="n">
        <x:v>0</x:v>
      </x:c>
      <x:c r="L141" s="13" t="n">
        <x:f>SUMIFS('Payments'!$D$5:$D$3014,'Payments'!$B$5:$B$3014,A141)</x:f>
        <x:v>170.20000000000002</x:v>
      </x:c>
      <x:c r="M141" s="13" t="n">
        <x:f>G141-L141</x:f>
        <x:v>559.1999999999999</x:v>
      </x:c>
      <x:c r="N141" s="9" t="str">
        <x:f>IF(H141=0,"0 Current",IF(H141&lt;=30,"1 1-30",IF(H141&lt;=60,"2 31-60",IF(H141&lt;=90,"3 61-90",IF(H141&lt;=120,"4 91-120","5 121+")))))</x:f>
        <x:v>5 121+</x:v>
      </x:c>
      <x:c r="O141" s="9" t="n">
        <x:f>IF(J141&gt;0,1,0)</x:f>
        <x:v>0</x:v>
      </x:c>
    </x:row>
    <x:row r="142">
      <x:c r="A142" s="15" t="str">
        <x:v>138</x:v>
      </x:c>
      <x:c r="B142" s="9" t="str">
        <x:v>Jordan</x:v>
      </x:c>
      <x:c r="C142" s="9" t="str">
        <x:v>Auto</x:v>
      </x:c>
      <x:c r="D142" s="9" t="str">
        <x:v>West</x:v>
      </x:c>
      <x:c r="E142" s="9" t="n">
        <x:v>499</x:v>
      </x:c>
      <x:c r="F142" s="11" t="n">
        <x:v>46172</x:v>
      </x:c>
      <x:c r="G142" s="13" t="n">
        <x:v>11138.12</x:v>
      </x:c>
      <x:c r="H142" s="9" t="n">
        <x:v>144</x:v>
      </x:c>
      <x:c r="I142" s="9" t="n">
        <x:v>8</x:v>
      </x:c>
      <x:c r="J142" s="9" t="n">
        <x:v>4</x:v>
      </x:c>
      <x:c r="K142" s="9" t="n">
        <x:v>0</x:v>
      </x:c>
      <x:c r="L142" s="13" t="n">
        <x:f>SUMIFS('Payments'!$D$5:$D$3014,'Payments'!$B$5:$B$3014,A142)</x:f>
        <x:v>1276.33</x:v>
      </x:c>
      <x:c r="M142" s="13" t="n">
        <x:f>G142-L142</x:f>
        <x:v>9861.79</x:v>
      </x:c>
      <x:c r="N142" s="9" t="str">
        <x:f>IF(H142=0,"0 Current",IF(H142&lt;=30,"1 1-30",IF(H142&lt;=60,"2 31-60",IF(H142&lt;=90,"3 61-90",IF(H142&lt;=120,"4 91-120","5 121+")))))</x:f>
        <x:v>5 121+</x:v>
      </x:c>
      <x:c r="O142" s="9" t="n">
        <x:f>IF(J142&gt;0,1,0)</x:f>
        <x:v>1</x:v>
      </x:c>
    </x:row>
    <x:row r="143">
      <x:c r="A143" s="15" t="str">
        <x:v>139</x:v>
      </x:c>
      <x:c r="B143" s="9" t="str">
        <x:v>Casey</x:v>
      </x:c>
      <x:c r="C143" s="9" t="str">
        <x:v>Auto</x:v>
      </x:c>
      <x:c r="D143" s="9" t="str">
        <x:v>South</x:v>
      </x:c>
      <x:c r="E143" s="9" t="n">
        <x:v>571</x:v>
      </x:c>
      <x:c r="F143" s="11" t="n">
        <x:v>46163</x:v>
      </x:c>
      <x:c r="G143" s="13" t="n">
        <x:v>2683.25</x:v>
      </x:c>
      <x:c r="H143" s="9" t="n">
        <x:v>162</x:v>
      </x:c>
      <x:c r="I143" s="9" t="n">
        <x:v>1</x:v>
      </x:c>
      <x:c r="J143" s="9" t="n">
        <x:v>0</x:v>
      </x:c>
      <x:c r="K143" s="9" t="n">
        <x:v>0</x:v>
      </x:c>
      <x:c r="L143" s="13" t="n">
        <x:f>SUMIFS('Payments'!$D$5:$D$3014,'Payments'!$B$5:$B$3014,A143)</x:f>
        <x:v>0</x:v>
      </x:c>
      <x:c r="M143" s="13" t="n">
        <x:f>G143-L143</x:f>
        <x:v>2683.25</x:v>
      </x:c>
      <x:c r="N143" s="9" t="str">
        <x:f>IF(H143=0,"0 Current",IF(H143&lt;=30,"1 1-30",IF(H143&lt;=60,"2 31-60",IF(H143&lt;=90,"3 61-90",IF(H143&lt;=120,"4 91-120","5 121+")))))</x:f>
        <x:v>5 121+</x:v>
      </x:c>
      <x:c r="O143" s="9" t="n">
        <x:f>IF(J143&gt;0,1,0)</x:f>
        <x:v>0</x:v>
      </x:c>
    </x:row>
    <x:row r="144">
      <x:c r="A144" s="15" t="str">
        <x:v>140</x:v>
      </x:c>
      <x:c r="B144" s="9" t="str">
        <x:v>Alex</x:v>
      </x:c>
      <x:c r="C144" s="9" t="str">
        <x:v>Personal Loan</x:v>
      </x:c>
      <x:c r="D144" s="9" t="str">
        <x:v>South</x:v>
      </x:c>
      <x:c r="E144" s="9" t="n">
        <x:v>449</x:v>
      </x:c>
      <x:c r="F144" s="11" t="n">
        <x:v>46134</x:v>
      </x:c>
      <x:c r="G144" s="13" t="n">
        <x:v>4196.88</x:v>
      </x:c>
      <x:c r="H144" s="9" t="n">
        <x:v>56</x:v>
      </x:c>
      <x:c r="I144" s="9" t="n">
        <x:v>6</x:v>
      </x:c>
      <x:c r="J144" s="9" t="n">
        <x:v>3</x:v>
      </x:c>
      <x:c r="K144" s="9" t="n">
        <x:v>1</x:v>
      </x:c>
      <x:c r="L144" s="13" t="n">
        <x:f>SUMIFS('Payments'!$D$5:$D$3014,'Payments'!$B$5:$B$3014,A144)</x:f>
        <x:v>547.25</x:v>
      </x:c>
      <x:c r="M144" s="13" t="n">
        <x:f>G144-L144</x:f>
        <x:v>3649.63</x:v>
      </x:c>
      <x:c r="N144" s="9" t="str">
        <x:f>IF(H144=0,"0 Current",IF(H144&lt;=30,"1 1-30",IF(H144&lt;=60,"2 31-60",IF(H144&lt;=90,"3 61-90",IF(H144&lt;=120,"4 91-120","5 121+")))))</x:f>
        <x:v>2 31-60</x:v>
      </x:c>
      <x:c r="O144" s="9" t="n">
        <x:f>IF(J144&gt;0,1,0)</x:f>
        <x:v>1</x:v>
      </x:c>
    </x:row>
    <x:row r="145">
      <x:c r="A145" s="15" t="str">
        <x:v>141</x:v>
      </x:c>
      <x:c r="B145" s="9" t="str">
        <x:v>Taylor</x:v>
      </x:c>
      <x:c r="C145" s="9" t="str">
        <x:v>Medical</x:v>
      </x:c>
      <x:c r="D145" s="9" t="str">
        <x:v>Northeast</x:v>
      </x:c>
      <x:c r="E145" s="9" t="n">
        <x:v>802</x:v>
      </x:c>
      <x:c r="F145" s="11" t="n">
        <x:v>46153</x:v>
      </x:c>
      <x:c r="G145" s="13" t="n">
        <x:v>22134.79</x:v>
      </x:c>
      <x:c r="H145" s="9" t="n">
        <x:v>157</x:v>
      </x:c>
      <x:c r="I145" s="9" t="n">
        <x:v>3</x:v>
      </x:c>
      <x:c r="J145" s="9" t="n">
        <x:v>1</x:v>
      </x:c>
      <x:c r="K145" s="9" t="n">
        <x:v>0</x:v>
      </x:c>
      <x:c r="L145" s="13" t="n">
        <x:f>SUMIFS('Payments'!$D$5:$D$3014,'Payments'!$B$5:$B$3014,A145)</x:f>
        <x:v>199.06</x:v>
      </x:c>
      <x:c r="M145" s="13" t="n">
        <x:f>G145-L145</x:f>
        <x:v>21935.73</x:v>
      </x:c>
      <x:c r="N145" s="9" t="str">
        <x:f>IF(H145=0,"0 Current",IF(H145&lt;=30,"1 1-30",IF(H145&lt;=60,"2 31-60",IF(H145&lt;=90,"3 61-90",IF(H145&lt;=120,"4 91-120","5 121+")))))</x:f>
        <x:v>5 121+</x:v>
      </x:c>
      <x:c r="O145" s="9" t="n">
        <x:f>IF(J145&gt;0,1,0)</x:f>
        <x:v>1</x:v>
      </x:c>
    </x:row>
    <x:row r="146">
      <x:c r="A146" s="15" t="str">
        <x:v>142</x:v>
      </x:c>
      <x:c r="B146" s="9" t="str">
        <x:v>Morgan</x:v>
      </x:c>
      <x:c r="C146" s="9" t="str">
        <x:v>Medical</x:v>
      </x:c>
      <x:c r="D146" s="9" t="str">
        <x:v>Midwest</x:v>
      </x:c>
      <x:c r="E146" s="9" t="n">
        <x:v>449</x:v>
      </x:c>
      <x:c r="F146" s="11" t="n">
        <x:v>46113</x:v>
      </x:c>
      <x:c r="G146" s="13" t="n">
        <x:v>17073.5</x:v>
      </x:c>
      <x:c r="H146" s="9" t="n">
        <x:v>132</x:v>
      </x:c>
      <x:c r="I146" s="9" t="n">
        <x:v>1</x:v>
      </x:c>
      <x:c r="J146" s="9" t="n">
        <x:v>0</x:v>
      </x:c>
      <x:c r="K146" s="9" t="n">
        <x:v>0</x:v>
      </x:c>
      <x:c r="L146" s="13" t="n">
        <x:f>SUMIFS('Payments'!$D$5:$D$3014,'Payments'!$B$5:$B$3014,A146)</x:f>
        <x:v>0</x:v>
      </x:c>
      <x:c r="M146" s="13" t="n">
        <x:f>G146-L146</x:f>
        <x:v>17073.5</x:v>
      </x:c>
      <x:c r="N146" s="9" t="str">
        <x:f>IF(H146=0,"0 Current",IF(H146&lt;=30,"1 1-30",IF(H146&lt;=60,"2 31-60",IF(H146&lt;=90,"3 61-90",IF(H146&lt;=120,"4 91-120","5 121+")))))</x:f>
        <x:v>5 121+</x:v>
      </x:c>
      <x:c r="O146" s="9" t="n">
        <x:f>IF(J146&gt;0,1,0)</x:f>
        <x:v>0</x:v>
      </x:c>
    </x:row>
    <x:row r="147">
      <x:c r="A147" s="15" t="str">
        <x:v>143</x:v>
      </x:c>
      <x:c r="B147" s="9" t="str">
        <x:v>Jordan</x:v>
      </x:c>
      <x:c r="C147" s="9" t="str">
        <x:v>Personal Loan</x:v>
      </x:c>
      <x:c r="D147" s="9" t="str">
        <x:v>Northeast</x:v>
      </x:c>
      <x:c r="E147" s="9" t="n">
        <x:v>719</x:v>
      </x:c>
      <x:c r="F147" s="11" t="n">
        <x:v>46166</x:v>
      </x:c>
      <x:c r="G147" s="13" t="n">
        <x:v>24949.95</x:v>
      </x:c>
      <x:c r="H147" s="9" t="n">
        <x:v>208</x:v>
      </x:c>
      <x:c r="I147" s="9" t="n">
        <x:v>0</x:v>
      </x:c>
      <x:c r="J147" s="9" t="n">
        <x:v>0</x:v>
      </x:c>
      <x:c r="K147" s="9" t="n">
        <x:v>0</x:v>
      </x:c>
      <x:c r="L147" s="13" t="n">
        <x:f>SUMIFS('Payments'!$D$5:$D$3014,'Payments'!$B$5:$B$3014,A147)</x:f>
        <x:v>3590.68</x:v>
      </x:c>
      <x:c r="M147" s="13" t="n">
        <x:f>G147-L147</x:f>
        <x:v>21359.27</x:v>
      </x:c>
      <x:c r="N147" s="9" t="str">
        <x:f>IF(H147=0,"0 Current",IF(H147&lt;=30,"1 1-30",IF(H147&lt;=60,"2 31-60",IF(H147&lt;=90,"3 61-90",IF(H147&lt;=120,"4 91-120","5 121+")))))</x:f>
        <x:v>5 121+</x:v>
      </x:c>
      <x:c r="O147" s="9" t="n">
        <x:f>IF(J147&gt;0,1,0)</x:f>
        <x:v>0</x:v>
      </x:c>
    </x:row>
    <x:row r="148">
      <x:c r="A148" s="15" t="str">
        <x:v>144</x:v>
      </x:c>
      <x:c r="B148" s="9" t="str">
        <x:v>Morgan</x:v>
      </x:c>
      <x:c r="C148" s="9" t="str">
        <x:v>Credit Card</x:v>
      </x:c>
      <x:c r="D148" s="9" t="str">
        <x:v>West</x:v>
      </x:c>
      <x:c r="E148" s="9" t="n">
        <x:v>677</x:v>
      </x:c>
      <x:c r="F148" s="11" t="n">
        <x:v>46089</x:v>
      </x:c>
      <x:c r="G148" s="13" t="n">
        <x:v>7841.49</x:v>
      </x:c>
      <x:c r="H148" s="9" t="n">
        <x:v>143</x:v>
      </x:c>
      <x:c r="I148" s="9" t="n">
        <x:v>8</x:v>
      </x:c>
      <x:c r="J148" s="9" t="n">
        <x:v>5</x:v>
      </x:c>
      <x:c r="K148" s="9" t="n">
        <x:v>1</x:v>
      </x:c>
      <x:c r="L148" s="13" t="n">
        <x:f>SUMIFS('Payments'!$D$5:$D$3014,'Payments'!$B$5:$B$3014,A148)</x:f>
        <x:v>0</x:v>
      </x:c>
      <x:c r="M148" s="13" t="n">
        <x:f>G148-L148</x:f>
        <x:v>7841.49</x:v>
      </x:c>
      <x:c r="N148" s="9" t="str">
        <x:f>IF(H148=0,"0 Current",IF(H148&lt;=30,"1 1-30",IF(H148&lt;=60,"2 31-60",IF(H148&lt;=90,"3 61-90",IF(H148&lt;=120,"4 91-120","5 121+")))))</x:f>
        <x:v>5 121+</x:v>
      </x:c>
      <x:c r="O148" s="9" t="n">
        <x:f>IF(J148&gt;0,1,0)</x:f>
        <x:v>1</x:v>
      </x:c>
    </x:row>
    <x:row r="149">
      <x:c r="A149" s="15" t="str">
        <x:v>145</x:v>
      </x:c>
      <x:c r="B149" s="9" t="str">
        <x:v>Riley</x:v>
      </x:c>
      <x:c r="C149" s="9" t="str">
        <x:v>Credit Card</x:v>
      </x:c>
      <x:c r="D149" s="9" t="str">
        <x:v>South</x:v>
      </x:c>
      <x:c r="E149" s="9" t="n">
        <x:v>449</x:v>
      </x:c>
      <x:c r="F149" s="11" t="n">
        <x:v>46140</x:v>
      </x:c>
      <x:c r="G149" s="13" t="n">
        <x:v>19824.01</x:v>
      </x:c>
      <x:c r="H149" s="9" t="n">
        <x:v>123</x:v>
      </x:c>
      <x:c r="I149" s="9" t="n">
        <x:v>4</x:v>
      </x:c>
      <x:c r="J149" s="9" t="n">
        <x:v>3</x:v>
      </x:c>
      <x:c r="K149" s="9" t="n">
        <x:v>1</x:v>
      </x:c>
      <x:c r="L149" s="13" t="n">
        <x:f>SUMIFS('Payments'!$D$5:$D$3014,'Payments'!$B$5:$B$3014,A149)</x:f>
        <x:v>0</x:v>
      </x:c>
      <x:c r="M149" s="13" t="n">
        <x:f>G149-L149</x:f>
        <x:v>19824.01</x:v>
      </x:c>
      <x:c r="N149" s="9" t="str">
        <x:f>IF(H149=0,"0 Current",IF(H149&lt;=30,"1 1-30",IF(H149&lt;=60,"2 31-60",IF(H149&lt;=90,"3 61-90",IF(H149&lt;=120,"4 91-120","5 121+")))))</x:f>
        <x:v>5 121+</x:v>
      </x:c>
      <x:c r="O149" s="9" t="n">
        <x:f>IF(J149&gt;0,1,0)</x:f>
        <x:v>1</x:v>
      </x:c>
    </x:row>
    <x:row r="150">
      <x:c r="A150" s="15" t="str">
        <x:v>146</x:v>
      </x:c>
      <x:c r="B150" s="9" t="str">
        <x:v>Alex</x:v>
      </x:c>
      <x:c r="C150" s="9" t="str">
        <x:v>Personal Loan</x:v>
      </x:c>
      <x:c r="D150" s="9" t="str">
        <x:v>Northeast</x:v>
      </x:c>
      <x:c r="E150" s="9" t="n">
        <x:v>515</x:v>
      </x:c>
      <x:c r="F150" s="11" t="n">
        <x:v>46155</x:v>
      </x:c>
      <x:c r="G150" s="13" t="n">
        <x:v>22966.86</x:v>
      </x:c>
      <x:c r="H150" s="9" t="n">
        <x:v>63</x:v>
      </x:c>
      <x:c r="I150" s="9" t="n">
        <x:v>8</x:v>
      </x:c>
      <x:c r="J150" s="9" t="n">
        <x:v>2</x:v>
      </x:c>
      <x:c r="K150" s="9" t="n">
        <x:v>0</x:v>
      </x:c>
      <x:c r="L150" s="13" t="n">
        <x:f>SUMIFS('Payments'!$D$5:$D$3014,'Payments'!$B$5:$B$3014,A150)</x:f>
        <x:v>2300.65</x:v>
      </x:c>
      <x:c r="M150" s="13" t="n">
        <x:f>G150-L150</x:f>
        <x:v>20666.21</x:v>
      </x:c>
      <x:c r="N150" s="9" t="str">
        <x:f>IF(H150=0,"0 Current",IF(H150&lt;=30,"1 1-30",IF(H150&lt;=60,"2 31-60",IF(H150&lt;=90,"3 61-90",IF(H150&lt;=120,"4 91-120","5 121+")))))</x:f>
        <x:v>3 61-90</x:v>
      </x:c>
      <x:c r="O150" s="9" t="n">
        <x:f>IF(J150&gt;0,1,0)</x:f>
        <x:v>1</x:v>
      </x:c>
    </x:row>
    <x:row r="151">
      <x:c r="A151" s="15" t="str">
        <x:v>147</x:v>
      </x:c>
      <x:c r="B151" s="9" t="str">
        <x:v>Casey</x:v>
      </x:c>
      <x:c r="C151" s="9" t="str">
        <x:v>Credit Card</x:v>
      </x:c>
      <x:c r="D151" s="9" t="str">
        <x:v>Northeast</x:v>
      </x:c>
      <x:c r="E151" s="9" t="n">
        <x:v>724</x:v>
      </x:c>
      <x:c r="F151" s="11" t="n">
        <x:v>46086</x:v>
      </x:c>
      <x:c r="G151" s="13" t="n">
        <x:v>15432.87</x:v>
      </x:c>
      <x:c r="H151" s="9" t="n">
        <x:v>30</x:v>
      </x:c>
      <x:c r="I151" s="9" t="n">
        <x:v>7</x:v>
      </x:c>
      <x:c r="J151" s="9" t="n">
        <x:v>4</x:v>
      </x:c>
      <x:c r="K151" s="9" t="n">
        <x:v>0</x:v>
      </x:c>
      <x:c r="L151" s="13" t="n">
        <x:f>SUMIFS('Payments'!$D$5:$D$3014,'Payments'!$B$5:$B$3014,A151)</x:f>
        <x:v>0</x:v>
      </x:c>
      <x:c r="M151" s="13" t="n">
        <x:f>G151-L151</x:f>
        <x:v>15432.87</x:v>
      </x:c>
      <x:c r="N151" s="9" t="str">
        <x:f>IF(H151=0,"0 Current",IF(H151&lt;=30,"1 1-30",IF(H151&lt;=60,"2 31-60",IF(H151&lt;=90,"3 61-90",IF(H151&lt;=120,"4 91-120","5 121+")))))</x:f>
        <x:v>1 1-30</x:v>
      </x:c>
      <x:c r="O151" s="9" t="n">
        <x:f>IF(J151&gt;0,1,0)</x:f>
        <x:v>1</x:v>
      </x:c>
    </x:row>
    <x:row r="152">
      <x:c r="A152" s="15" t="str">
        <x:v>148</x:v>
      </x:c>
      <x:c r="B152" s="9" t="str">
        <x:v>Jordan</x:v>
      </x:c>
      <x:c r="C152" s="9" t="str">
        <x:v>Auto</x:v>
      </x:c>
      <x:c r="D152" s="9" t="str">
        <x:v>Northeast</x:v>
      </x:c>
      <x:c r="E152" s="9" t="n">
        <x:v>765</x:v>
      </x:c>
      <x:c r="F152" s="11" t="n">
        <x:v>46069</x:v>
      </x:c>
      <x:c r="G152" s="13" t="n">
        <x:v>21938.49</x:v>
      </x:c>
      <x:c r="H152" s="9" t="n">
        <x:v>56</x:v>
      </x:c>
      <x:c r="I152" s="9" t="n">
        <x:v>2</x:v>
      </x:c>
      <x:c r="J152" s="9" t="n">
        <x:v>1</x:v>
      </x:c>
      <x:c r="K152" s="9" t="n">
        <x:v>1</x:v>
      </x:c>
      <x:c r="L152" s="13" t="n">
        <x:f>SUMIFS('Payments'!$D$5:$D$3014,'Payments'!$B$5:$B$3014,A152)</x:f>
        <x:v>4922.539999999999</x:v>
      </x:c>
      <x:c r="M152" s="13" t="n">
        <x:f>G152-L152</x:f>
        <x:v>17015.950000000004</x:v>
      </x:c>
      <x:c r="N152" s="9" t="str">
        <x:f>IF(H152=0,"0 Current",IF(H152&lt;=30,"1 1-30",IF(H152&lt;=60,"2 31-60",IF(H152&lt;=90,"3 61-90",IF(H152&lt;=120,"4 91-120","5 121+")))))</x:f>
        <x:v>2 31-60</x:v>
      </x:c>
      <x:c r="O152" s="9" t="n">
        <x:f>IF(J152&gt;0,1,0)</x:f>
        <x:v>1</x:v>
      </x:c>
    </x:row>
    <x:row r="153">
      <x:c r="A153" s="15" t="str">
        <x:v>149</x:v>
      </x:c>
      <x:c r="B153" s="9" t="str">
        <x:v>Taylor</x:v>
      </x:c>
      <x:c r="C153" s="9" t="str">
        <x:v>Medical</x:v>
      </x:c>
      <x:c r="D153" s="9" t="str">
        <x:v>South</x:v>
      </x:c>
      <x:c r="E153" s="9" t="n">
        <x:v>626</x:v>
      </x:c>
      <x:c r="F153" s="11" t="n">
        <x:v>46025</x:v>
      </x:c>
      <x:c r="G153" s="13" t="n">
        <x:v>995.76</x:v>
      </x:c>
      <x:c r="H153" s="9" t="n">
        <x:v>97</x:v>
      </x:c>
      <x:c r="I153" s="9" t="n">
        <x:v>3</x:v>
      </x:c>
      <x:c r="J153" s="9" t="n">
        <x:v>0</x:v>
      </x:c>
      <x:c r="K153" s="9" t="n">
        <x:v>0</x:v>
      </x:c>
      <x:c r="L153" s="13" t="n">
        <x:f>SUMIFS('Payments'!$D$5:$D$3014,'Payments'!$B$5:$B$3014,A153)</x:f>
        <x:v>248.15</x:v>
      </x:c>
      <x:c r="M153" s="13" t="n">
        <x:f>G153-L153</x:f>
        <x:v>747.61</x:v>
      </x:c>
      <x:c r="N153" s="9" t="str">
        <x:f>IF(H153=0,"0 Current",IF(H153&lt;=30,"1 1-30",IF(H153&lt;=60,"2 31-60",IF(H153&lt;=90,"3 61-90",IF(H153&lt;=120,"4 91-120","5 121+")))))</x:f>
        <x:v>4 91-120</x:v>
      </x:c>
      <x:c r="O153" s="9" t="n">
        <x:f>IF(J153&gt;0,1,0)</x:f>
        <x:v>0</x:v>
      </x:c>
    </x:row>
    <x:row r="154">
      <x:c r="A154" s="15" t="str">
        <x:v>150</x:v>
      </x:c>
      <x:c r="B154" s="9" t="str">
        <x:v>Taylor</x:v>
      </x:c>
      <x:c r="C154" s="9" t="str">
        <x:v>Personal Loan</x:v>
      </x:c>
      <x:c r="D154" s="9" t="str">
        <x:v>Northeast</x:v>
      </x:c>
      <x:c r="E154" s="9" t="n">
        <x:v>711</x:v>
      </x:c>
      <x:c r="F154" s="11" t="n">
        <x:v>46076</x:v>
      </x:c>
      <x:c r="G154" s="13" t="n">
        <x:v>18078.03</x:v>
      </x:c>
      <x:c r="H154" s="9" t="n">
        <x:v>93</x:v>
      </x:c>
      <x:c r="I154" s="9" t="n">
        <x:v>1</x:v>
      </x:c>
      <x:c r="J154" s="9" t="n">
        <x:v>1</x:v>
      </x:c>
      <x:c r="K154" s="9" t="n">
        <x:v>0</x:v>
      </x:c>
      <x:c r="L154" s="13" t="n">
        <x:f>SUMIFS('Payments'!$D$5:$D$3014,'Payments'!$B$5:$B$3014,A154)</x:f>
        <x:v>2744.25</x:v>
      </x:c>
      <x:c r="M154" s="13" t="n">
        <x:f>G154-L154</x:f>
        <x:v>15333.779999999999</x:v>
      </x:c>
      <x:c r="N154" s="9" t="str">
        <x:f>IF(H154=0,"0 Current",IF(H154&lt;=30,"1 1-30",IF(H154&lt;=60,"2 31-60",IF(H154&lt;=90,"3 61-90",IF(H154&lt;=120,"4 91-120","5 121+")))))</x:f>
        <x:v>4 91-120</x:v>
      </x:c>
      <x:c r="O154" s="9" t="n">
        <x:f>IF(J154&gt;0,1,0)</x:f>
        <x:v>1</x:v>
      </x:c>
    </x:row>
    <x:row r="155">
      <x:c r="A155" s="15" t="str">
        <x:v>151</x:v>
      </x:c>
      <x:c r="B155" s="9" t="str">
        <x:v>Morgan</x:v>
      </x:c>
      <x:c r="C155" s="9" t="str">
        <x:v>Medical</x:v>
      </x:c>
      <x:c r="D155" s="9" t="str">
        <x:v>South</x:v>
      </x:c>
      <x:c r="E155" s="9" t="n">
        <x:v>716</x:v>
      </x:c>
      <x:c r="F155" s="11" t="n">
        <x:v>46165</x:v>
      </x:c>
      <x:c r="G155" s="13" t="n">
        <x:v>18628.56</x:v>
      </x:c>
      <x:c r="H155" s="9" t="n">
        <x:v>37</x:v>
      </x:c>
      <x:c r="I155" s="9" t="n">
        <x:v>2</x:v>
      </x:c>
      <x:c r="J155" s="9" t="n">
        <x:v>0</x:v>
      </x:c>
      <x:c r="K155" s="9" t="n">
        <x:v>0</x:v>
      </x:c>
      <x:c r="L155" s="13" t="n">
        <x:f>SUMIFS('Payments'!$D$5:$D$3014,'Payments'!$B$5:$B$3014,A155)</x:f>
        <x:v>1249.9</x:v>
      </x:c>
      <x:c r="M155" s="13" t="n">
        <x:f>G155-L155</x:f>
        <x:v>17378.66</x:v>
      </x:c>
      <x:c r="N155" s="9" t="str">
        <x:f>IF(H155=0,"0 Current",IF(H155&lt;=30,"1 1-30",IF(H155&lt;=60,"2 31-60",IF(H155&lt;=90,"3 61-90",IF(H155&lt;=120,"4 91-120","5 121+")))))</x:f>
        <x:v>2 31-60</x:v>
      </x:c>
      <x:c r="O155" s="9" t="n">
        <x:f>IF(J155&gt;0,1,0)</x:f>
        <x:v>0</x:v>
      </x:c>
    </x:row>
    <x:row r="156">
      <x:c r="A156" s="15" t="str">
        <x:v>152</x:v>
      </x:c>
      <x:c r="B156" s="9" t="str">
        <x:v>Jordan</x:v>
      </x:c>
      <x:c r="C156" s="9" t="str">
        <x:v>Personal Loan</x:v>
      </x:c>
      <x:c r="D156" s="9" t="str">
        <x:v>Northeast</x:v>
      </x:c>
      <x:c r="E156" s="9" t="n">
        <x:v>737</x:v>
      </x:c>
      <x:c r="F156" s="11" t="n">
        <x:v>46103</x:v>
      </x:c>
      <x:c r="G156" s="13" t="n">
        <x:v>20910.33</x:v>
      </x:c>
      <x:c r="H156" s="9" t="n">
        <x:v>143</x:v>
      </x:c>
      <x:c r="I156" s="9" t="n">
        <x:v>7</x:v>
      </x:c>
      <x:c r="J156" s="9" t="n">
        <x:v>2</x:v>
      </x:c>
      <x:c r="K156" s="9" t="n">
        <x:v>1</x:v>
      </x:c>
      <x:c r="L156" s="13" t="n">
        <x:f>SUMIFS('Payments'!$D$5:$D$3014,'Payments'!$B$5:$B$3014,A156)</x:f>
        <x:v>1417.5300000000002</x:v>
      </x:c>
      <x:c r="M156" s="13" t="n">
        <x:f>G156-L156</x:f>
        <x:v>19492.800000000003</x:v>
      </x:c>
      <x:c r="N156" s="9" t="str">
        <x:f>IF(H156=0,"0 Current",IF(H156&lt;=30,"1 1-30",IF(H156&lt;=60,"2 31-60",IF(H156&lt;=90,"3 61-90",IF(H156&lt;=120,"4 91-120","5 121+")))))</x:f>
        <x:v>5 121+</x:v>
      </x:c>
      <x:c r="O156" s="9" t="n">
        <x:f>IF(J156&gt;0,1,0)</x:f>
        <x:v>1</x:v>
      </x:c>
    </x:row>
    <x:row r="157">
      <x:c r="A157" s="15" t="str">
        <x:v>153</x:v>
      </x:c>
      <x:c r="B157" s="9" t="str">
        <x:v>Riley</x:v>
      </x:c>
      <x:c r="C157" s="9" t="str">
        <x:v>Medical</x:v>
      </x:c>
      <x:c r="D157" s="9" t="str">
        <x:v>Northeast</x:v>
      </x:c>
      <x:c r="E157" s="9" t="n">
        <x:v>634</x:v>
      </x:c>
      <x:c r="F157" s="11" t="n">
        <x:v>46073</x:v>
      </x:c>
      <x:c r="G157" s="13" t="n">
        <x:v>24695</x:v>
      </x:c>
      <x:c r="H157" s="9" t="n">
        <x:v>199</x:v>
      </x:c>
      <x:c r="I157" s="9" t="n">
        <x:v>7</x:v>
      </x:c>
      <x:c r="J157" s="9" t="n">
        <x:v>2</x:v>
      </x:c>
      <x:c r="K157" s="9" t="n">
        <x:v>0</x:v>
      </x:c>
      <x:c r="L157" s="13" t="n">
        <x:f>SUMIFS('Payments'!$D$5:$D$3014,'Payments'!$B$5:$B$3014,A157)</x:f>
        <x:v>4557.98</x:v>
      </x:c>
      <x:c r="M157" s="13" t="n">
        <x:f>G157-L157</x:f>
        <x:v>20137.02</x:v>
      </x:c>
      <x:c r="N157" s="9" t="str">
        <x:f>IF(H157=0,"0 Current",IF(H157&lt;=30,"1 1-30",IF(H157&lt;=60,"2 31-60",IF(H157&lt;=90,"3 61-90",IF(H157&lt;=120,"4 91-120","5 121+")))))</x:f>
        <x:v>5 121+</x:v>
      </x:c>
      <x:c r="O157" s="9" t="n">
        <x:f>IF(J157&gt;0,1,0)</x:f>
        <x:v>1</x:v>
      </x:c>
    </x:row>
    <x:row r="158">
      <x:c r="A158" s="15" t="str">
        <x:v>154</x:v>
      </x:c>
      <x:c r="B158" s="9" t="str">
        <x:v>Taylor</x:v>
      </x:c>
      <x:c r="C158" s="9" t="str">
        <x:v>Personal Loan</x:v>
      </x:c>
      <x:c r="D158" s="9" t="str">
        <x:v>Midwest</x:v>
      </x:c>
      <x:c r="E158" s="9" t="n">
        <x:v>553</x:v>
      </x:c>
      <x:c r="F158" s="11" t="n">
        <x:v>46104</x:v>
      </x:c>
      <x:c r="G158" s="13" t="n">
        <x:v>12720.37</x:v>
      </x:c>
      <x:c r="H158" s="9" t="n">
        <x:v>154</x:v>
      </x:c>
      <x:c r="I158" s="9" t="n">
        <x:v>7</x:v>
      </x:c>
      <x:c r="J158" s="9" t="n">
        <x:v>3</x:v>
      </x:c>
      <x:c r="K158" s="9" t="n">
        <x:v>1</x:v>
      </x:c>
      <x:c r="L158" s="13" t="n">
        <x:f>SUMIFS('Payments'!$D$5:$D$3014,'Payments'!$B$5:$B$3014,A158)</x:f>
        <x:v>3231.64</x:v>
      </x:c>
      <x:c r="M158" s="13" t="n">
        <x:f>G158-L158</x:f>
        <x:v>9488.730000000001</x:v>
      </x:c>
      <x:c r="N158" s="9" t="str">
        <x:f>IF(H158=0,"0 Current",IF(H158&lt;=30,"1 1-30",IF(H158&lt;=60,"2 31-60",IF(H158&lt;=90,"3 61-90",IF(H158&lt;=120,"4 91-120","5 121+")))))</x:f>
        <x:v>5 121+</x:v>
      </x:c>
      <x:c r="O158" s="9" t="n">
        <x:f>IF(J158&gt;0,1,0)</x:f>
        <x:v>1</x:v>
      </x:c>
    </x:row>
    <x:row r="159">
      <x:c r="A159" s="15" t="str">
        <x:v>155</x:v>
      </x:c>
      <x:c r="B159" s="9" t="str">
        <x:v>Alex</x:v>
      </x:c>
      <x:c r="C159" s="9" t="str">
        <x:v>Credit Card</x:v>
      </x:c>
      <x:c r="D159" s="9" t="str">
        <x:v>South</x:v>
      </x:c>
      <x:c r="E159" s="9" t="n">
        <x:v>762</x:v>
      </x:c>
      <x:c r="F159" s="11" t="n">
        <x:v>46144</x:v>
      </x:c>
      <x:c r="G159" s="13" t="n">
        <x:v>23502.97</x:v>
      </x:c>
      <x:c r="H159" s="9" t="n">
        <x:v>197</x:v>
      </x:c>
      <x:c r="I159" s="9" t="n">
        <x:v>2</x:v>
      </x:c>
      <x:c r="J159" s="9" t="n">
        <x:v>1</x:v>
      </x:c>
      <x:c r="K159" s="9" t="n">
        <x:v>0</x:v>
      </x:c>
      <x:c r="L159" s="13" t="n">
        <x:f>SUMIFS('Payments'!$D$5:$D$3014,'Payments'!$B$5:$B$3014,A159)</x:f>
        <x:v>4589.64</x:v>
      </x:c>
      <x:c r="M159" s="13" t="n">
        <x:f>G159-L159</x:f>
        <x:v>18913.33</x:v>
      </x:c>
      <x:c r="N159" s="9" t="str">
        <x:f>IF(H159=0,"0 Current",IF(H159&lt;=30,"1 1-30",IF(H159&lt;=60,"2 31-60",IF(H159&lt;=90,"3 61-90",IF(H159&lt;=120,"4 91-120","5 121+")))))</x:f>
        <x:v>5 121+</x:v>
      </x:c>
      <x:c r="O159" s="9" t="n">
        <x:f>IF(J159&gt;0,1,0)</x:f>
        <x:v>1</x:v>
      </x:c>
    </x:row>
    <x:row r="160">
      <x:c r="A160" s="15" t="str">
        <x:v>156</x:v>
      </x:c>
      <x:c r="B160" s="9" t="str">
        <x:v>Taylor</x:v>
      </x:c>
      <x:c r="C160" s="9" t="str">
        <x:v>Personal Loan</x:v>
      </x:c>
      <x:c r="D160" s="9" t="str">
        <x:v>Midwest</x:v>
      </x:c>
      <x:c r="E160" s="9" t="n">
        <x:v>542</x:v>
      </x:c>
      <x:c r="F160" s="11" t="n">
        <x:v>46081</x:v>
      </x:c>
      <x:c r="G160" s="13" t="n">
        <x:v>10876.56</x:v>
      </x:c>
      <x:c r="H160" s="9" t="n">
        <x:v>113</x:v>
      </x:c>
      <x:c r="I160" s="9" t="n">
        <x:v>2</x:v>
      </x:c>
      <x:c r="J160" s="9" t="n">
        <x:v>1</x:v>
      </x:c>
      <x:c r="K160" s="9" t="n">
        <x:v>0</x:v>
      </x:c>
      <x:c r="L160" s="13" t="n">
        <x:f>SUMIFS('Payments'!$D$5:$D$3014,'Payments'!$B$5:$B$3014,A160)</x:f>
        <x:v>354.13</x:v>
      </x:c>
      <x:c r="M160" s="13" t="n">
        <x:f>G160-L160</x:f>
        <x:v>10522.43</x:v>
      </x:c>
      <x:c r="N160" s="9" t="str">
        <x:f>IF(H160=0,"0 Current",IF(H160&lt;=30,"1 1-30",IF(H160&lt;=60,"2 31-60",IF(H160&lt;=90,"3 61-90",IF(H160&lt;=120,"4 91-120","5 121+")))))</x:f>
        <x:v>4 91-120</x:v>
      </x:c>
      <x:c r="O160" s="9" t="n">
        <x:f>IF(J160&gt;0,1,0)</x:f>
        <x:v>1</x:v>
      </x:c>
    </x:row>
    <x:row r="161">
      <x:c r="A161" s="15" t="str">
        <x:v>157</x:v>
      </x:c>
      <x:c r="B161" s="9" t="str">
        <x:v>Morgan</x:v>
      </x:c>
      <x:c r="C161" s="9" t="str">
        <x:v>Personal Loan</x:v>
      </x:c>
      <x:c r="D161" s="9" t="str">
        <x:v>Midwest</x:v>
      </x:c>
      <x:c r="E161" s="9" t="n">
        <x:v>622</x:v>
      </x:c>
      <x:c r="F161" s="11" t="n">
        <x:v>46106</x:v>
      </x:c>
      <x:c r="G161" s="13" t="n">
        <x:v>20471.37</x:v>
      </x:c>
      <x:c r="H161" s="9" t="n">
        <x:v>140</x:v>
      </x:c>
      <x:c r="I161" s="9" t="n">
        <x:v>7</x:v>
      </x:c>
      <x:c r="J161" s="9" t="n">
        <x:v>3</x:v>
      </x:c>
      <x:c r="K161" s="9" t="n">
        <x:v>1</x:v>
      </x:c>
      <x:c r="L161" s="13" t="n">
        <x:f>SUMIFS('Payments'!$D$5:$D$3014,'Payments'!$B$5:$B$3014,A161)</x:f>
        <x:v>3346.7200000000003</x:v>
      </x:c>
      <x:c r="M161" s="13" t="n">
        <x:f>G161-L161</x:f>
        <x:v>17124.649999999998</x:v>
      </x:c>
      <x:c r="N161" s="9" t="str">
        <x:f>IF(H161=0,"0 Current",IF(H161&lt;=30,"1 1-30",IF(H161&lt;=60,"2 31-60",IF(H161&lt;=90,"3 61-90",IF(H161&lt;=120,"4 91-120","5 121+")))))</x:f>
        <x:v>5 121+</x:v>
      </x:c>
      <x:c r="O161" s="9" t="n">
        <x:f>IF(J161&gt;0,1,0)</x:f>
        <x:v>1</x:v>
      </x:c>
    </x:row>
    <x:row r="162">
      <x:c r="A162" s="15" t="str">
        <x:v>158</x:v>
      </x:c>
      <x:c r="B162" s="9" t="str">
        <x:v>Alex</x:v>
      </x:c>
      <x:c r="C162" s="9" t="str">
        <x:v>Credit Card</x:v>
      </x:c>
      <x:c r="D162" s="9" t="str">
        <x:v>South</x:v>
      </x:c>
      <x:c r="E162" s="9" t="n">
        <x:v>763</x:v>
      </x:c>
      <x:c r="F162" s="11" t="n">
        <x:v>46062</x:v>
      </x:c>
      <x:c r="G162" s="13" t="n">
        <x:v>13232.77</x:v>
      </x:c>
      <x:c r="H162" s="9" t="n">
        <x:v>133</x:v>
      </x:c>
      <x:c r="I162" s="9" t="n">
        <x:v>7</x:v>
      </x:c>
      <x:c r="J162" s="9" t="n">
        <x:v>4</x:v>
      </x:c>
      <x:c r="K162" s="9" t="n">
        <x:v>1</x:v>
      </x:c>
      <x:c r="L162" s="13" t="n">
        <x:f>SUMIFS('Payments'!$D$5:$D$3014,'Payments'!$B$5:$B$3014,A162)</x:f>
        <x:v>911.47</x:v>
      </x:c>
      <x:c r="M162" s="13" t="n">
        <x:f>G162-L162</x:f>
        <x:v>12321.300000000001</x:v>
      </x:c>
      <x:c r="N162" s="9" t="str">
        <x:f>IF(H162=0,"0 Current",IF(H162&lt;=30,"1 1-30",IF(H162&lt;=60,"2 31-60",IF(H162&lt;=90,"3 61-90",IF(H162&lt;=120,"4 91-120","5 121+")))))</x:f>
        <x:v>5 121+</x:v>
      </x:c>
      <x:c r="O162" s="9" t="n">
        <x:f>IF(J162&gt;0,1,0)</x:f>
        <x:v>1</x:v>
      </x:c>
    </x:row>
    <x:row r="163">
      <x:c r="A163" s="15" t="str">
        <x:v>159</x:v>
      </x:c>
      <x:c r="B163" s="9" t="str">
        <x:v>Casey</x:v>
      </x:c>
      <x:c r="C163" s="9" t="str">
        <x:v>Medical</x:v>
      </x:c>
      <x:c r="D163" s="9" t="str">
        <x:v>Midwest</x:v>
      </x:c>
      <x:c r="E163" s="9" t="n">
        <x:v>654</x:v>
      </x:c>
      <x:c r="F163" s="11" t="n">
        <x:v>46134</x:v>
      </x:c>
      <x:c r="G163" s="13" t="n">
        <x:v>17057.1</x:v>
      </x:c>
      <x:c r="H163" s="9" t="n">
        <x:v>183</x:v>
      </x:c>
      <x:c r="I163" s="9" t="n">
        <x:v>8</x:v>
      </x:c>
      <x:c r="J163" s="9" t="n">
        <x:v>3</x:v>
      </x:c>
      <x:c r="K163" s="9" t="n">
        <x:v>0</x:v>
      </x:c>
      <x:c r="L163" s="13" t="n">
        <x:f>SUMIFS('Payments'!$D$5:$D$3014,'Payments'!$B$5:$B$3014,A163)</x:f>
        <x:v>2818.09</x:v>
      </x:c>
      <x:c r="M163" s="13" t="n">
        <x:f>G163-L163</x:f>
        <x:v>14239.009999999998</x:v>
      </x:c>
      <x:c r="N163" s="9" t="str">
        <x:f>IF(H163=0,"0 Current",IF(H163&lt;=30,"1 1-30",IF(H163&lt;=60,"2 31-60",IF(H163&lt;=90,"3 61-90",IF(H163&lt;=120,"4 91-120","5 121+")))))</x:f>
        <x:v>5 121+</x:v>
      </x:c>
      <x:c r="O163" s="9" t="n">
        <x:f>IF(J163&gt;0,1,0)</x:f>
        <x:v>1</x:v>
      </x:c>
    </x:row>
    <x:row r="164">
      <x:c r="A164" s="15" t="str">
        <x:v>160</x:v>
      </x:c>
      <x:c r="B164" s="9" t="str">
        <x:v>Alex</x:v>
      </x:c>
      <x:c r="C164" s="9" t="str">
        <x:v>Credit Card</x:v>
      </x:c>
      <x:c r="D164" s="9" t="str">
        <x:v>Midwest</x:v>
      </x:c>
      <x:c r="E164" s="9" t="n">
        <x:v>804</x:v>
      </x:c>
      <x:c r="F164" s="11" t="n">
        <x:v>46027</x:v>
      </x:c>
      <x:c r="G164" s="13" t="n">
        <x:v>6881.6</x:v>
      </x:c>
      <x:c r="H164" s="9" t="n">
        <x:v>47</x:v>
      </x:c>
      <x:c r="I164" s="9" t="n">
        <x:v>4</x:v>
      </x:c>
      <x:c r="J164" s="9" t="n">
        <x:v>1</x:v>
      </x:c>
      <x:c r="K164" s="9" t="n">
        <x:v>0</x:v>
      </x:c>
      <x:c r="L164" s="13" t="n">
        <x:f>SUMIFS('Payments'!$D$5:$D$3014,'Payments'!$B$5:$B$3014,A164)</x:f>
        <x:v>0</x:v>
      </x:c>
      <x:c r="M164" s="13" t="n">
        <x:f>G164-L164</x:f>
        <x:v>6881.6</x:v>
      </x:c>
      <x:c r="N164" s="9" t="str">
        <x:f>IF(H164=0,"0 Current",IF(H164&lt;=30,"1 1-30",IF(H164&lt;=60,"2 31-60",IF(H164&lt;=90,"3 61-90",IF(H164&lt;=120,"4 91-120","5 121+")))))</x:f>
        <x:v>2 31-60</x:v>
      </x:c>
      <x:c r="O164" s="9" t="n">
        <x:f>IF(J164&gt;0,1,0)</x:f>
        <x:v>1</x:v>
      </x:c>
    </x:row>
    <x:row r="165">
      <x:c r="A165" s="15" t="str">
        <x:v>161</x:v>
      </x:c>
      <x:c r="B165" s="9" t="str">
        <x:v>Jordan</x:v>
      </x:c>
      <x:c r="C165" s="9" t="str">
        <x:v>Auto</x:v>
      </x:c>
      <x:c r="D165" s="9" t="str">
        <x:v>Northeast</x:v>
      </x:c>
      <x:c r="E165" s="9" t="n">
        <x:v>424</x:v>
      </x:c>
      <x:c r="F165" s="11" t="n">
        <x:v>46110</x:v>
      </x:c>
      <x:c r="G165" s="13" t="n">
        <x:v>18126.27</x:v>
      </x:c>
      <x:c r="H165" s="9" t="n">
        <x:v>95</x:v>
      </x:c>
      <x:c r="I165" s="9" t="n">
        <x:v>0</x:v>
      </x:c>
      <x:c r="J165" s="9" t="n">
        <x:v>0</x:v>
      </x:c>
      <x:c r="K165" s="9" t="n">
        <x:v>0</x:v>
      </x:c>
      <x:c r="L165" s="13" t="n">
        <x:f>SUMIFS('Payments'!$D$5:$D$3014,'Payments'!$B$5:$B$3014,A165)</x:f>
        <x:v>4933.99</x:v>
      </x:c>
      <x:c r="M165" s="13" t="n">
        <x:f>G165-L165</x:f>
        <x:v>13192.28</x:v>
      </x:c>
      <x:c r="N165" s="9" t="str">
        <x:f>IF(H165=0,"0 Current",IF(H165&lt;=30,"1 1-30",IF(H165&lt;=60,"2 31-60",IF(H165&lt;=90,"3 61-90",IF(H165&lt;=120,"4 91-120","5 121+")))))</x:f>
        <x:v>4 91-120</x:v>
      </x:c>
      <x:c r="O165" s="9" t="n">
        <x:f>IF(J165&gt;0,1,0)</x:f>
        <x:v>0</x:v>
      </x:c>
    </x:row>
    <x:row r="166">
      <x:c r="A166" s="15" t="str">
        <x:v>162</x:v>
      </x:c>
      <x:c r="B166" s="9" t="str">
        <x:v>Alex</x:v>
      </x:c>
      <x:c r="C166" s="9" t="str">
        <x:v>Auto</x:v>
      </x:c>
      <x:c r="D166" s="9" t="str">
        <x:v>West</x:v>
      </x:c>
      <x:c r="E166" s="9" t="n">
        <x:v>738</x:v>
      </x:c>
      <x:c r="F166" s="11" t="n">
        <x:v>46091</x:v>
      </x:c>
      <x:c r="G166" s="13" t="n">
        <x:v>16959.36</x:v>
      </x:c>
      <x:c r="H166" s="9" t="n">
        <x:v>46</x:v>
      </x:c>
      <x:c r="I166" s="9" t="n">
        <x:v>6</x:v>
      </x:c>
      <x:c r="J166" s="9" t="n">
        <x:v>3</x:v>
      </x:c>
      <x:c r="K166" s="9" t="n">
        <x:v>0</x:v>
      </x:c>
      <x:c r="L166" s="13" t="n">
        <x:f>SUMIFS('Payments'!$D$5:$D$3014,'Payments'!$B$5:$B$3014,A166)</x:f>
        <x:v>665.56</x:v>
      </x:c>
      <x:c r="M166" s="13" t="n">
        <x:f>G166-L166</x:f>
        <x:v>16293.800000000001</x:v>
      </x:c>
      <x:c r="N166" s="9" t="str">
        <x:f>IF(H166=0,"0 Current",IF(H166&lt;=30,"1 1-30",IF(H166&lt;=60,"2 31-60",IF(H166&lt;=90,"3 61-90",IF(H166&lt;=120,"4 91-120","5 121+")))))</x:f>
        <x:v>2 31-60</x:v>
      </x:c>
      <x:c r="O166" s="9" t="n">
        <x:f>IF(J166&gt;0,1,0)</x:f>
        <x:v>1</x:v>
      </x:c>
    </x:row>
    <x:row r="167">
      <x:c r="A167" s="15" t="str">
        <x:v>163</x:v>
      </x:c>
      <x:c r="B167" s="9" t="str">
        <x:v>Morgan</x:v>
      </x:c>
      <x:c r="C167" s="9" t="str">
        <x:v>Auto</x:v>
      </x:c>
      <x:c r="D167" s="9" t="str">
        <x:v>Northeast</x:v>
      </x:c>
      <x:c r="E167" s="9" t="n">
        <x:v>457</x:v>
      </x:c>
      <x:c r="F167" s="11" t="n">
        <x:v>46156</x:v>
      </x:c>
      <x:c r="G167" s="13" t="n">
        <x:v>9242.9</x:v>
      </x:c>
      <x:c r="H167" s="9" t="n">
        <x:v>174</x:v>
      </x:c>
      <x:c r="I167" s="9" t="n">
        <x:v>0</x:v>
      </x:c>
      <x:c r="J167" s="9" t="n">
        <x:v>0</x:v>
      </x:c>
      <x:c r="K167" s="9" t="n">
        <x:v>0</x:v>
      </x:c>
      <x:c r="L167" s="13" t="n">
        <x:f>SUMIFS('Payments'!$D$5:$D$3014,'Payments'!$B$5:$B$3014,A167)</x:f>
        <x:v>1268.09</x:v>
      </x:c>
      <x:c r="M167" s="13" t="n">
        <x:f>G167-L167</x:f>
        <x:v>7974.8099999999995</x:v>
      </x:c>
      <x:c r="N167" s="9" t="str">
        <x:f>IF(H167=0,"0 Current",IF(H167&lt;=30,"1 1-30",IF(H167&lt;=60,"2 31-60",IF(H167&lt;=90,"3 61-90",IF(H167&lt;=120,"4 91-120","5 121+")))))</x:f>
        <x:v>5 121+</x:v>
      </x:c>
      <x:c r="O167" s="9" t="n">
        <x:f>IF(J167&gt;0,1,0)</x:f>
        <x:v>0</x:v>
      </x:c>
    </x:row>
    <x:row r="168">
      <x:c r="A168" s="15" t="str">
        <x:v>164</x:v>
      </x:c>
      <x:c r="B168" s="9" t="str">
        <x:v>Alex</x:v>
      </x:c>
      <x:c r="C168" s="9" t="str">
        <x:v>Personal Loan</x:v>
      </x:c>
      <x:c r="D168" s="9" t="str">
        <x:v>South</x:v>
      </x:c>
      <x:c r="E168" s="9" t="n">
        <x:v>679</x:v>
      </x:c>
      <x:c r="F168" s="11" t="n">
        <x:v>46163</x:v>
      </x:c>
      <x:c r="G168" s="13" t="n">
        <x:v>22349.23</x:v>
      </x:c>
      <x:c r="H168" s="9" t="n">
        <x:v>123</x:v>
      </x:c>
      <x:c r="I168" s="9" t="n">
        <x:v>1</x:v>
      </x:c>
      <x:c r="J168" s="9" t="n">
        <x:v>1</x:v>
      </x:c>
      <x:c r="K168" s="9" t="n">
        <x:v>0</x:v>
      </x:c>
      <x:c r="L168" s="13" t="n">
        <x:f>SUMIFS('Payments'!$D$5:$D$3014,'Payments'!$B$5:$B$3014,A168)</x:f>
        <x:v>1334.96</x:v>
      </x:c>
      <x:c r="M168" s="13" t="n">
        <x:f>G168-L168</x:f>
        <x:v>21014.27</x:v>
      </x:c>
      <x:c r="N168" s="9" t="str">
        <x:f>IF(H168=0,"0 Current",IF(H168&lt;=30,"1 1-30",IF(H168&lt;=60,"2 31-60",IF(H168&lt;=90,"3 61-90",IF(H168&lt;=120,"4 91-120","5 121+")))))</x:f>
        <x:v>5 121+</x:v>
      </x:c>
      <x:c r="O168" s="9" t="n">
        <x:f>IF(J168&gt;0,1,0)</x:f>
        <x:v>1</x:v>
      </x:c>
    </x:row>
    <x:row r="169">
      <x:c r="A169" s="15" t="str">
        <x:v>165</x:v>
      </x:c>
      <x:c r="B169" s="9" t="str">
        <x:v>Casey</x:v>
      </x:c>
      <x:c r="C169" s="9" t="str">
        <x:v>Personal Loan</x:v>
      </x:c>
      <x:c r="D169" s="9" t="str">
        <x:v>Midwest</x:v>
      </x:c>
      <x:c r="E169" s="9" t="n">
        <x:v>487</x:v>
      </x:c>
      <x:c r="F169" s="11" t="n">
        <x:v>46106</x:v>
      </x:c>
      <x:c r="G169" s="13" t="n">
        <x:v>1131.98</x:v>
      </x:c>
      <x:c r="H169" s="9" t="n">
        <x:v>149</x:v>
      </x:c>
      <x:c r="I169" s="9" t="n">
        <x:v>6</x:v>
      </x:c>
      <x:c r="J169" s="9" t="n">
        <x:v>0</x:v>
      </x:c>
      <x:c r="K169" s="9" t="n">
        <x:v>0</x:v>
      </x:c>
      <x:c r="L169" s="13" t="n">
        <x:f>SUMIFS('Payments'!$D$5:$D$3014,'Payments'!$B$5:$B$3014,A169)</x:f>
        <x:v>0</x:v>
      </x:c>
      <x:c r="M169" s="13" t="n">
        <x:f>G169-L169</x:f>
        <x:v>1131.98</x:v>
      </x:c>
      <x:c r="N169" s="9" t="str">
        <x:f>IF(H169=0,"0 Current",IF(H169&lt;=30,"1 1-30",IF(H169&lt;=60,"2 31-60",IF(H169&lt;=90,"3 61-90",IF(H169&lt;=120,"4 91-120","5 121+")))))</x:f>
        <x:v>5 121+</x:v>
      </x:c>
      <x:c r="O169" s="9" t="n">
        <x:f>IF(J169&gt;0,1,0)</x:f>
        <x:v>0</x:v>
      </x:c>
    </x:row>
    <x:row r="170">
      <x:c r="A170" s="15" t="str">
        <x:v>166</x:v>
      </x:c>
      <x:c r="B170" s="9" t="str">
        <x:v>Alex</x:v>
      </x:c>
      <x:c r="C170" s="9" t="str">
        <x:v>Personal Loan</x:v>
      </x:c>
      <x:c r="D170" s="9" t="str">
        <x:v>Midwest</x:v>
      </x:c>
      <x:c r="E170" s="9" t="n">
        <x:v>455</x:v>
      </x:c>
      <x:c r="F170" s="11" t="n">
        <x:v>46109</x:v>
      </x:c>
      <x:c r="G170" s="13" t="n">
        <x:v>3018.77</x:v>
      </x:c>
      <x:c r="H170" s="9" t="n">
        <x:v>165</x:v>
      </x:c>
      <x:c r="I170" s="9" t="n">
        <x:v>2</x:v>
      </x:c>
      <x:c r="J170" s="9" t="n">
        <x:v>1</x:v>
      </x:c>
      <x:c r="K170" s="9" t="n">
        <x:v>0</x:v>
      </x:c>
      <x:c r="L170" s="13" t="n">
        <x:f>SUMIFS('Payments'!$D$5:$D$3014,'Payments'!$B$5:$B$3014,A170)</x:f>
        <x:v>361.5</x:v>
      </x:c>
      <x:c r="M170" s="13" t="n">
        <x:f>G170-L170</x:f>
        <x:v>2657.27</x:v>
      </x:c>
      <x:c r="N170" s="9" t="str">
        <x:f>IF(H170=0,"0 Current",IF(H170&lt;=30,"1 1-30",IF(H170&lt;=60,"2 31-60",IF(H170&lt;=90,"3 61-90",IF(H170&lt;=120,"4 91-120","5 121+")))))</x:f>
        <x:v>5 121+</x:v>
      </x:c>
      <x:c r="O170" s="9" t="n">
        <x:f>IF(J170&gt;0,1,0)</x:f>
        <x:v>1</x:v>
      </x:c>
    </x:row>
    <x:row r="171">
      <x:c r="A171" s="15" t="str">
        <x:v>167</x:v>
      </x:c>
      <x:c r="B171" s="9" t="str">
        <x:v>Taylor</x:v>
      </x:c>
      <x:c r="C171" s="9" t="str">
        <x:v>Medical</x:v>
      </x:c>
      <x:c r="D171" s="9" t="str">
        <x:v>South</x:v>
      </x:c>
      <x:c r="E171" s="9" t="n">
        <x:v>609</x:v>
      </x:c>
      <x:c r="F171" s="11" t="n">
        <x:v>46111</x:v>
      </x:c>
      <x:c r="G171" s="13" t="n">
        <x:v>18901.2</x:v>
      </x:c>
      <x:c r="H171" s="9" t="n">
        <x:v>5</x:v>
      </x:c>
      <x:c r="I171" s="9" t="n">
        <x:v>7</x:v>
      </x:c>
      <x:c r="J171" s="9" t="n">
        <x:v>1</x:v>
      </x:c>
      <x:c r="K171" s="9" t="n">
        <x:v>1</x:v>
      </x:c>
      <x:c r="L171" s="13" t="n">
        <x:f>SUMIFS('Payments'!$D$5:$D$3014,'Payments'!$B$5:$B$3014,A171)</x:f>
        <x:v>1425.61</x:v>
      </x:c>
      <x:c r="M171" s="13" t="n">
        <x:f>G171-L171</x:f>
        <x:v>17475.59</x:v>
      </x:c>
      <x:c r="N171" s="9" t="str">
        <x:f>IF(H171=0,"0 Current",IF(H171&lt;=30,"1 1-30",IF(H171&lt;=60,"2 31-60",IF(H171&lt;=90,"3 61-90",IF(H171&lt;=120,"4 91-120","5 121+")))))</x:f>
        <x:v>1 1-30</x:v>
      </x:c>
      <x:c r="O171" s="9" t="n">
        <x:f>IF(J171&gt;0,1,0)</x:f>
        <x:v>1</x:v>
      </x:c>
    </x:row>
    <x:row r="172">
      <x:c r="A172" s="15" t="str">
        <x:v>168</x:v>
      </x:c>
      <x:c r="B172" s="9" t="str">
        <x:v>Morgan</x:v>
      </x:c>
      <x:c r="C172" s="9" t="str">
        <x:v>Personal Loan</x:v>
      </x:c>
      <x:c r="D172" s="9" t="str">
        <x:v>Midwest</x:v>
      </x:c>
      <x:c r="E172" s="9" t="n">
        <x:v>500</x:v>
      </x:c>
      <x:c r="F172" s="11" t="n">
        <x:v>46158</x:v>
      </x:c>
      <x:c r="G172" s="13" t="n">
        <x:v>7002.23</x:v>
      </x:c>
      <x:c r="H172" s="9" t="n">
        <x:v>209</x:v>
      </x:c>
      <x:c r="I172" s="9" t="n">
        <x:v>8</x:v>
      </x:c>
      <x:c r="J172" s="9" t="n">
        <x:v>6</x:v>
      </x:c>
      <x:c r="K172" s="9" t="n">
        <x:v>0</x:v>
      </x:c>
      <x:c r="L172" s="13" t="n">
        <x:f>SUMIFS('Payments'!$D$5:$D$3014,'Payments'!$B$5:$B$3014,A172)</x:f>
        <x:v>1325.06</x:v>
      </x:c>
      <x:c r="M172" s="13" t="n">
        <x:f>G172-L172</x:f>
        <x:v>5677.17</x:v>
      </x:c>
      <x:c r="N172" s="9" t="str">
        <x:f>IF(H172=0,"0 Current",IF(H172&lt;=30,"1 1-30",IF(H172&lt;=60,"2 31-60",IF(H172&lt;=90,"3 61-90",IF(H172&lt;=120,"4 91-120","5 121+")))))</x:f>
        <x:v>5 121+</x:v>
      </x:c>
      <x:c r="O172" s="9" t="n">
        <x:f>IF(J172&gt;0,1,0)</x:f>
        <x:v>1</x:v>
      </x:c>
    </x:row>
    <x:row r="173">
      <x:c r="A173" s="15" t="str">
        <x:v>169</x:v>
      </x:c>
      <x:c r="B173" s="9" t="str">
        <x:v>Jordan</x:v>
      </x:c>
      <x:c r="C173" s="9" t="str">
        <x:v>Auto</x:v>
      </x:c>
      <x:c r="D173" s="9" t="str">
        <x:v>West</x:v>
      </x:c>
      <x:c r="E173" s="9" t="n">
        <x:v>698</x:v>
      </x:c>
      <x:c r="F173" s="11" t="n">
        <x:v>46062</x:v>
      </x:c>
      <x:c r="G173" s="13" t="n">
        <x:v>12375.29</x:v>
      </x:c>
      <x:c r="H173" s="9" t="n">
        <x:v>164</x:v>
      </x:c>
      <x:c r="I173" s="9" t="n">
        <x:v>0</x:v>
      </x:c>
      <x:c r="J173" s="9" t="n">
        <x:v>0</x:v>
      </x:c>
      <x:c r="K173" s="9" t="n">
        <x:v>0</x:v>
      </x:c>
      <x:c r="L173" s="13" t="n">
        <x:f>SUMIFS('Payments'!$D$5:$D$3014,'Payments'!$B$5:$B$3014,A173)</x:f>
        <x:v>1681.1</x:v>
      </x:c>
      <x:c r="M173" s="13" t="n">
        <x:f>G173-L173</x:f>
        <x:v>10694.19</x:v>
      </x:c>
      <x:c r="N173" s="9" t="str">
        <x:f>IF(H173=0,"0 Current",IF(H173&lt;=30,"1 1-30",IF(H173&lt;=60,"2 31-60",IF(H173&lt;=90,"3 61-90",IF(H173&lt;=120,"4 91-120","5 121+")))))</x:f>
        <x:v>5 121+</x:v>
      </x:c>
      <x:c r="O173" s="9" t="n">
        <x:f>IF(J173&gt;0,1,0)</x:f>
        <x:v>0</x:v>
      </x:c>
    </x:row>
    <x:row r="174">
      <x:c r="A174" s="15" t="str">
        <x:v>170</x:v>
      </x:c>
      <x:c r="B174" s="9" t="str">
        <x:v>Alex</x:v>
      </x:c>
      <x:c r="C174" s="9" t="str">
        <x:v>Medical</x:v>
      </x:c>
      <x:c r="D174" s="9" t="str">
        <x:v>Midwest</x:v>
      </x:c>
      <x:c r="E174" s="9" t="n">
        <x:v>733</x:v>
      </x:c>
      <x:c r="F174" s="11" t="n">
        <x:v>46056</x:v>
      </x:c>
      <x:c r="G174" s="13" t="n">
        <x:v>7992.65</x:v>
      </x:c>
      <x:c r="H174" s="9" t="n">
        <x:v>27</x:v>
      </x:c>
      <x:c r="I174" s="9" t="n">
        <x:v>7</x:v>
      </x:c>
      <x:c r="J174" s="9" t="n">
        <x:v>3</x:v>
      </x:c>
      <x:c r="K174" s="9" t="n">
        <x:v>0</x:v>
      </x:c>
      <x:c r="L174" s="13" t="n">
        <x:f>SUMIFS('Payments'!$D$5:$D$3014,'Payments'!$B$5:$B$3014,A174)</x:f>
        <x:v>1164</x:v>
      </x:c>
      <x:c r="M174" s="13" t="n">
        <x:f>G174-L174</x:f>
        <x:v>6828.65</x:v>
      </x:c>
      <x:c r="N174" s="9" t="str">
        <x:f>IF(H174=0,"0 Current",IF(H174&lt;=30,"1 1-30",IF(H174&lt;=60,"2 31-60",IF(H174&lt;=90,"3 61-90",IF(H174&lt;=120,"4 91-120","5 121+")))))</x:f>
        <x:v>1 1-30</x:v>
      </x:c>
      <x:c r="O174" s="9" t="n">
        <x:f>IF(J174&gt;0,1,0)</x:f>
        <x:v>1</x:v>
      </x:c>
    </x:row>
    <x:row r="175">
      <x:c r="A175" s="15" t="str">
        <x:v>171</x:v>
      </x:c>
      <x:c r="B175" s="9" t="str">
        <x:v>Taylor</x:v>
      </x:c>
      <x:c r="C175" s="9" t="str">
        <x:v>Credit Card</x:v>
      </x:c>
      <x:c r="D175" s="9" t="str">
        <x:v>Northeast</x:v>
      </x:c>
      <x:c r="E175" s="9" t="n">
        <x:v>761</x:v>
      </x:c>
      <x:c r="F175" s="11" t="n">
        <x:v>46129</x:v>
      </x:c>
      <x:c r="G175" s="13" t="n">
        <x:v>15979.86</x:v>
      </x:c>
      <x:c r="H175" s="9" t="n">
        <x:v>210</x:v>
      </x:c>
      <x:c r="I175" s="9" t="n">
        <x:v>1</x:v>
      </x:c>
      <x:c r="J175" s="9" t="n">
        <x:v>1</x:v>
      </x:c>
      <x:c r="K175" s="9" t="n">
        <x:v>0</x:v>
      </x:c>
      <x:c r="L175" s="13" t="n">
        <x:f>SUMIFS('Payments'!$D$5:$D$3014,'Payments'!$B$5:$B$3014,A175)</x:f>
        <x:v>2205.99</x:v>
      </x:c>
      <x:c r="M175" s="13" t="n">
        <x:f>G175-L175</x:f>
        <x:v>13773.87</x:v>
      </x:c>
      <x:c r="N175" s="9" t="str">
        <x:f>IF(H175=0,"0 Current",IF(H175&lt;=30,"1 1-30",IF(H175&lt;=60,"2 31-60",IF(H175&lt;=90,"3 61-90",IF(H175&lt;=120,"4 91-120","5 121+")))))</x:f>
        <x:v>5 121+</x:v>
      </x:c>
      <x:c r="O175" s="9" t="n">
        <x:f>IF(J175&gt;0,1,0)</x:f>
        <x:v>1</x:v>
      </x:c>
    </x:row>
    <x:row r="176">
      <x:c r="A176" s="15" t="str">
        <x:v>172</x:v>
      </x:c>
      <x:c r="B176" s="9" t="str">
        <x:v>Casey</x:v>
      </x:c>
      <x:c r="C176" s="9" t="str">
        <x:v>Medical</x:v>
      </x:c>
      <x:c r="D176" s="9" t="str">
        <x:v>Midwest</x:v>
      </x:c>
      <x:c r="E176" s="9" t="n">
        <x:v>759</x:v>
      </x:c>
      <x:c r="F176" s="11" t="n">
        <x:v>46159</x:v>
      </x:c>
      <x:c r="G176" s="13" t="n">
        <x:v>16661.95</x:v>
      </x:c>
      <x:c r="H176" s="9" t="n">
        <x:v>134</x:v>
      </x:c>
      <x:c r="I176" s="9" t="n">
        <x:v>2</x:v>
      </x:c>
      <x:c r="J176" s="9" t="n">
        <x:v>2</x:v>
      </x:c>
      <x:c r="K176" s="9" t="n">
        <x:v>0</x:v>
      </x:c>
      <x:c r="L176" s="13" t="n">
        <x:f>SUMIFS('Payments'!$D$5:$D$3014,'Payments'!$B$5:$B$3014,A176)</x:f>
        <x:v>1504.29</x:v>
      </x:c>
      <x:c r="M176" s="13" t="n">
        <x:f>G176-L176</x:f>
        <x:v>15157.66</x:v>
      </x:c>
      <x:c r="N176" s="9" t="str">
        <x:f>IF(H176=0,"0 Current",IF(H176&lt;=30,"1 1-30",IF(H176&lt;=60,"2 31-60",IF(H176&lt;=90,"3 61-90",IF(H176&lt;=120,"4 91-120","5 121+")))))</x:f>
        <x:v>5 121+</x:v>
      </x:c>
      <x:c r="O176" s="9" t="n">
        <x:f>IF(J176&gt;0,1,0)</x:f>
        <x:v>1</x:v>
      </x:c>
    </x:row>
    <x:row r="177">
      <x:c r="A177" s="15" t="str">
        <x:v>173</x:v>
      </x:c>
      <x:c r="B177" s="9" t="str">
        <x:v>Taylor</x:v>
      </x:c>
      <x:c r="C177" s="9" t="str">
        <x:v>Auto</x:v>
      </x:c>
      <x:c r="D177" s="9" t="str">
        <x:v>Northeast</x:v>
      </x:c>
      <x:c r="E177" s="9" t="n">
        <x:v>488</x:v>
      </x:c>
      <x:c r="F177" s="11" t="n">
        <x:v>46170</x:v>
      </x:c>
      <x:c r="G177" s="13" t="n">
        <x:v>15514.07</x:v>
      </x:c>
      <x:c r="H177" s="9" t="n">
        <x:v>179</x:v>
      </x:c>
      <x:c r="I177" s="9" t="n">
        <x:v>2</x:v>
      </x:c>
      <x:c r="J177" s="9" t="n">
        <x:v>1</x:v>
      </x:c>
      <x:c r="K177" s="9" t="n">
        <x:v>1</x:v>
      </x:c>
      <x:c r="L177" s="13" t="n">
        <x:f>SUMIFS('Payments'!$D$5:$D$3014,'Payments'!$B$5:$B$3014,A177)</x:f>
        <x:v>2098.8</x:v>
      </x:c>
      <x:c r="M177" s="13" t="n">
        <x:f>G177-L177</x:f>
        <x:v>13415.27</x:v>
      </x:c>
      <x:c r="N177" s="9" t="str">
        <x:f>IF(H177=0,"0 Current",IF(H177&lt;=30,"1 1-30",IF(H177&lt;=60,"2 31-60",IF(H177&lt;=90,"3 61-90",IF(H177&lt;=120,"4 91-120","5 121+")))))</x:f>
        <x:v>5 121+</x:v>
      </x:c>
      <x:c r="O177" s="9" t="n">
        <x:f>IF(J177&gt;0,1,0)</x:f>
        <x:v>1</x:v>
      </x:c>
    </x:row>
    <x:row r="178">
      <x:c r="A178" s="15" t="str">
        <x:v>174</x:v>
      </x:c>
      <x:c r="B178" s="9" t="str">
        <x:v>Morgan</x:v>
      </x:c>
      <x:c r="C178" s="9" t="str">
        <x:v>Auto</x:v>
      </x:c>
      <x:c r="D178" s="9" t="str">
        <x:v>Midwest</x:v>
      </x:c>
      <x:c r="E178" s="9" t="n">
        <x:v>479</x:v>
      </x:c>
      <x:c r="F178" s="11" t="n">
        <x:v>46106</x:v>
      </x:c>
      <x:c r="G178" s="13" t="n">
        <x:v>16091.04</x:v>
      </x:c>
      <x:c r="H178" s="9" t="n">
        <x:v>211</x:v>
      </x:c>
      <x:c r="I178" s="9" t="n">
        <x:v>3</x:v>
      </x:c>
      <x:c r="J178" s="9" t="n">
        <x:v>1</x:v>
      </x:c>
      <x:c r="K178" s="9" t="n">
        <x:v>0</x:v>
      </x:c>
      <x:c r="L178" s="13" t="n">
        <x:f>SUMIFS('Payments'!$D$5:$D$3014,'Payments'!$B$5:$B$3014,A178)</x:f>
        <x:v>3091.16</x:v>
      </x:c>
      <x:c r="M178" s="13" t="n">
        <x:f>G178-L178</x:f>
        <x:v>12999.880000000001</x:v>
      </x:c>
      <x:c r="N178" s="9" t="str">
        <x:f>IF(H178=0,"0 Current",IF(H178&lt;=30,"1 1-30",IF(H178&lt;=60,"2 31-60",IF(H178&lt;=90,"3 61-90",IF(H178&lt;=120,"4 91-120","5 121+")))))</x:f>
        <x:v>5 121+</x:v>
      </x:c>
      <x:c r="O178" s="9" t="n">
        <x:f>IF(J178&gt;0,1,0)</x:f>
        <x:v>1</x:v>
      </x:c>
    </x:row>
    <x:row r="179">
      <x:c r="A179" s="15" t="str">
        <x:v>175</x:v>
      </x:c>
      <x:c r="B179" s="9" t="str">
        <x:v>Taylor</x:v>
      </x:c>
      <x:c r="C179" s="9" t="str">
        <x:v>Credit Card</x:v>
      </x:c>
      <x:c r="D179" s="9" t="str">
        <x:v>Northeast</x:v>
      </x:c>
      <x:c r="E179" s="9" t="n">
        <x:v>800</x:v>
      </x:c>
      <x:c r="F179" s="11" t="n">
        <x:v>46124</x:v>
      </x:c>
      <x:c r="G179" s="13" t="n">
        <x:v>508.2</x:v>
      </x:c>
      <x:c r="H179" s="9" t="n">
        <x:v>72</x:v>
      </x:c>
      <x:c r="I179" s="9" t="n">
        <x:v>5</x:v>
      </x:c>
      <x:c r="J179" s="9" t="n">
        <x:v>2</x:v>
      </x:c>
      <x:c r="K179" s="9" t="n">
        <x:v>1</x:v>
      </x:c>
      <x:c r="L179" s="13" t="n">
        <x:f>SUMIFS('Payments'!$D$5:$D$3014,'Payments'!$B$5:$B$3014,A179)</x:f>
        <x:v>71.09</x:v>
      </x:c>
      <x:c r="M179" s="13" t="n">
        <x:f>G179-L179</x:f>
        <x:v>437.11</x:v>
      </x:c>
      <x:c r="N179" s="9" t="str">
        <x:f>IF(H179=0,"0 Current",IF(H179&lt;=30,"1 1-30",IF(H179&lt;=60,"2 31-60",IF(H179&lt;=90,"3 61-90",IF(H179&lt;=120,"4 91-120","5 121+")))))</x:f>
        <x:v>3 61-90</x:v>
      </x:c>
      <x:c r="O179" s="9" t="n">
        <x:f>IF(J179&gt;0,1,0)</x:f>
        <x:v>1</x:v>
      </x:c>
    </x:row>
    <x:row r="180">
      <x:c r="A180" s="15" t="str">
        <x:v>176</x:v>
      </x:c>
      <x:c r="B180" s="9" t="str">
        <x:v>Jordan</x:v>
      </x:c>
      <x:c r="C180" s="9" t="str">
        <x:v>Personal Loan</x:v>
      </x:c>
      <x:c r="D180" s="9" t="str">
        <x:v>South</x:v>
      </x:c>
      <x:c r="E180" s="9" t="n">
        <x:v>559</x:v>
      </x:c>
      <x:c r="F180" s="11" t="n">
        <x:v>46062</x:v>
      </x:c>
      <x:c r="G180" s="13" t="n">
        <x:v>6305.26</x:v>
      </x:c>
      <x:c r="H180" s="9" t="n">
        <x:v>227</x:v>
      </x:c>
      <x:c r="I180" s="9" t="n">
        <x:v>1</x:v>
      </x:c>
      <x:c r="J180" s="9" t="n">
        <x:v>1</x:v>
      </x:c>
      <x:c r="K180" s="9" t="n">
        <x:v>0</x:v>
      </x:c>
      <x:c r="L180" s="13" t="n">
        <x:f>SUMIFS('Payments'!$D$5:$D$3014,'Payments'!$B$5:$B$3014,A180)</x:f>
        <x:v>1569.69</x:v>
      </x:c>
      <x:c r="M180" s="13" t="n">
        <x:f>G180-L180</x:f>
        <x:v>4735.57</x:v>
      </x:c>
      <x:c r="N180" s="9" t="str">
        <x:f>IF(H180=0,"0 Current",IF(H180&lt;=30,"1 1-30",IF(H180&lt;=60,"2 31-60",IF(H180&lt;=90,"3 61-90",IF(H180&lt;=120,"4 91-120","5 121+")))))</x:f>
        <x:v>5 121+</x:v>
      </x:c>
      <x:c r="O180" s="9" t="n">
        <x:f>IF(J180&gt;0,1,0)</x:f>
        <x:v>1</x:v>
      </x:c>
    </x:row>
    <x:row r="181">
      <x:c r="A181" s="15" t="str">
        <x:v>177</x:v>
      </x:c>
      <x:c r="B181" s="9" t="str">
        <x:v>Taylor</x:v>
      </x:c>
      <x:c r="C181" s="9" t="str">
        <x:v>Credit Card</x:v>
      </x:c>
      <x:c r="D181" s="9" t="str">
        <x:v>Midwest</x:v>
      </x:c>
      <x:c r="E181" s="9" t="n">
        <x:v>729</x:v>
      </x:c>
      <x:c r="F181" s="11" t="n">
        <x:v>46067</x:v>
      </x:c>
      <x:c r="G181" s="13" t="n">
        <x:v>20979.79</x:v>
      </x:c>
      <x:c r="H181" s="9" t="n">
        <x:v>152</x:v>
      </x:c>
      <x:c r="I181" s="9" t="n">
        <x:v>5</x:v>
      </x:c>
      <x:c r="J181" s="9" t="n">
        <x:v>4</x:v>
      </x:c>
      <x:c r="K181" s="9" t="n">
        <x:v>0</x:v>
      </x:c>
      <x:c r="L181" s="13" t="n">
        <x:f>SUMIFS('Payments'!$D$5:$D$3014,'Payments'!$B$5:$B$3014,A181)</x:f>
        <x:v>323.68</x:v>
      </x:c>
      <x:c r="M181" s="13" t="n">
        <x:f>G181-L181</x:f>
        <x:v>20656.11</x:v>
      </x:c>
      <x:c r="N181" s="9" t="str">
        <x:f>IF(H181=0,"0 Current",IF(H181&lt;=30,"1 1-30",IF(H181&lt;=60,"2 31-60",IF(H181&lt;=90,"3 61-90",IF(H181&lt;=120,"4 91-120","5 121+")))))</x:f>
        <x:v>5 121+</x:v>
      </x:c>
      <x:c r="O181" s="9" t="n">
        <x:f>IF(J181&gt;0,1,0)</x:f>
        <x:v>1</x:v>
      </x:c>
    </x:row>
    <x:row r="182">
      <x:c r="A182" s="15" t="str">
        <x:v>178</x:v>
      </x:c>
      <x:c r="B182" s="9" t="str">
        <x:v>Jordan</x:v>
      </x:c>
      <x:c r="C182" s="9" t="str">
        <x:v>Credit Card</x:v>
      </x:c>
      <x:c r="D182" s="9" t="str">
        <x:v>South</x:v>
      </x:c>
      <x:c r="E182" s="9" t="n">
        <x:v>787</x:v>
      </x:c>
      <x:c r="F182" s="11" t="n">
        <x:v>46120</x:v>
      </x:c>
      <x:c r="G182" s="13" t="n">
        <x:v>2770.29</x:v>
      </x:c>
      <x:c r="H182" s="9" t="n">
        <x:v>81</x:v>
      </x:c>
      <x:c r="I182" s="9" t="n">
        <x:v>8</x:v>
      </x:c>
      <x:c r="J182" s="9" t="n">
        <x:v>2</x:v>
      </x:c>
      <x:c r="K182" s="9" t="n">
        <x:v>0</x:v>
      </x:c>
      <x:c r="L182" s="13" t="n">
        <x:f>SUMIFS('Payments'!$D$5:$D$3014,'Payments'!$B$5:$B$3014,A182)</x:f>
        <x:v>825.13</x:v>
      </x:c>
      <x:c r="M182" s="13" t="n">
        <x:f>G182-L182</x:f>
        <x:v>1945.1599999999999</x:v>
      </x:c>
      <x:c r="N182" s="9" t="str">
        <x:f>IF(H182=0,"0 Current",IF(H182&lt;=30,"1 1-30",IF(H182&lt;=60,"2 31-60",IF(H182&lt;=90,"3 61-90",IF(H182&lt;=120,"4 91-120","5 121+")))))</x:f>
        <x:v>3 61-90</x:v>
      </x:c>
      <x:c r="O182" s="9" t="n">
        <x:f>IF(J182&gt;0,1,0)</x:f>
        <x:v>1</x:v>
      </x:c>
    </x:row>
    <x:row r="183">
      <x:c r="A183" s="15" t="str">
        <x:v>179</x:v>
      </x:c>
      <x:c r="B183" s="9" t="str">
        <x:v>Casey</x:v>
      </x:c>
      <x:c r="C183" s="9" t="str">
        <x:v>Auto</x:v>
      </x:c>
      <x:c r="D183" s="9" t="str">
        <x:v>Midwest</x:v>
      </x:c>
      <x:c r="E183" s="9" t="n">
        <x:v>524</x:v>
      </x:c>
      <x:c r="F183" s="11" t="n">
        <x:v>46146</x:v>
      </x:c>
      <x:c r="G183" s="13" t="n">
        <x:v>23958.58</x:v>
      </x:c>
      <x:c r="H183" s="9" t="n">
        <x:v>101</x:v>
      </x:c>
      <x:c r="I183" s="9" t="n">
        <x:v>6</x:v>
      </x:c>
      <x:c r="J183" s="9" t="n">
        <x:v>1</x:v>
      </x:c>
      <x:c r="K183" s="9" t="n">
        <x:v>0</x:v>
      </x:c>
      <x:c r="L183" s="13" t="n">
        <x:f>SUMIFS('Payments'!$D$5:$D$3014,'Payments'!$B$5:$B$3014,A183)</x:f>
        <x:v>6483.05</x:v>
      </x:c>
      <x:c r="M183" s="13" t="n">
        <x:f>G183-L183</x:f>
        <x:v>17475.530000000002</x:v>
      </x:c>
      <x:c r="N183" s="9" t="str">
        <x:f>IF(H183=0,"0 Current",IF(H183&lt;=30,"1 1-30",IF(H183&lt;=60,"2 31-60",IF(H183&lt;=90,"3 61-90",IF(H183&lt;=120,"4 91-120","5 121+")))))</x:f>
        <x:v>4 91-120</x:v>
      </x:c>
      <x:c r="O183" s="9" t="n">
        <x:f>IF(J183&gt;0,1,0)</x:f>
        <x:v>1</x:v>
      </x:c>
    </x:row>
    <x:row r="184">
      <x:c r="A184" s="15" t="str">
        <x:v>180</x:v>
      </x:c>
      <x:c r="B184" s="9" t="str">
        <x:v>Jordan</x:v>
      </x:c>
      <x:c r="C184" s="9" t="str">
        <x:v>Auto</x:v>
      </x:c>
      <x:c r="D184" s="9" t="str">
        <x:v>Midwest</x:v>
      </x:c>
      <x:c r="E184" s="9" t="n">
        <x:v>678</x:v>
      </x:c>
      <x:c r="F184" s="11" t="n">
        <x:v>46101</x:v>
      </x:c>
      <x:c r="G184" s="13" t="n">
        <x:v>7599.08</x:v>
      </x:c>
      <x:c r="H184" s="9" t="n">
        <x:v>159</x:v>
      </x:c>
      <x:c r="I184" s="9" t="n">
        <x:v>3</x:v>
      </x:c>
      <x:c r="J184" s="9" t="n">
        <x:v>2</x:v>
      </x:c>
      <x:c r="K184" s="9" t="n">
        <x:v>0</x:v>
      </x:c>
      <x:c r="L184" s="13" t="n">
        <x:f>SUMIFS('Payments'!$D$5:$D$3014,'Payments'!$B$5:$B$3014,A184)</x:f>
        <x:v>587.32</x:v>
      </x:c>
      <x:c r="M184" s="13" t="n">
        <x:f>G184-L184</x:f>
        <x:v>7011.76</x:v>
      </x:c>
      <x:c r="N184" s="9" t="str">
        <x:f>IF(H184=0,"0 Current",IF(H184&lt;=30,"1 1-30",IF(H184&lt;=60,"2 31-60",IF(H184&lt;=90,"3 61-90",IF(H184&lt;=120,"4 91-120","5 121+")))))</x:f>
        <x:v>5 121+</x:v>
      </x:c>
      <x:c r="O184" s="9" t="n">
        <x:f>IF(J184&gt;0,1,0)</x:f>
        <x:v>1</x:v>
      </x:c>
    </x:row>
    <x:row r="185">
      <x:c r="A185" s="15" t="str">
        <x:v>181</x:v>
      </x:c>
      <x:c r="B185" s="9" t="str">
        <x:v>Riley</x:v>
      </x:c>
      <x:c r="C185" s="9" t="str">
        <x:v>Medical</x:v>
      </x:c>
      <x:c r="D185" s="9" t="str">
        <x:v>West</x:v>
      </x:c>
      <x:c r="E185" s="9" t="n">
        <x:v>548</x:v>
      </x:c>
      <x:c r="F185" s="11" t="n">
        <x:v>46036</x:v>
      </x:c>
      <x:c r="G185" s="13" t="n">
        <x:v>10694.18</x:v>
      </x:c>
      <x:c r="H185" s="9" t="n">
        <x:v>222</x:v>
      </x:c>
      <x:c r="I185" s="9" t="n">
        <x:v>7</x:v>
      </x:c>
      <x:c r="J185" s="9" t="n">
        <x:v>3</x:v>
      </x:c>
      <x:c r="K185" s="9" t="n">
        <x:v>0</x:v>
      </x:c>
      <x:c r="L185" s="13" t="n">
        <x:f>SUMIFS('Payments'!$D$5:$D$3014,'Payments'!$B$5:$B$3014,A185)</x:f>
        <x:v>347.7</x:v>
      </x:c>
      <x:c r="M185" s="13" t="n">
        <x:f>G185-L185</x:f>
        <x:v>10346.48</x:v>
      </x:c>
      <x:c r="N185" s="9" t="str">
        <x:f>IF(H185=0,"0 Current",IF(H185&lt;=30,"1 1-30",IF(H185&lt;=60,"2 31-60",IF(H185&lt;=90,"3 61-90",IF(H185&lt;=120,"4 91-120","5 121+")))))</x:f>
        <x:v>5 121+</x:v>
      </x:c>
      <x:c r="O185" s="9" t="n">
        <x:f>IF(J185&gt;0,1,0)</x:f>
        <x:v>1</x:v>
      </x:c>
    </x:row>
    <x:row r="186">
      <x:c r="A186" s="15" t="str">
        <x:v>182</x:v>
      </x:c>
      <x:c r="B186" s="9" t="str">
        <x:v>Jordan</x:v>
      </x:c>
      <x:c r="C186" s="9" t="str">
        <x:v>Medical</x:v>
      </x:c>
      <x:c r="D186" s="9" t="str">
        <x:v>Northeast</x:v>
      </x:c>
      <x:c r="E186" s="9" t="n">
        <x:v>467</x:v>
      </x:c>
      <x:c r="F186" s="11" t="n">
        <x:v>46157</x:v>
      </x:c>
      <x:c r="G186" s="13" t="n">
        <x:v>2323.76</x:v>
      </x:c>
      <x:c r="H186" s="9" t="n">
        <x:v>15</x:v>
      </x:c>
      <x:c r="I186" s="9" t="n">
        <x:v>0</x:v>
      </x:c>
      <x:c r="J186" s="9" t="n">
        <x:v>0</x:v>
      </x:c>
      <x:c r="K186" s="9" t="n">
        <x:v>0</x:v>
      </x:c>
      <x:c r="L186" s="13" t="n">
        <x:f>SUMIFS('Payments'!$D$5:$D$3014,'Payments'!$B$5:$B$3014,A186)</x:f>
        <x:v>288.25</x:v>
      </x:c>
      <x:c r="M186" s="13" t="n">
        <x:f>G186-L186</x:f>
        <x:v>2035.5100000000002</x:v>
      </x:c>
      <x:c r="N186" s="9" t="str">
        <x:f>IF(H186=0,"0 Current",IF(H186&lt;=30,"1 1-30",IF(H186&lt;=60,"2 31-60",IF(H186&lt;=90,"3 61-90",IF(H186&lt;=120,"4 91-120","5 121+")))))</x:f>
        <x:v>1 1-30</x:v>
      </x:c>
      <x:c r="O186" s="9" t="n">
        <x:f>IF(J186&gt;0,1,0)</x:f>
        <x:v>0</x:v>
      </x:c>
    </x:row>
    <x:row r="187">
      <x:c r="A187" s="15" t="str">
        <x:v>183</x:v>
      </x:c>
      <x:c r="B187" s="9" t="str">
        <x:v>Alex</x:v>
      </x:c>
      <x:c r="C187" s="9" t="str">
        <x:v>Auto</x:v>
      </x:c>
      <x:c r="D187" s="9" t="str">
        <x:v>West</x:v>
      </x:c>
      <x:c r="E187" s="9" t="n">
        <x:v>561</x:v>
      </x:c>
      <x:c r="F187" s="11" t="n">
        <x:v>46142</x:v>
      </x:c>
      <x:c r="G187" s="13" t="n">
        <x:v>849.56</x:v>
      </x:c>
      <x:c r="H187" s="9" t="n">
        <x:v>169</x:v>
      </x:c>
      <x:c r="I187" s="9" t="n">
        <x:v>4</x:v>
      </x:c>
      <x:c r="J187" s="9" t="n">
        <x:v>1</x:v>
      </x:c>
      <x:c r="K187" s="9" t="n">
        <x:v>0</x:v>
      </x:c>
      <x:c r="L187" s="13" t="n">
        <x:f>SUMIFS('Payments'!$D$5:$D$3014,'Payments'!$B$5:$B$3014,A187)</x:f>
        <x:v>96.68</x:v>
      </x:c>
      <x:c r="M187" s="13" t="n">
        <x:f>G187-L187</x:f>
        <x:v>752.8799999999999</x:v>
      </x:c>
      <x:c r="N187" s="9" t="str">
        <x:f>IF(H187=0,"0 Current",IF(H187&lt;=30,"1 1-30",IF(H187&lt;=60,"2 31-60",IF(H187&lt;=90,"3 61-90",IF(H187&lt;=120,"4 91-120","5 121+")))))</x:f>
        <x:v>5 121+</x:v>
      </x:c>
      <x:c r="O187" s="9" t="n">
        <x:f>IF(J187&gt;0,1,0)</x:f>
        <x:v>1</x:v>
      </x:c>
    </x:row>
    <x:row r="188">
      <x:c r="A188" s="15" t="str">
        <x:v>184</x:v>
      </x:c>
      <x:c r="B188" s="9" t="str">
        <x:v>Riley</x:v>
      </x:c>
      <x:c r="C188" s="9" t="str">
        <x:v>Credit Card</x:v>
      </x:c>
      <x:c r="D188" s="9" t="str">
        <x:v>Northeast</x:v>
      </x:c>
      <x:c r="E188" s="9" t="n">
        <x:v>421</x:v>
      </x:c>
      <x:c r="F188" s="11" t="n">
        <x:v>46103</x:v>
      </x:c>
      <x:c r="G188" s="13" t="n">
        <x:v>20828.2</x:v>
      </x:c>
      <x:c r="H188" s="9" t="n">
        <x:v>47</x:v>
      </x:c>
      <x:c r="I188" s="9" t="n">
        <x:v>8</x:v>
      </x:c>
      <x:c r="J188" s="9" t="n">
        <x:v>2</x:v>
      </x:c>
      <x:c r="K188" s="9" t="n">
        <x:v>1</x:v>
      </x:c>
      <x:c r="L188" s="13" t="n">
        <x:f>SUMIFS('Payments'!$D$5:$D$3014,'Payments'!$B$5:$B$3014,A188)</x:f>
        <x:v>1322.42</x:v>
      </x:c>
      <x:c r="M188" s="13" t="n">
        <x:f>G188-L188</x:f>
        <x:v>19505.78</x:v>
      </x:c>
      <x:c r="N188" s="9" t="str">
        <x:f>IF(H188=0,"0 Current",IF(H188&lt;=30,"1 1-30",IF(H188&lt;=60,"2 31-60",IF(H188&lt;=90,"3 61-90",IF(H188&lt;=120,"4 91-120","5 121+")))))</x:f>
        <x:v>2 31-60</x:v>
      </x:c>
      <x:c r="O188" s="9" t="n">
        <x:f>IF(J188&gt;0,1,0)</x:f>
        <x:v>1</x:v>
      </x:c>
    </x:row>
    <x:row r="189">
      <x:c r="A189" s="15" t="str">
        <x:v>185</x:v>
      </x:c>
      <x:c r="B189" s="9" t="str">
        <x:v>Morgan</x:v>
      </x:c>
      <x:c r="C189" s="9" t="str">
        <x:v>Credit Card</x:v>
      </x:c>
      <x:c r="D189" s="9" t="str">
        <x:v>Midwest</x:v>
      </x:c>
      <x:c r="E189" s="9" t="n">
        <x:v>814</x:v>
      </x:c>
      <x:c r="F189" s="11" t="n">
        <x:v>46038</x:v>
      </x:c>
      <x:c r="G189" s="13" t="n">
        <x:v>11307.85</x:v>
      </x:c>
      <x:c r="H189" s="9" t="n">
        <x:v>142</x:v>
      </x:c>
      <x:c r="I189" s="9" t="n">
        <x:v>2</x:v>
      </x:c>
      <x:c r="J189" s="9" t="n">
        <x:v>2</x:v>
      </x:c>
      <x:c r="K189" s="9" t="n">
        <x:v>1</x:v>
      </x:c>
      <x:c r="L189" s="13" t="n">
        <x:f>SUMIFS('Payments'!$D$5:$D$3014,'Payments'!$B$5:$B$3014,A189)</x:f>
        <x:v>1507.3200000000002</x:v>
      </x:c>
      <x:c r="M189" s="13" t="n">
        <x:f>G189-L189</x:f>
        <x:v>9800.53</x:v>
      </x:c>
      <x:c r="N189" s="9" t="str">
        <x:f>IF(H189=0,"0 Current",IF(H189&lt;=30,"1 1-30",IF(H189&lt;=60,"2 31-60",IF(H189&lt;=90,"3 61-90",IF(H189&lt;=120,"4 91-120","5 121+")))))</x:f>
        <x:v>5 121+</x:v>
      </x:c>
      <x:c r="O189" s="9" t="n">
        <x:f>IF(J189&gt;0,1,0)</x:f>
        <x:v>1</x:v>
      </x:c>
    </x:row>
    <x:row r="190">
      <x:c r="A190" s="15" t="str">
        <x:v>186</x:v>
      </x:c>
      <x:c r="B190" s="9" t="str">
        <x:v>Casey</x:v>
      </x:c>
      <x:c r="C190" s="9" t="str">
        <x:v>Medical</x:v>
      </x:c>
      <x:c r="D190" s="9" t="str">
        <x:v>South</x:v>
      </x:c>
      <x:c r="E190" s="9" t="n">
        <x:v>746</x:v>
      </x:c>
      <x:c r="F190" s="11" t="n">
        <x:v>46081</x:v>
      </x:c>
      <x:c r="G190" s="13" t="n">
        <x:v>18004.22</x:v>
      </x:c>
      <x:c r="H190" s="9" t="n">
        <x:v>109</x:v>
      </x:c>
      <x:c r="I190" s="9" t="n">
        <x:v>2</x:v>
      </x:c>
      <x:c r="J190" s="9" t="n">
        <x:v>1</x:v>
      </x:c>
      <x:c r="K190" s="9" t="n">
        <x:v>0</x:v>
      </x:c>
      <x:c r="L190" s="13" t="n">
        <x:f>SUMIFS('Payments'!$D$5:$D$3014,'Payments'!$B$5:$B$3014,A190)</x:f>
        <x:v>2784.4</x:v>
      </x:c>
      <x:c r="M190" s="13" t="n">
        <x:f>G190-L190</x:f>
        <x:v>15219.820000000002</x:v>
      </x:c>
      <x:c r="N190" s="9" t="str">
        <x:f>IF(H190=0,"0 Current",IF(H190&lt;=30,"1 1-30",IF(H190&lt;=60,"2 31-60",IF(H190&lt;=90,"3 61-90",IF(H190&lt;=120,"4 91-120","5 121+")))))</x:f>
        <x:v>4 91-120</x:v>
      </x:c>
      <x:c r="O190" s="9" t="n">
        <x:f>IF(J190&gt;0,1,0)</x:f>
        <x:v>1</x:v>
      </x:c>
    </x:row>
    <x:row r="191">
      <x:c r="A191" s="15" t="str">
        <x:v>187</x:v>
      </x:c>
      <x:c r="B191" s="9" t="str">
        <x:v>Jordan</x:v>
      </x:c>
      <x:c r="C191" s="9" t="str">
        <x:v>Medical</x:v>
      </x:c>
      <x:c r="D191" s="9" t="str">
        <x:v>Midwest</x:v>
      </x:c>
      <x:c r="E191" s="9" t="n">
        <x:v>502</x:v>
      </x:c>
      <x:c r="F191" s="11" t="n">
        <x:v>46074</x:v>
      </x:c>
      <x:c r="G191" s="13" t="n">
        <x:v>6292.73</x:v>
      </x:c>
      <x:c r="H191" s="9" t="n">
        <x:v>110</x:v>
      </x:c>
      <x:c r="I191" s="9" t="n">
        <x:v>5</x:v>
      </x:c>
      <x:c r="J191" s="9" t="n">
        <x:v>3</x:v>
      </x:c>
      <x:c r="K191" s="9" t="n">
        <x:v>1</x:v>
      </x:c>
      <x:c r="L191" s="13" t="n">
        <x:f>SUMIFS('Payments'!$D$5:$D$3014,'Payments'!$B$5:$B$3014,A191)</x:f>
        <x:v>750.35</x:v>
      </x:c>
      <x:c r="M191" s="13" t="n">
        <x:f>G191-L191</x:f>
        <x:v>5542.379999999999</x:v>
      </x:c>
      <x:c r="N191" s="9" t="str">
        <x:f>IF(H191=0,"0 Current",IF(H191&lt;=30,"1 1-30",IF(H191&lt;=60,"2 31-60",IF(H191&lt;=90,"3 61-90",IF(H191&lt;=120,"4 91-120","5 121+")))))</x:f>
        <x:v>4 91-120</x:v>
      </x:c>
      <x:c r="O191" s="9" t="n">
        <x:f>IF(J191&gt;0,1,0)</x:f>
        <x:v>1</x:v>
      </x:c>
    </x:row>
    <x:row r="192">
      <x:c r="A192" s="15" t="str">
        <x:v>188</x:v>
      </x:c>
      <x:c r="B192" s="9" t="str">
        <x:v>Taylor</x:v>
      </x:c>
      <x:c r="C192" s="9" t="str">
        <x:v>Personal Loan</x:v>
      </x:c>
      <x:c r="D192" s="9" t="str">
        <x:v>West</x:v>
      </x:c>
      <x:c r="E192" s="9" t="n">
        <x:v>702</x:v>
      </x:c>
      <x:c r="F192" s="11" t="n">
        <x:v>46100</x:v>
      </x:c>
      <x:c r="G192" s="13" t="n">
        <x:v>19080.95</x:v>
      </x:c>
      <x:c r="H192" s="9" t="n">
        <x:v>38</x:v>
      </x:c>
      <x:c r="I192" s="9" t="n">
        <x:v>2</x:v>
      </x:c>
      <x:c r="J192" s="9" t="n">
        <x:v>2</x:v>
      </x:c>
      <x:c r="K192" s="9" t="n">
        <x:v>0</x:v>
      </x:c>
      <x:c r="L192" s="13" t="n">
        <x:f>SUMIFS('Payments'!$D$5:$D$3014,'Payments'!$B$5:$B$3014,A192)</x:f>
        <x:v>289.89</x:v>
      </x:c>
      <x:c r="M192" s="13" t="n">
        <x:f>G192-L192</x:f>
        <x:v>18791.06</x:v>
      </x:c>
      <x:c r="N192" s="9" t="str">
        <x:f>IF(H192=0,"0 Current",IF(H192&lt;=30,"1 1-30",IF(H192&lt;=60,"2 31-60",IF(H192&lt;=90,"3 61-90",IF(H192&lt;=120,"4 91-120","5 121+")))))</x:f>
        <x:v>2 31-60</x:v>
      </x:c>
      <x:c r="O192" s="9" t="n">
        <x:f>IF(J192&gt;0,1,0)</x:f>
        <x:v>1</x:v>
      </x:c>
    </x:row>
    <x:row r="193">
      <x:c r="A193" s="15" t="str">
        <x:v>189</x:v>
      </x:c>
      <x:c r="B193" s="9" t="str">
        <x:v>Riley</x:v>
      </x:c>
      <x:c r="C193" s="9" t="str">
        <x:v>Medical</x:v>
      </x:c>
      <x:c r="D193" s="9" t="str">
        <x:v>West</x:v>
      </x:c>
      <x:c r="E193" s="9" t="n">
        <x:v>707</x:v>
      </x:c>
      <x:c r="F193" s="11" t="n">
        <x:v>46168</x:v>
      </x:c>
      <x:c r="G193" s="13" t="n">
        <x:v>10185.12</x:v>
      </x:c>
      <x:c r="H193" s="9" t="n">
        <x:v>59</x:v>
      </x:c>
      <x:c r="I193" s="9" t="n">
        <x:v>5</x:v>
      </x:c>
      <x:c r="J193" s="9" t="n">
        <x:v>2</x:v>
      </x:c>
      <x:c r="K193" s="9" t="n">
        <x:v>0</x:v>
      </x:c>
      <x:c r="L193" s="13" t="n">
        <x:f>SUMIFS('Payments'!$D$5:$D$3014,'Payments'!$B$5:$B$3014,A193)</x:f>
        <x:v>0</x:v>
      </x:c>
      <x:c r="M193" s="13" t="n">
        <x:f>G193-L193</x:f>
        <x:v>10185.12</x:v>
      </x:c>
      <x:c r="N193" s="9" t="str">
        <x:f>IF(H193=0,"0 Current",IF(H193&lt;=30,"1 1-30",IF(H193&lt;=60,"2 31-60",IF(H193&lt;=90,"3 61-90",IF(H193&lt;=120,"4 91-120","5 121+")))))</x:f>
        <x:v>2 31-60</x:v>
      </x:c>
      <x:c r="O193" s="9" t="n">
        <x:f>IF(J193&gt;0,1,0)</x:f>
        <x:v>1</x:v>
      </x:c>
    </x:row>
    <x:row r="194">
      <x:c r="A194" s="15" t="str">
        <x:v>190</x:v>
      </x:c>
      <x:c r="B194" s="9" t="str">
        <x:v>Casey</x:v>
      </x:c>
      <x:c r="C194" s="9" t="str">
        <x:v>Medical</x:v>
      </x:c>
      <x:c r="D194" s="9" t="str">
        <x:v>Northeast</x:v>
      </x:c>
      <x:c r="E194" s="9" t="n">
        <x:v>477</x:v>
      </x:c>
      <x:c r="F194" s="11" t="n">
        <x:v>46058</x:v>
      </x:c>
      <x:c r="G194" s="13" t="n">
        <x:v>7369.69</x:v>
      </x:c>
      <x:c r="H194" s="9" t="n">
        <x:v>8</x:v>
      </x:c>
      <x:c r="I194" s="9" t="n">
        <x:v>3</x:v>
      </x:c>
      <x:c r="J194" s="9" t="n">
        <x:v>2</x:v>
      </x:c>
      <x:c r="K194" s="9" t="n">
        <x:v>0</x:v>
      </x:c>
      <x:c r="L194" s="13" t="n">
        <x:f>SUMIFS('Payments'!$D$5:$D$3014,'Payments'!$B$5:$B$3014,A194)</x:f>
        <x:v>1470.98</x:v>
      </x:c>
      <x:c r="M194" s="13" t="n">
        <x:f>G194-L194</x:f>
        <x:v>5898.709999999999</x:v>
      </x:c>
      <x:c r="N194" s="9" t="str">
        <x:f>IF(H194=0,"0 Current",IF(H194&lt;=30,"1 1-30",IF(H194&lt;=60,"2 31-60",IF(H194&lt;=90,"3 61-90",IF(H194&lt;=120,"4 91-120","5 121+")))))</x:f>
        <x:v>1 1-30</x:v>
      </x:c>
      <x:c r="O194" s="9" t="n">
        <x:f>IF(J194&gt;0,1,0)</x:f>
        <x:v>1</x:v>
      </x:c>
    </x:row>
    <x:row r="195">
      <x:c r="A195" s="15" t="str">
        <x:v>191</x:v>
      </x:c>
      <x:c r="B195" s="9" t="str">
        <x:v>Morgan</x:v>
      </x:c>
      <x:c r="C195" s="9" t="str">
        <x:v>Auto</x:v>
      </x:c>
      <x:c r="D195" s="9" t="str">
        <x:v>Northeast</x:v>
      </x:c>
      <x:c r="E195" s="9" t="n">
        <x:v>773</x:v>
      </x:c>
      <x:c r="F195" s="11" t="n">
        <x:v>46140</x:v>
      </x:c>
      <x:c r="G195" s="13" t="n">
        <x:v>10850.86</x:v>
      </x:c>
      <x:c r="H195" s="9" t="n">
        <x:v>198</x:v>
      </x:c>
      <x:c r="I195" s="9" t="n">
        <x:v>6</x:v>
      </x:c>
      <x:c r="J195" s="9" t="n">
        <x:v>2</x:v>
      </x:c>
      <x:c r="K195" s="9" t="n">
        <x:v>1</x:v>
      </x:c>
      <x:c r="L195" s="13" t="n">
        <x:f>SUMIFS('Payments'!$D$5:$D$3014,'Payments'!$B$5:$B$3014,A195)</x:f>
        <x:v>0</x:v>
      </x:c>
      <x:c r="M195" s="13" t="n">
        <x:f>G195-L195</x:f>
        <x:v>10850.86</x:v>
      </x:c>
      <x:c r="N195" s="9" t="str">
        <x:f>IF(H195=0,"0 Current",IF(H195&lt;=30,"1 1-30",IF(H195&lt;=60,"2 31-60",IF(H195&lt;=90,"3 61-90",IF(H195&lt;=120,"4 91-120","5 121+")))))</x:f>
        <x:v>5 121+</x:v>
      </x:c>
      <x:c r="O195" s="9" t="n">
        <x:f>IF(J195&gt;0,1,0)</x:f>
        <x:v>1</x:v>
      </x:c>
    </x:row>
    <x:row r="196">
      <x:c r="A196" s="15" t="str">
        <x:v>192</x:v>
      </x:c>
      <x:c r="B196" s="9" t="str">
        <x:v>Morgan</x:v>
      </x:c>
      <x:c r="C196" s="9" t="str">
        <x:v>Credit Card</x:v>
      </x:c>
      <x:c r="D196" s="9" t="str">
        <x:v>South</x:v>
      </x:c>
      <x:c r="E196" s="9" t="n">
        <x:v>699</x:v>
      </x:c>
      <x:c r="F196" s="11" t="n">
        <x:v>46033</x:v>
      </x:c>
      <x:c r="G196" s="13" t="n">
        <x:v>23891.67</x:v>
      </x:c>
      <x:c r="H196" s="9" t="n">
        <x:v>48</x:v>
      </x:c>
      <x:c r="I196" s="9" t="n">
        <x:v>7</x:v>
      </x:c>
      <x:c r="J196" s="9" t="n">
        <x:v>4</x:v>
      </x:c>
      <x:c r="K196" s="9" t="n">
        <x:v>1</x:v>
      </x:c>
      <x:c r="L196" s="13" t="n">
        <x:f>SUMIFS('Payments'!$D$5:$D$3014,'Payments'!$B$5:$B$3014,A196)</x:f>
        <x:v>3921.26</x:v>
      </x:c>
      <x:c r="M196" s="13" t="n">
        <x:f>G196-L196</x:f>
        <x:v>19970.409999999996</x:v>
      </x:c>
      <x:c r="N196" s="9" t="str">
        <x:f>IF(H196=0,"0 Current",IF(H196&lt;=30,"1 1-30",IF(H196&lt;=60,"2 31-60",IF(H196&lt;=90,"3 61-90",IF(H196&lt;=120,"4 91-120","5 121+")))))</x:f>
        <x:v>2 31-60</x:v>
      </x:c>
      <x:c r="O196" s="9" t="n">
        <x:f>IF(J196&gt;0,1,0)</x:f>
        <x:v>1</x:v>
      </x:c>
    </x:row>
    <x:row r="197">
      <x:c r="A197" s="15" t="str">
        <x:v>193</x:v>
      </x:c>
      <x:c r="B197" s="9" t="str">
        <x:v>Morgan</x:v>
      </x:c>
      <x:c r="C197" s="9" t="str">
        <x:v>Auto</x:v>
      </x:c>
      <x:c r="D197" s="9" t="str">
        <x:v>Northeast</x:v>
      </x:c>
      <x:c r="E197" s="9" t="n">
        <x:v>609</x:v>
      </x:c>
      <x:c r="F197" s="11" t="n">
        <x:v>46162</x:v>
      </x:c>
      <x:c r="G197" s="13" t="n">
        <x:v>6175.17</x:v>
      </x:c>
      <x:c r="H197" s="9" t="n">
        <x:v>82</x:v>
      </x:c>
      <x:c r="I197" s="9" t="n">
        <x:v>1</x:v>
      </x:c>
      <x:c r="J197" s="9" t="n">
        <x:v>0</x:v>
      </x:c>
      <x:c r="K197" s="9" t="n">
        <x:v>0</x:v>
      </x:c>
      <x:c r="L197" s="13" t="n">
        <x:f>SUMIFS('Payments'!$D$5:$D$3014,'Payments'!$B$5:$B$3014,A197)</x:f>
        <x:v>921.96</x:v>
      </x:c>
      <x:c r="M197" s="13" t="n">
        <x:f>G197-L197</x:f>
        <x:v>5253.21</x:v>
      </x:c>
      <x:c r="N197" s="9" t="str">
        <x:f>IF(H197=0,"0 Current",IF(H197&lt;=30,"1 1-30",IF(H197&lt;=60,"2 31-60",IF(H197&lt;=90,"3 61-90",IF(H197&lt;=120,"4 91-120","5 121+")))))</x:f>
        <x:v>3 61-90</x:v>
      </x:c>
      <x:c r="O197" s="9" t="n">
        <x:f>IF(J197&gt;0,1,0)</x:f>
        <x:v>0</x:v>
      </x:c>
    </x:row>
    <x:row r="198">
      <x:c r="A198" s="15" t="str">
        <x:v>194</x:v>
      </x:c>
      <x:c r="B198" s="9" t="str">
        <x:v>Alex</x:v>
      </x:c>
      <x:c r="C198" s="9" t="str">
        <x:v>Credit Card</x:v>
      </x:c>
      <x:c r="D198" s="9" t="str">
        <x:v>South</x:v>
      </x:c>
      <x:c r="E198" s="9" t="n">
        <x:v>640</x:v>
      </x:c>
      <x:c r="F198" s="11" t="n">
        <x:v>46064</x:v>
      </x:c>
      <x:c r="G198" s="13" t="n">
        <x:v>5681.82</x:v>
      </x:c>
      <x:c r="H198" s="9" t="n">
        <x:v>180</x:v>
      </x:c>
      <x:c r="I198" s="9" t="n">
        <x:v>6</x:v>
      </x:c>
      <x:c r="J198" s="9" t="n">
        <x:v>2</x:v>
      </x:c>
      <x:c r="K198" s="9" t="n">
        <x:v>1</x:v>
      </x:c>
      <x:c r="L198" s="13" t="n">
        <x:f>SUMIFS('Payments'!$D$5:$D$3014,'Payments'!$B$5:$B$3014,A198)</x:f>
        <x:v>1862.9299999999998</x:v>
      </x:c>
      <x:c r="M198" s="13" t="n">
        <x:f>G198-L198</x:f>
        <x:v>3818.89</x:v>
      </x:c>
      <x:c r="N198" s="9" t="str">
        <x:f>IF(H198=0,"0 Current",IF(H198&lt;=30,"1 1-30",IF(H198&lt;=60,"2 31-60",IF(H198&lt;=90,"3 61-90",IF(H198&lt;=120,"4 91-120","5 121+")))))</x:f>
        <x:v>5 121+</x:v>
      </x:c>
      <x:c r="O198" s="9" t="n">
        <x:f>IF(J198&gt;0,1,0)</x:f>
        <x:v>1</x:v>
      </x:c>
    </x:row>
    <x:row r="199">
      <x:c r="A199" s="15" t="str">
        <x:v>195</x:v>
      </x:c>
      <x:c r="B199" s="9" t="str">
        <x:v>Taylor</x:v>
      </x:c>
      <x:c r="C199" s="9" t="str">
        <x:v>Medical</x:v>
      </x:c>
      <x:c r="D199" s="9" t="str">
        <x:v>South</x:v>
      </x:c>
      <x:c r="E199" s="9" t="n">
        <x:v>441</x:v>
      </x:c>
      <x:c r="F199" s="11" t="n">
        <x:v>46137</x:v>
      </x:c>
      <x:c r="G199" s="13" t="n">
        <x:v>12612.33</x:v>
      </x:c>
      <x:c r="H199" s="9" t="n">
        <x:v>30</x:v>
      </x:c>
      <x:c r="I199" s="9" t="n">
        <x:v>4</x:v>
      </x:c>
      <x:c r="J199" s="9" t="n">
        <x:v>1</x:v>
      </x:c>
      <x:c r="K199" s="9" t="n">
        <x:v>0</x:v>
      </x:c>
      <x:c r="L199" s="13" t="n">
        <x:f>SUMIFS('Payments'!$D$5:$D$3014,'Payments'!$B$5:$B$3014,A199)</x:f>
        <x:v>541.76</x:v>
      </x:c>
      <x:c r="M199" s="13" t="n">
        <x:f>G199-L199</x:f>
        <x:v>12070.57</x:v>
      </x:c>
      <x:c r="N199" s="9" t="str">
        <x:f>IF(H199=0,"0 Current",IF(H199&lt;=30,"1 1-30",IF(H199&lt;=60,"2 31-60",IF(H199&lt;=90,"3 61-90",IF(H199&lt;=120,"4 91-120","5 121+")))))</x:f>
        <x:v>1 1-30</x:v>
      </x:c>
      <x:c r="O199" s="9" t="n">
        <x:f>IF(J199&gt;0,1,0)</x:f>
        <x:v>1</x:v>
      </x:c>
    </x:row>
    <x:row r="200">
      <x:c r="A200" s="15" t="str">
        <x:v>196</x:v>
      </x:c>
      <x:c r="B200" s="9" t="str">
        <x:v>Morgan</x:v>
      </x:c>
      <x:c r="C200" s="9" t="str">
        <x:v>Auto</x:v>
      </x:c>
      <x:c r="D200" s="9" t="str">
        <x:v>Midwest</x:v>
      </x:c>
      <x:c r="E200" s="9" t="n">
        <x:v>606</x:v>
      </x:c>
      <x:c r="F200" s="11" t="n">
        <x:v>46144</x:v>
      </x:c>
      <x:c r="G200" s="13" t="n">
        <x:v>19531.17</x:v>
      </x:c>
      <x:c r="H200" s="9" t="n">
        <x:v>20</x:v>
      </x:c>
      <x:c r="I200" s="9" t="n">
        <x:v>8</x:v>
      </x:c>
      <x:c r="J200" s="9" t="n">
        <x:v>5</x:v>
      </x:c>
      <x:c r="K200" s="9" t="n">
        <x:v>1</x:v>
      </x:c>
      <x:c r="L200" s="13" t="n">
        <x:f>SUMIFS('Payments'!$D$5:$D$3014,'Payments'!$B$5:$B$3014,A200)</x:f>
        <x:v>5314.12</x:v>
      </x:c>
      <x:c r="M200" s="13" t="n">
        <x:f>G200-L200</x:f>
        <x:v>14217.05</x:v>
      </x:c>
      <x:c r="N200" s="9" t="str">
        <x:f>IF(H200=0,"0 Current",IF(H200&lt;=30,"1 1-30",IF(H200&lt;=60,"2 31-60",IF(H200&lt;=90,"3 61-90",IF(H200&lt;=120,"4 91-120","5 121+")))))</x:f>
        <x:v>1 1-30</x:v>
      </x:c>
      <x:c r="O200" s="9" t="n">
        <x:f>IF(J200&gt;0,1,0)</x:f>
        <x:v>1</x:v>
      </x:c>
    </x:row>
    <x:row r="201">
      <x:c r="A201" s="15" t="str">
        <x:v>197</x:v>
      </x:c>
      <x:c r="B201" s="9" t="str">
        <x:v>Taylor</x:v>
      </x:c>
      <x:c r="C201" s="9" t="str">
        <x:v>Personal Loan</x:v>
      </x:c>
      <x:c r="D201" s="9" t="str">
        <x:v>Northeast</x:v>
      </x:c>
      <x:c r="E201" s="9" t="n">
        <x:v>603</x:v>
      </x:c>
      <x:c r="F201" s="11" t="n">
        <x:v>46068</x:v>
      </x:c>
      <x:c r="G201" s="13" t="n">
        <x:v>7266.88</x:v>
      </x:c>
      <x:c r="H201" s="9" t="n">
        <x:v>156</x:v>
      </x:c>
      <x:c r="I201" s="9" t="n">
        <x:v>5</x:v>
      </x:c>
      <x:c r="J201" s="9" t="n">
        <x:v>2</x:v>
      </x:c>
      <x:c r="K201" s="9" t="n">
        <x:v>0</x:v>
      </x:c>
      <x:c r="L201" s="13" t="n">
        <x:f>SUMIFS('Payments'!$D$5:$D$3014,'Payments'!$B$5:$B$3014,A201)</x:f>
        <x:v>1826.18</x:v>
      </x:c>
      <x:c r="M201" s="13" t="n">
        <x:f>G201-L201</x:f>
        <x:v>5440.7</x:v>
      </x:c>
      <x:c r="N201" s="9" t="str">
        <x:f>IF(H201=0,"0 Current",IF(H201&lt;=30,"1 1-30",IF(H201&lt;=60,"2 31-60",IF(H201&lt;=90,"3 61-90",IF(H201&lt;=120,"4 91-120","5 121+")))))</x:f>
        <x:v>5 121+</x:v>
      </x:c>
      <x:c r="O201" s="9" t="n">
        <x:f>IF(J201&gt;0,1,0)</x:f>
        <x:v>1</x:v>
      </x:c>
    </x:row>
    <x:row r="202">
      <x:c r="A202" s="15" t="str">
        <x:v>198</x:v>
      </x:c>
      <x:c r="B202" s="9" t="str">
        <x:v>Casey</x:v>
      </x:c>
      <x:c r="C202" s="9" t="str">
        <x:v>Medical</x:v>
      </x:c>
      <x:c r="D202" s="9" t="str">
        <x:v>South</x:v>
      </x:c>
      <x:c r="E202" s="9" t="n">
        <x:v>769</x:v>
      </x:c>
      <x:c r="F202" s="11" t="n">
        <x:v>46128</x:v>
      </x:c>
      <x:c r="G202" s="13" t="n">
        <x:v>22505.25</x:v>
      </x:c>
      <x:c r="H202" s="9" t="n">
        <x:v>156</x:v>
      </x:c>
      <x:c r="I202" s="9" t="n">
        <x:v>1</x:v>
      </x:c>
      <x:c r="J202" s="9" t="n">
        <x:v>1</x:v>
      </x:c>
      <x:c r="K202" s="9" t="n">
        <x:v>0</x:v>
      </x:c>
      <x:c r="L202" s="13" t="n">
        <x:f>SUMIFS('Payments'!$D$5:$D$3014,'Payments'!$B$5:$B$3014,A202)</x:f>
        <x:v>0</x:v>
      </x:c>
      <x:c r="M202" s="13" t="n">
        <x:f>G202-L202</x:f>
        <x:v>22505.25</x:v>
      </x:c>
      <x:c r="N202" s="9" t="str">
        <x:f>IF(H202=0,"0 Current",IF(H202&lt;=30,"1 1-30",IF(H202&lt;=60,"2 31-60",IF(H202&lt;=90,"3 61-90",IF(H202&lt;=120,"4 91-120","5 121+")))))</x:f>
        <x:v>5 121+</x:v>
      </x:c>
      <x:c r="O202" s="9" t="n">
        <x:f>IF(J202&gt;0,1,0)</x:f>
        <x:v>1</x:v>
      </x:c>
    </x:row>
    <x:row r="203">
      <x:c r="A203" s="15" t="str">
        <x:v>199</x:v>
      </x:c>
      <x:c r="B203" s="9" t="str">
        <x:v>Morgan</x:v>
      </x:c>
      <x:c r="C203" s="9" t="str">
        <x:v>Personal Loan</x:v>
      </x:c>
      <x:c r="D203" s="9" t="str">
        <x:v>South</x:v>
      </x:c>
      <x:c r="E203" s="9" t="n">
        <x:v>761</x:v>
      </x:c>
      <x:c r="F203" s="11" t="n">
        <x:v>46158</x:v>
      </x:c>
      <x:c r="G203" s="13" t="n">
        <x:v>4177.13</x:v>
      </x:c>
      <x:c r="H203" s="9" t="n">
        <x:v>109</x:v>
      </x:c>
      <x:c r="I203" s="9" t="n">
        <x:v>7</x:v>
      </x:c>
      <x:c r="J203" s="9" t="n">
        <x:v>4</x:v>
      </x:c>
      <x:c r="K203" s="9" t="n">
        <x:v>0</x:v>
      </x:c>
      <x:c r="L203" s="13" t="n">
        <x:f>SUMIFS('Payments'!$D$5:$D$3014,'Payments'!$B$5:$B$3014,A203)</x:f>
        <x:v>1085.17</x:v>
      </x:c>
      <x:c r="M203" s="13" t="n">
        <x:f>G203-L203</x:f>
        <x:v>3091.96</x:v>
      </x:c>
      <x:c r="N203" s="9" t="str">
        <x:f>IF(H203=0,"0 Current",IF(H203&lt;=30,"1 1-30",IF(H203&lt;=60,"2 31-60",IF(H203&lt;=90,"3 61-90",IF(H203&lt;=120,"4 91-120","5 121+")))))</x:f>
        <x:v>4 91-120</x:v>
      </x:c>
      <x:c r="O203" s="9" t="n">
        <x:f>IF(J203&gt;0,1,0)</x:f>
        <x:v>1</x:v>
      </x:c>
    </x:row>
    <x:row r="204">
      <x:c r="A204" s="15" t="str">
        <x:v>200</x:v>
      </x:c>
      <x:c r="B204" s="9" t="str">
        <x:v>Morgan</x:v>
      </x:c>
      <x:c r="C204" s="9" t="str">
        <x:v>Credit Card</x:v>
      </x:c>
      <x:c r="D204" s="9" t="str">
        <x:v>Northeast</x:v>
      </x:c>
      <x:c r="E204" s="9" t="n">
        <x:v>601</x:v>
      </x:c>
      <x:c r="F204" s="11" t="n">
        <x:v>46076</x:v>
      </x:c>
      <x:c r="G204" s="13" t="n">
        <x:v>17890.93</x:v>
      </x:c>
      <x:c r="H204" s="9" t="n">
        <x:v>85</x:v>
      </x:c>
      <x:c r="I204" s="9" t="n">
        <x:v>4</x:v>
      </x:c>
      <x:c r="J204" s="9" t="n">
        <x:v>3</x:v>
      </x:c>
      <x:c r="K204" s="9" t="n">
        <x:v>0</x:v>
      </x:c>
      <x:c r="L204" s="13" t="n">
        <x:f>SUMIFS('Payments'!$D$5:$D$3014,'Payments'!$B$5:$B$3014,A204)</x:f>
        <x:v>1518.6999999999998</x:v>
      </x:c>
      <x:c r="M204" s="13" t="n">
        <x:f>G204-L204</x:f>
        <x:v>16372.23</x:v>
      </x:c>
      <x:c r="N204" s="9" t="str">
        <x:f>IF(H204=0,"0 Current",IF(H204&lt;=30,"1 1-30",IF(H204&lt;=60,"2 31-60",IF(H204&lt;=90,"3 61-90",IF(H204&lt;=120,"4 91-120","5 121+")))))</x:f>
        <x:v>3 61-90</x:v>
      </x:c>
      <x:c r="O204" s="9" t="n">
        <x:f>IF(J204&gt;0,1,0)</x:f>
        <x:v>1</x:v>
      </x:c>
    </x:row>
    <x:row r="205">
      <x:c r="A205" s="15" t="str">
        <x:v>201</x:v>
      </x:c>
      <x:c r="B205" s="9" t="str">
        <x:v>Taylor</x:v>
      </x:c>
      <x:c r="C205" s="9" t="str">
        <x:v>Credit Card</x:v>
      </x:c>
      <x:c r="D205" s="9" t="str">
        <x:v>West</x:v>
      </x:c>
      <x:c r="E205" s="9" t="n">
        <x:v>737</x:v>
      </x:c>
      <x:c r="F205" s="11" t="n">
        <x:v>46110</x:v>
      </x:c>
      <x:c r="G205" s="13" t="n">
        <x:v>17111.51</x:v>
      </x:c>
      <x:c r="H205" s="9" t="n">
        <x:v>213</x:v>
      </x:c>
      <x:c r="I205" s="9" t="n">
        <x:v>5</x:v>
      </x:c>
      <x:c r="J205" s="9" t="n">
        <x:v>3</x:v>
      </x:c>
      <x:c r="K205" s="9" t="n">
        <x:v>0</x:v>
      </x:c>
      <x:c r="L205" s="13" t="n">
        <x:f>SUMIFS('Payments'!$D$5:$D$3014,'Payments'!$B$5:$B$3014,A205)</x:f>
        <x:v>518.6</x:v>
      </x:c>
      <x:c r="M205" s="13" t="n">
        <x:f>G205-L205</x:f>
        <x:v>16592.91</x:v>
      </x:c>
      <x:c r="N205" s="9" t="str">
        <x:f>IF(H205=0,"0 Current",IF(H205&lt;=30,"1 1-30",IF(H205&lt;=60,"2 31-60",IF(H205&lt;=90,"3 61-90",IF(H205&lt;=120,"4 91-120","5 121+")))))</x:f>
        <x:v>5 121+</x:v>
      </x:c>
      <x:c r="O205" s="9" t="n">
        <x:f>IF(J205&gt;0,1,0)</x:f>
        <x:v>1</x:v>
      </x:c>
    </x:row>
    <x:row r="206">
      <x:c r="A206" s="15" t="str">
        <x:v>202</x:v>
      </x:c>
      <x:c r="B206" s="9" t="str">
        <x:v>Taylor</x:v>
      </x:c>
      <x:c r="C206" s="9" t="str">
        <x:v>Credit Card</x:v>
      </x:c>
      <x:c r="D206" s="9" t="str">
        <x:v>South</x:v>
      </x:c>
      <x:c r="E206" s="9" t="n">
        <x:v>541</x:v>
      </x:c>
      <x:c r="F206" s="11" t="n">
        <x:v>46141</x:v>
      </x:c>
      <x:c r="G206" s="13" t="n">
        <x:v>17862.44</x:v>
      </x:c>
      <x:c r="H206" s="9" t="n">
        <x:v>213</x:v>
      </x:c>
      <x:c r="I206" s="9" t="n">
        <x:v>3</x:v>
      </x:c>
      <x:c r="J206" s="9" t="n">
        <x:v>2</x:v>
      </x:c>
      <x:c r="K206" s="9" t="n">
        <x:v>1</x:v>
      </x:c>
      <x:c r="L206" s="13" t="n">
        <x:f>SUMIFS('Payments'!$D$5:$D$3014,'Payments'!$B$5:$B$3014,A206)</x:f>
        <x:v>4957.02</x:v>
      </x:c>
      <x:c r="M206" s="13" t="n">
        <x:f>G206-L206</x:f>
        <x:v>12905.419999999998</x:v>
      </x:c>
      <x:c r="N206" s="9" t="str">
        <x:f>IF(H206=0,"0 Current",IF(H206&lt;=30,"1 1-30",IF(H206&lt;=60,"2 31-60",IF(H206&lt;=90,"3 61-90",IF(H206&lt;=120,"4 91-120","5 121+")))))</x:f>
        <x:v>5 121+</x:v>
      </x:c>
      <x:c r="O206" s="9" t="n">
        <x:f>IF(J206&gt;0,1,0)</x:f>
        <x:v>1</x:v>
      </x:c>
    </x:row>
    <x:row r="207">
      <x:c r="A207" s="15" t="str">
        <x:v>203</x:v>
      </x:c>
      <x:c r="B207" s="9" t="str">
        <x:v>Alex</x:v>
      </x:c>
      <x:c r="C207" s="9" t="str">
        <x:v>Personal Loan</x:v>
      </x:c>
      <x:c r="D207" s="9" t="str">
        <x:v>South</x:v>
      </x:c>
      <x:c r="E207" s="9" t="n">
        <x:v>510</x:v>
      </x:c>
      <x:c r="F207" s="11" t="n">
        <x:v>46061</x:v>
      </x:c>
      <x:c r="G207" s="13" t="n">
        <x:v>12263.34</x:v>
      </x:c>
      <x:c r="H207" s="9" t="n">
        <x:v>96</x:v>
      </x:c>
      <x:c r="I207" s="9" t="n">
        <x:v>6</x:v>
      </x:c>
      <x:c r="J207" s="9" t="n">
        <x:v>2</x:v>
      </x:c>
      <x:c r="K207" s="9" t="n">
        <x:v>1</x:v>
      </x:c>
      <x:c r="L207" s="13" t="n">
        <x:f>SUMIFS('Payments'!$D$5:$D$3014,'Payments'!$B$5:$B$3014,A207)</x:f>
        <x:v>1857.32</x:v>
      </x:c>
      <x:c r="M207" s="13" t="n">
        <x:f>G207-L207</x:f>
        <x:v>10406.02</x:v>
      </x:c>
      <x:c r="N207" s="9" t="str">
        <x:f>IF(H207=0,"0 Current",IF(H207&lt;=30,"1 1-30",IF(H207&lt;=60,"2 31-60",IF(H207&lt;=90,"3 61-90",IF(H207&lt;=120,"4 91-120","5 121+")))))</x:f>
        <x:v>4 91-120</x:v>
      </x:c>
      <x:c r="O207" s="9" t="n">
        <x:f>IF(J207&gt;0,1,0)</x:f>
        <x:v>1</x:v>
      </x:c>
    </x:row>
    <x:row r="208">
      <x:c r="A208" s="15" t="str">
        <x:v>204</x:v>
      </x:c>
      <x:c r="B208" s="9" t="str">
        <x:v>Alex</x:v>
      </x:c>
      <x:c r="C208" s="9" t="str">
        <x:v>Auto</x:v>
      </x:c>
      <x:c r="D208" s="9" t="str">
        <x:v>West</x:v>
      </x:c>
      <x:c r="E208" s="9" t="n">
        <x:v>432</x:v>
      </x:c>
      <x:c r="F208" s="11" t="n">
        <x:v>46136</x:v>
      </x:c>
      <x:c r="G208" s="13" t="n">
        <x:v>21722.95</x:v>
      </x:c>
      <x:c r="H208" s="9" t="n">
        <x:v>231</x:v>
      </x:c>
      <x:c r="I208" s="9" t="n">
        <x:v>8</x:v>
      </x:c>
      <x:c r="J208" s="9" t="n">
        <x:v>2</x:v>
      </x:c>
      <x:c r="K208" s="9" t="n">
        <x:v>1</x:v>
      </x:c>
      <x:c r="L208" s="13" t="n">
        <x:f>SUMIFS('Payments'!$D$5:$D$3014,'Payments'!$B$5:$B$3014,A208)</x:f>
        <x:v>5009.43</x:v>
      </x:c>
      <x:c r="M208" s="13" t="n">
        <x:f>G208-L208</x:f>
        <x:v>16713.52</x:v>
      </x:c>
      <x:c r="N208" s="9" t="str">
        <x:f>IF(H208=0,"0 Current",IF(H208&lt;=30,"1 1-30",IF(H208&lt;=60,"2 31-60",IF(H208&lt;=90,"3 61-90",IF(H208&lt;=120,"4 91-120","5 121+")))))</x:f>
        <x:v>5 121+</x:v>
      </x:c>
      <x:c r="O208" s="9" t="n">
        <x:f>IF(J208&gt;0,1,0)</x:f>
        <x:v>1</x:v>
      </x:c>
    </x:row>
    <x:row r="209">
      <x:c r="A209" s="15" t="str">
        <x:v>205</x:v>
      </x:c>
      <x:c r="B209" s="9" t="str">
        <x:v>Casey</x:v>
      </x:c>
      <x:c r="C209" s="9" t="str">
        <x:v>Medical</x:v>
      </x:c>
      <x:c r="D209" s="9" t="str">
        <x:v>South</x:v>
      </x:c>
      <x:c r="E209" s="9" t="n">
        <x:v>797</x:v>
      </x:c>
      <x:c r="F209" s="11" t="n">
        <x:v>46076</x:v>
      </x:c>
      <x:c r="G209" s="13" t="n">
        <x:v>13958.69</x:v>
      </x:c>
      <x:c r="H209" s="9" t="n">
        <x:v>73</x:v>
      </x:c>
      <x:c r="I209" s="9" t="n">
        <x:v>4</x:v>
      </x:c>
      <x:c r="J209" s="9" t="n">
        <x:v>0</x:v>
      </x:c>
      <x:c r="K209" s="9" t="n">
        <x:v>0</x:v>
      </x:c>
      <x:c r="L209" s="13" t="n">
        <x:f>SUMIFS('Payments'!$D$5:$D$3014,'Payments'!$B$5:$B$3014,A209)</x:f>
        <x:v>2571.67</x:v>
      </x:c>
      <x:c r="M209" s="13" t="n">
        <x:f>G209-L209</x:f>
        <x:v>11387.02</x:v>
      </x:c>
      <x:c r="N209" s="9" t="str">
        <x:f>IF(H209=0,"0 Current",IF(H209&lt;=30,"1 1-30",IF(H209&lt;=60,"2 31-60",IF(H209&lt;=90,"3 61-90",IF(H209&lt;=120,"4 91-120","5 121+")))))</x:f>
        <x:v>3 61-90</x:v>
      </x:c>
      <x:c r="O209" s="9" t="n">
        <x:f>IF(J209&gt;0,1,0)</x:f>
        <x:v>0</x:v>
      </x:c>
    </x:row>
    <x:row r="210">
      <x:c r="A210" s="15" t="str">
        <x:v>206</x:v>
      </x:c>
      <x:c r="B210" s="9" t="str">
        <x:v>Taylor</x:v>
      </x:c>
      <x:c r="C210" s="9" t="str">
        <x:v>Personal Loan</x:v>
      </x:c>
      <x:c r="D210" s="9" t="str">
        <x:v>Midwest</x:v>
      </x:c>
      <x:c r="E210" s="9" t="n">
        <x:v>820</x:v>
      </x:c>
      <x:c r="F210" s="11" t="n">
        <x:v>46092</x:v>
      </x:c>
      <x:c r="G210" s="13" t="n">
        <x:v>6437.32</x:v>
      </x:c>
      <x:c r="H210" s="9" t="n">
        <x:v>146</x:v>
      </x:c>
      <x:c r="I210" s="9" t="n">
        <x:v>4</x:v>
      </x:c>
      <x:c r="J210" s="9" t="n">
        <x:v>1</x:v>
      </x:c>
      <x:c r="K210" s="9" t="n">
        <x:v>0</x:v>
      </x:c>
      <x:c r="L210" s="13" t="n">
        <x:f>SUMIFS('Payments'!$D$5:$D$3014,'Payments'!$B$5:$B$3014,A210)</x:f>
        <x:v>234.49</x:v>
      </x:c>
      <x:c r="M210" s="13" t="n">
        <x:f>G210-L210</x:f>
        <x:v>6202.83</x:v>
      </x:c>
      <x:c r="N210" s="9" t="str">
        <x:f>IF(H210=0,"0 Current",IF(H210&lt;=30,"1 1-30",IF(H210&lt;=60,"2 31-60",IF(H210&lt;=90,"3 61-90",IF(H210&lt;=120,"4 91-120","5 121+")))))</x:f>
        <x:v>5 121+</x:v>
      </x:c>
      <x:c r="O210" s="9" t="n">
        <x:f>IF(J210&gt;0,1,0)</x:f>
        <x:v>1</x:v>
      </x:c>
    </x:row>
    <x:row r="211">
      <x:c r="A211" s="15" t="str">
        <x:v>207</x:v>
      </x:c>
      <x:c r="B211" s="9" t="str">
        <x:v>Alex</x:v>
      </x:c>
      <x:c r="C211" s="9" t="str">
        <x:v>Auto</x:v>
      </x:c>
      <x:c r="D211" s="9" t="str">
        <x:v>West</x:v>
      </x:c>
      <x:c r="E211" s="9" t="n">
        <x:v>762</x:v>
      </x:c>
      <x:c r="F211" s="11" t="n">
        <x:v>46121</x:v>
      </x:c>
      <x:c r="G211" s="13" t="n">
        <x:v>2756.53</x:v>
      </x:c>
      <x:c r="H211" s="9" t="n">
        <x:v>100</x:v>
      </x:c>
      <x:c r="I211" s="9" t="n">
        <x:v>5</x:v>
      </x:c>
      <x:c r="J211" s="9" t="n">
        <x:v>2</x:v>
      </x:c>
      <x:c r="K211" s="9" t="n">
        <x:v>0</x:v>
      </x:c>
      <x:c r="L211" s="13" t="n">
        <x:f>SUMIFS('Payments'!$D$5:$D$3014,'Payments'!$B$5:$B$3014,A211)</x:f>
        <x:v>302.18</x:v>
      </x:c>
      <x:c r="M211" s="13" t="n">
        <x:f>G211-L211</x:f>
        <x:v>2454.3500000000004</x:v>
      </x:c>
      <x:c r="N211" s="9" t="str">
        <x:f>IF(H211=0,"0 Current",IF(H211&lt;=30,"1 1-30",IF(H211&lt;=60,"2 31-60",IF(H211&lt;=90,"3 61-90",IF(H211&lt;=120,"4 91-120","5 121+")))))</x:f>
        <x:v>4 91-120</x:v>
      </x:c>
      <x:c r="O211" s="9" t="n">
        <x:f>IF(J211&gt;0,1,0)</x:f>
        <x:v>1</x:v>
      </x:c>
    </x:row>
    <x:row r="212">
      <x:c r="A212" s="15" t="str">
        <x:v>208</x:v>
      </x:c>
      <x:c r="B212" s="9" t="str">
        <x:v>Morgan</x:v>
      </x:c>
      <x:c r="C212" s="9" t="str">
        <x:v>Personal Loan</x:v>
      </x:c>
      <x:c r="D212" s="9" t="str">
        <x:v>South</x:v>
      </x:c>
      <x:c r="E212" s="9" t="n">
        <x:v>556</x:v>
      </x:c>
      <x:c r="F212" s="11" t="n">
        <x:v>46142</x:v>
      </x:c>
      <x:c r="G212" s="13" t="n">
        <x:v>4579.5</x:v>
      </x:c>
      <x:c r="H212" s="9" t="n">
        <x:v>175</x:v>
      </x:c>
      <x:c r="I212" s="9" t="n">
        <x:v>5</x:v>
      </x:c>
      <x:c r="J212" s="9" t="n">
        <x:v>2</x:v>
      </x:c>
      <x:c r="K212" s="9" t="n">
        <x:v>0</x:v>
      </x:c>
      <x:c r="L212" s="13" t="n">
        <x:f>SUMIFS('Payments'!$D$5:$D$3014,'Payments'!$B$5:$B$3014,A212)</x:f>
        <x:v>889.3399999999999</x:v>
      </x:c>
      <x:c r="M212" s="13" t="n">
        <x:f>G212-L212</x:f>
        <x:v>3690.16</x:v>
      </x:c>
      <x:c r="N212" s="9" t="str">
        <x:f>IF(H212=0,"0 Current",IF(H212&lt;=30,"1 1-30",IF(H212&lt;=60,"2 31-60",IF(H212&lt;=90,"3 61-90",IF(H212&lt;=120,"4 91-120","5 121+")))))</x:f>
        <x:v>5 121+</x:v>
      </x:c>
      <x:c r="O212" s="9" t="n">
        <x:f>IF(J212&gt;0,1,0)</x:f>
        <x:v>1</x:v>
      </x:c>
    </x:row>
    <x:row r="213">
      <x:c r="A213" s="15" t="str">
        <x:v>209</x:v>
      </x:c>
      <x:c r="B213" s="9" t="str">
        <x:v>Morgan</x:v>
      </x:c>
      <x:c r="C213" s="9" t="str">
        <x:v>Auto</x:v>
      </x:c>
      <x:c r="D213" s="9" t="str">
        <x:v>South</x:v>
      </x:c>
      <x:c r="E213" s="9" t="n">
        <x:v>779</x:v>
      </x:c>
      <x:c r="F213" s="11" t="n">
        <x:v>46051</x:v>
      </x:c>
      <x:c r="G213" s="13" t="n">
        <x:v>15240.49</x:v>
      </x:c>
      <x:c r="H213" s="9" t="n">
        <x:v>216</x:v>
      </x:c>
      <x:c r="I213" s="9" t="n">
        <x:v>2</x:v>
      </x:c>
      <x:c r="J213" s="9" t="n">
        <x:v>0</x:v>
      </x:c>
      <x:c r="K213" s="9" t="n">
        <x:v>0</x:v>
      </x:c>
      <x:c r="L213" s="13" t="n">
        <x:f>SUMIFS('Payments'!$D$5:$D$3014,'Payments'!$B$5:$B$3014,A213)</x:f>
        <x:v>749.92</x:v>
      </x:c>
      <x:c r="M213" s="13" t="n">
        <x:f>G213-L213</x:f>
        <x:v>14490.57</x:v>
      </x:c>
      <x:c r="N213" s="9" t="str">
        <x:f>IF(H213=0,"0 Current",IF(H213&lt;=30,"1 1-30",IF(H213&lt;=60,"2 31-60",IF(H213&lt;=90,"3 61-90",IF(H213&lt;=120,"4 91-120","5 121+")))))</x:f>
        <x:v>5 121+</x:v>
      </x:c>
      <x:c r="O213" s="9" t="n">
        <x:f>IF(J213&gt;0,1,0)</x:f>
        <x:v>0</x:v>
      </x:c>
    </x:row>
    <x:row r="214">
      <x:c r="A214" s="15" t="str">
        <x:v>210</x:v>
      </x:c>
      <x:c r="B214" s="9" t="str">
        <x:v>Riley</x:v>
      </x:c>
      <x:c r="C214" s="9" t="str">
        <x:v>Auto</x:v>
      </x:c>
      <x:c r="D214" s="9" t="str">
        <x:v>Northeast</x:v>
      </x:c>
      <x:c r="E214" s="9" t="n">
        <x:v>615</x:v>
      </x:c>
      <x:c r="F214" s="11" t="n">
        <x:v>46041</x:v>
      </x:c>
      <x:c r="G214" s="13" t="n">
        <x:v>13171.75</x:v>
      </x:c>
      <x:c r="H214" s="9" t="n">
        <x:v>102</x:v>
      </x:c>
      <x:c r="I214" s="9" t="n">
        <x:v>1</x:v>
      </x:c>
      <x:c r="J214" s="9" t="n">
        <x:v>0</x:v>
      </x:c>
      <x:c r="K214" s="9" t="n">
        <x:v>0</x:v>
      </x:c>
      <x:c r="L214" s="13" t="n">
        <x:f>SUMIFS('Payments'!$D$5:$D$3014,'Payments'!$B$5:$B$3014,A214)</x:f>
        <x:v>5452.31</x:v>
      </x:c>
      <x:c r="M214" s="13" t="n">
        <x:f>G214-L214</x:f>
        <x:v>7719.44</x:v>
      </x:c>
      <x:c r="N214" s="9" t="str">
        <x:f>IF(H214=0,"0 Current",IF(H214&lt;=30,"1 1-30",IF(H214&lt;=60,"2 31-60",IF(H214&lt;=90,"3 61-90",IF(H214&lt;=120,"4 91-120","5 121+")))))</x:f>
        <x:v>4 91-120</x:v>
      </x:c>
      <x:c r="O214" s="9" t="n">
        <x:f>IF(J214&gt;0,1,0)</x:f>
        <x:v>0</x:v>
      </x:c>
    </x:row>
    <x:row r="215">
      <x:c r="A215" s="15" t="str">
        <x:v>211</x:v>
      </x:c>
      <x:c r="B215" s="9" t="str">
        <x:v>Riley</x:v>
      </x:c>
      <x:c r="C215" s="9" t="str">
        <x:v>Personal Loan</x:v>
      </x:c>
      <x:c r="D215" s="9" t="str">
        <x:v>Northeast</x:v>
      </x:c>
      <x:c r="E215" s="9" t="n">
        <x:v>660</x:v>
      </x:c>
      <x:c r="F215" s="11" t="n">
        <x:v>46133</x:v>
      </x:c>
      <x:c r="G215" s="13" t="n">
        <x:v>18760.05</x:v>
      </x:c>
      <x:c r="H215" s="9" t="n">
        <x:v>139</x:v>
      </x:c>
      <x:c r="I215" s="9" t="n">
        <x:v>7</x:v>
      </x:c>
      <x:c r="J215" s="9" t="n">
        <x:v>2</x:v>
      </x:c>
      <x:c r="K215" s="9" t="n">
        <x:v>0</x:v>
      </x:c>
      <x:c r="L215" s="13" t="n">
        <x:f>SUMIFS('Payments'!$D$5:$D$3014,'Payments'!$B$5:$B$3014,A215)</x:f>
        <x:v>463.73</x:v>
      </x:c>
      <x:c r="M215" s="13" t="n">
        <x:f>G215-L215</x:f>
        <x:v>18296.32</x:v>
      </x:c>
      <x:c r="N215" s="9" t="str">
        <x:f>IF(H215=0,"0 Current",IF(H215&lt;=30,"1 1-30",IF(H215&lt;=60,"2 31-60",IF(H215&lt;=90,"3 61-90",IF(H215&lt;=120,"4 91-120","5 121+")))))</x:f>
        <x:v>5 121+</x:v>
      </x:c>
      <x:c r="O215" s="9" t="n">
        <x:f>IF(J215&gt;0,1,0)</x:f>
        <x:v>1</x:v>
      </x:c>
    </x:row>
    <x:row r="216">
      <x:c r="A216" s="15" t="str">
        <x:v>212</x:v>
      </x:c>
      <x:c r="B216" s="9" t="str">
        <x:v>Casey</x:v>
      </x:c>
      <x:c r="C216" s="9" t="str">
        <x:v>Medical</x:v>
      </x:c>
      <x:c r="D216" s="9" t="str">
        <x:v>South</x:v>
      </x:c>
      <x:c r="E216" s="9" t="n">
        <x:v>522</x:v>
      </x:c>
      <x:c r="F216" s="11" t="n">
        <x:v>46038</x:v>
      </x:c>
      <x:c r="G216" s="13" t="n">
        <x:v>4297.22</x:v>
      </x:c>
      <x:c r="H216" s="9" t="n">
        <x:v>227</x:v>
      </x:c>
      <x:c r="I216" s="9" t="n">
        <x:v>4</x:v>
      </x:c>
      <x:c r="J216" s="9" t="n">
        <x:v>2</x:v>
      </x:c>
      <x:c r="K216" s="9" t="n">
        <x:v>1</x:v>
      </x:c>
      <x:c r="L216" s="13" t="n">
        <x:f>SUMIFS('Payments'!$D$5:$D$3014,'Payments'!$B$5:$B$3014,A216)</x:f>
        <x:v>1264.87</x:v>
      </x:c>
      <x:c r="M216" s="13" t="n">
        <x:f>G216-L216</x:f>
        <x:v>3032.3500000000004</x:v>
      </x:c>
      <x:c r="N216" s="9" t="str">
        <x:f>IF(H216=0,"0 Current",IF(H216&lt;=30,"1 1-30",IF(H216&lt;=60,"2 31-60",IF(H216&lt;=90,"3 61-90",IF(H216&lt;=120,"4 91-120","5 121+")))))</x:f>
        <x:v>5 121+</x:v>
      </x:c>
      <x:c r="O216" s="9" t="n">
        <x:f>IF(J216&gt;0,1,0)</x:f>
        <x:v>1</x:v>
      </x:c>
    </x:row>
    <x:row r="217">
      <x:c r="A217" s="15" t="str">
        <x:v>213</x:v>
      </x:c>
      <x:c r="B217" s="9" t="str">
        <x:v>Alex</x:v>
      </x:c>
      <x:c r="C217" s="9" t="str">
        <x:v>Credit Card</x:v>
      </x:c>
      <x:c r="D217" s="9" t="str">
        <x:v>West</x:v>
      </x:c>
      <x:c r="E217" s="9" t="n">
        <x:v>599</x:v>
      </x:c>
      <x:c r="F217" s="11" t="n">
        <x:v>46134</x:v>
      </x:c>
      <x:c r="G217" s="13" t="n">
        <x:v>14939.5</x:v>
      </x:c>
      <x:c r="H217" s="9" t="n">
        <x:v>156</x:v>
      </x:c>
      <x:c r="I217" s="9" t="n">
        <x:v>1</x:v>
      </x:c>
      <x:c r="J217" s="9" t="n">
        <x:v>1</x:v>
      </x:c>
      <x:c r="K217" s="9" t="n">
        <x:v>0</x:v>
      </x:c>
      <x:c r="L217" s="13" t="n">
        <x:f>SUMIFS('Payments'!$D$5:$D$3014,'Payments'!$B$5:$B$3014,A217)</x:f>
        <x:v>2840.85</x:v>
      </x:c>
      <x:c r="M217" s="13" t="n">
        <x:f>G217-L217</x:f>
        <x:v>12098.65</x:v>
      </x:c>
      <x:c r="N217" s="9" t="str">
        <x:f>IF(H217=0,"0 Current",IF(H217&lt;=30,"1 1-30",IF(H217&lt;=60,"2 31-60",IF(H217&lt;=90,"3 61-90",IF(H217&lt;=120,"4 91-120","5 121+")))))</x:f>
        <x:v>5 121+</x:v>
      </x:c>
      <x:c r="O217" s="9" t="n">
        <x:f>IF(J217&gt;0,1,0)</x:f>
        <x:v>1</x:v>
      </x:c>
    </x:row>
    <x:row r="218">
      <x:c r="A218" s="15" t="str">
        <x:v>214</x:v>
      </x:c>
      <x:c r="B218" s="9" t="str">
        <x:v>Taylor</x:v>
      </x:c>
      <x:c r="C218" s="9" t="str">
        <x:v>Auto</x:v>
      </x:c>
      <x:c r="D218" s="9" t="str">
        <x:v>Midwest</x:v>
      </x:c>
      <x:c r="E218" s="9" t="n">
        <x:v>536</x:v>
      </x:c>
      <x:c r="F218" s="11" t="n">
        <x:v>46083</x:v>
      </x:c>
      <x:c r="G218" s="13" t="n">
        <x:v>18607.46</x:v>
      </x:c>
      <x:c r="H218" s="9" t="n">
        <x:v>160</x:v>
      </x:c>
      <x:c r="I218" s="9" t="n">
        <x:v>6</x:v>
      </x:c>
      <x:c r="J218" s="9" t="n">
        <x:v>2</x:v>
      </x:c>
      <x:c r="K218" s="9" t="n">
        <x:v>1</x:v>
      </x:c>
      <x:c r="L218" s="13" t="n">
        <x:f>SUMIFS('Payments'!$D$5:$D$3014,'Payments'!$B$5:$B$3014,A218)</x:f>
        <x:v>2950.26</x:v>
      </x:c>
      <x:c r="M218" s="13" t="n">
        <x:f>G218-L218</x:f>
        <x:v>15657.199999999999</x:v>
      </x:c>
      <x:c r="N218" s="9" t="str">
        <x:f>IF(H218=0,"0 Current",IF(H218&lt;=30,"1 1-30",IF(H218&lt;=60,"2 31-60",IF(H218&lt;=90,"3 61-90",IF(H218&lt;=120,"4 91-120","5 121+")))))</x:f>
        <x:v>5 121+</x:v>
      </x:c>
      <x:c r="O218" s="9" t="n">
        <x:f>IF(J218&gt;0,1,0)</x:f>
        <x:v>1</x:v>
      </x:c>
    </x:row>
    <x:row r="219">
      <x:c r="A219" s="15" t="str">
        <x:v>215</x:v>
      </x:c>
      <x:c r="B219" s="9" t="str">
        <x:v>Alex</x:v>
      </x:c>
      <x:c r="C219" s="9" t="str">
        <x:v>Credit Card</x:v>
      </x:c>
      <x:c r="D219" s="9" t="str">
        <x:v>South</x:v>
      </x:c>
      <x:c r="E219" s="9" t="n">
        <x:v>432</x:v>
      </x:c>
      <x:c r="F219" s="11" t="n">
        <x:v>46055</x:v>
      </x:c>
      <x:c r="G219" s="13" t="n">
        <x:v>6132</x:v>
      </x:c>
      <x:c r="H219" s="9" t="n">
        <x:v>165</x:v>
      </x:c>
      <x:c r="I219" s="9" t="n">
        <x:v>2</x:v>
      </x:c>
      <x:c r="J219" s="9" t="n">
        <x:v>1</x:v>
      </x:c>
      <x:c r="K219" s="9" t="n">
        <x:v>0</x:v>
      </x:c>
      <x:c r="L219" s="13" t="n">
        <x:f>SUMIFS('Payments'!$D$5:$D$3014,'Payments'!$B$5:$B$3014,A219)</x:f>
        <x:v>0</x:v>
      </x:c>
      <x:c r="M219" s="13" t="n">
        <x:f>G219-L219</x:f>
        <x:v>6132</x:v>
      </x:c>
      <x:c r="N219" s="9" t="str">
        <x:f>IF(H219=0,"0 Current",IF(H219&lt;=30,"1 1-30",IF(H219&lt;=60,"2 31-60",IF(H219&lt;=90,"3 61-90",IF(H219&lt;=120,"4 91-120","5 121+")))))</x:f>
        <x:v>5 121+</x:v>
      </x:c>
      <x:c r="O219" s="9" t="n">
        <x:f>IF(J219&gt;0,1,0)</x:f>
        <x:v>1</x:v>
      </x:c>
    </x:row>
    <x:row r="220">
      <x:c r="A220" s="15" t="str">
        <x:v>216</x:v>
      </x:c>
      <x:c r="B220" s="9" t="str">
        <x:v>Taylor</x:v>
      </x:c>
      <x:c r="C220" s="9" t="str">
        <x:v>Auto</x:v>
      </x:c>
      <x:c r="D220" s="9" t="str">
        <x:v>South</x:v>
      </x:c>
      <x:c r="E220" s="9" t="n">
        <x:v>624</x:v>
      </x:c>
      <x:c r="F220" s="11" t="n">
        <x:v>46129</x:v>
      </x:c>
      <x:c r="G220" s="13" t="n">
        <x:v>19627.22</x:v>
      </x:c>
      <x:c r="H220" s="9" t="n">
        <x:v>159</x:v>
      </x:c>
      <x:c r="I220" s="9" t="n">
        <x:v>6</x:v>
      </x:c>
      <x:c r="J220" s="9" t="n">
        <x:v>2</x:v>
      </x:c>
      <x:c r="K220" s="9" t="n">
        <x:v>0</x:v>
      </x:c>
      <x:c r="L220" s="13" t="n">
        <x:f>SUMIFS('Payments'!$D$5:$D$3014,'Payments'!$B$5:$B$3014,A220)</x:f>
        <x:v>1201.16</x:v>
      </x:c>
      <x:c r="M220" s="13" t="n">
        <x:f>G220-L220</x:f>
        <x:v>18426.06</x:v>
      </x:c>
      <x:c r="N220" s="9" t="str">
        <x:f>IF(H220=0,"0 Current",IF(H220&lt;=30,"1 1-30",IF(H220&lt;=60,"2 31-60",IF(H220&lt;=90,"3 61-90",IF(H220&lt;=120,"4 91-120","5 121+")))))</x:f>
        <x:v>5 121+</x:v>
      </x:c>
      <x:c r="O220" s="9" t="n">
        <x:f>IF(J220&gt;0,1,0)</x:f>
        <x:v>1</x:v>
      </x:c>
    </x:row>
    <x:row r="221">
      <x:c r="A221" s="15" t="str">
        <x:v>217</x:v>
      </x:c>
      <x:c r="B221" s="9" t="str">
        <x:v>Jordan</x:v>
      </x:c>
      <x:c r="C221" s="9" t="str">
        <x:v>Credit Card</x:v>
      </x:c>
      <x:c r="D221" s="9" t="str">
        <x:v>Midwest</x:v>
      </x:c>
      <x:c r="E221" s="9" t="n">
        <x:v>562</x:v>
      </x:c>
      <x:c r="F221" s="11" t="n">
        <x:v>46162</x:v>
      </x:c>
      <x:c r="G221" s="13" t="n">
        <x:v>24673.96</x:v>
      </x:c>
      <x:c r="H221" s="9" t="n">
        <x:v>9</x:v>
      </x:c>
      <x:c r="I221" s="9" t="n">
        <x:v>4</x:v>
      </x:c>
      <x:c r="J221" s="9" t="n">
        <x:v>2</x:v>
      </x:c>
      <x:c r="K221" s="9" t="n">
        <x:v>0</x:v>
      </x:c>
      <x:c r="L221" s="13" t="n">
        <x:f>SUMIFS('Payments'!$D$5:$D$3014,'Payments'!$B$5:$B$3014,A221)</x:f>
        <x:v>6436.560000000001</x:v>
      </x:c>
      <x:c r="M221" s="13" t="n">
        <x:f>G221-L221</x:f>
        <x:v>18237.399999999998</x:v>
      </x:c>
      <x:c r="N221" s="9" t="str">
        <x:f>IF(H221=0,"0 Current",IF(H221&lt;=30,"1 1-30",IF(H221&lt;=60,"2 31-60",IF(H221&lt;=90,"3 61-90",IF(H221&lt;=120,"4 91-120","5 121+")))))</x:f>
        <x:v>1 1-30</x:v>
      </x:c>
      <x:c r="O221" s="9" t="n">
        <x:f>IF(J221&gt;0,1,0)</x:f>
        <x:v>1</x:v>
      </x:c>
    </x:row>
    <x:row r="222">
      <x:c r="A222" s="15" t="str">
        <x:v>218</x:v>
      </x:c>
      <x:c r="B222" s="9" t="str">
        <x:v>Riley</x:v>
      </x:c>
      <x:c r="C222" s="9" t="str">
        <x:v>Personal Loan</x:v>
      </x:c>
      <x:c r="D222" s="9" t="str">
        <x:v>Northeast</x:v>
      </x:c>
      <x:c r="E222" s="9" t="n">
        <x:v>815</x:v>
      </x:c>
      <x:c r="F222" s="11" t="n">
        <x:v>46042</x:v>
      </x:c>
      <x:c r="G222" s="13" t="n">
        <x:v>23115.57</x:v>
      </x:c>
      <x:c r="H222" s="9" t="n">
        <x:v>156</x:v>
      </x:c>
      <x:c r="I222" s="9" t="n">
        <x:v>5</x:v>
      </x:c>
      <x:c r="J222" s="9" t="n">
        <x:v>1</x:v>
      </x:c>
      <x:c r="K222" s="9" t="n">
        <x:v>0</x:v>
      </x:c>
      <x:c r="L222" s="13" t="n">
        <x:f>SUMIFS('Payments'!$D$5:$D$3014,'Payments'!$B$5:$B$3014,A222)</x:f>
        <x:v>0</x:v>
      </x:c>
      <x:c r="M222" s="13" t="n">
        <x:f>G222-L222</x:f>
        <x:v>23115.57</x:v>
      </x:c>
      <x:c r="N222" s="9" t="str">
        <x:f>IF(H222=0,"0 Current",IF(H222&lt;=30,"1 1-30",IF(H222&lt;=60,"2 31-60",IF(H222&lt;=90,"3 61-90",IF(H222&lt;=120,"4 91-120","5 121+")))))</x:f>
        <x:v>5 121+</x:v>
      </x:c>
      <x:c r="O222" s="9" t="n">
        <x:f>IF(J222&gt;0,1,0)</x:f>
        <x:v>1</x:v>
      </x:c>
    </x:row>
    <x:row r="223">
      <x:c r="A223" s="15" t="str">
        <x:v>219</x:v>
      </x:c>
      <x:c r="B223" s="9" t="str">
        <x:v>Taylor</x:v>
      </x:c>
      <x:c r="C223" s="9" t="str">
        <x:v>Personal Loan</x:v>
      </x:c>
      <x:c r="D223" s="9" t="str">
        <x:v>Midwest</x:v>
      </x:c>
      <x:c r="E223" s="9" t="n">
        <x:v>599</x:v>
      </x:c>
      <x:c r="F223" s="11" t="n">
        <x:v>46032</x:v>
      </x:c>
      <x:c r="G223" s="13" t="n">
        <x:v>13253.65</x:v>
      </x:c>
      <x:c r="H223" s="9" t="n">
        <x:v>15</x:v>
      </x:c>
      <x:c r="I223" s="9" t="n">
        <x:v>0</x:v>
      </x:c>
      <x:c r="J223" s="9" t="n">
        <x:v>0</x:v>
      </x:c>
      <x:c r="K223" s="9" t="n">
        <x:v>0</x:v>
      </x:c>
      <x:c r="L223" s="13" t="n">
        <x:f>SUMIFS('Payments'!$D$5:$D$3014,'Payments'!$B$5:$B$3014,A223)</x:f>
        <x:v>3812.08</x:v>
      </x:c>
      <x:c r="M223" s="13" t="n">
        <x:f>G223-L223</x:f>
        <x:v>9441.57</x:v>
      </x:c>
      <x:c r="N223" s="9" t="str">
        <x:f>IF(H223=0,"0 Current",IF(H223&lt;=30,"1 1-30",IF(H223&lt;=60,"2 31-60",IF(H223&lt;=90,"3 61-90",IF(H223&lt;=120,"4 91-120","5 121+")))))</x:f>
        <x:v>1 1-30</x:v>
      </x:c>
      <x:c r="O223" s="9" t="n">
        <x:f>IF(J223&gt;0,1,0)</x:f>
        <x:v>0</x:v>
      </x:c>
    </x:row>
    <x:row r="224">
      <x:c r="A224" s="15" t="str">
        <x:v>220</x:v>
      </x:c>
      <x:c r="B224" s="9" t="str">
        <x:v>Alex</x:v>
      </x:c>
      <x:c r="C224" s="9" t="str">
        <x:v>Medical</x:v>
      </x:c>
      <x:c r="D224" s="9" t="str">
        <x:v>West</x:v>
      </x:c>
      <x:c r="E224" s="9" t="n">
        <x:v>767</x:v>
      </x:c>
      <x:c r="F224" s="11" t="n">
        <x:v>46096</x:v>
      </x:c>
      <x:c r="G224" s="13" t="n">
        <x:v>20832.31</x:v>
      </x:c>
      <x:c r="H224" s="9" t="n">
        <x:v>129</x:v>
      </x:c>
      <x:c r="I224" s="9" t="n">
        <x:v>4</x:v>
      </x:c>
      <x:c r="J224" s="9" t="n">
        <x:v>1</x:v>
      </x:c>
      <x:c r="K224" s="9" t="n">
        <x:v>0</x:v>
      </x:c>
      <x:c r="L224" s="13" t="n">
        <x:f>SUMIFS('Payments'!$D$5:$D$3014,'Payments'!$B$5:$B$3014,A224)</x:f>
        <x:v>0</x:v>
      </x:c>
      <x:c r="M224" s="13" t="n">
        <x:f>G224-L224</x:f>
        <x:v>20832.31</x:v>
      </x:c>
      <x:c r="N224" s="9" t="str">
        <x:f>IF(H224=0,"0 Current",IF(H224&lt;=30,"1 1-30",IF(H224&lt;=60,"2 31-60",IF(H224&lt;=90,"3 61-90",IF(H224&lt;=120,"4 91-120","5 121+")))))</x:f>
        <x:v>5 121+</x:v>
      </x:c>
      <x:c r="O224" s="9" t="n">
        <x:f>IF(J224&gt;0,1,0)</x:f>
        <x:v>1</x:v>
      </x:c>
    </x:row>
    <x:row r="225">
      <x:c r="A225" s="15" t="str">
        <x:v>221</x:v>
      </x:c>
      <x:c r="B225" s="9" t="str">
        <x:v>Jordan</x:v>
      </x:c>
      <x:c r="C225" s="9" t="str">
        <x:v>Medical</x:v>
      </x:c>
      <x:c r="D225" s="9" t="str">
        <x:v>Midwest</x:v>
      </x:c>
      <x:c r="E225" s="9" t="n">
        <x:v>434</x:v>
      </x:c>
      <x:c r="F225" s="11" t="n">
        <x:v>46061</x:v>
      </x:c>
      <x:c r="G225" s="13" t="n">
        <x:v>19233.99</x:v>
      </x:c>
      <x:c r="H225" s="9" t="n">
        <x:v>66</x:v>
      </x:c>
      <x:c r="I225" s="9" t="n">
        <x:v>8</x:v>
      </x:c>
      <x:c r="J225" s="9" t="n">
        <x:v>5</x:v>
      </x:c>
      <x:c r="K225" s="9" t="n">
        <x:v>1</x:v>
      </x:c>
      <x:c r="L225" s="13" t="n">
        <x:f>SUMIFS('Payments'!$D$5:$D$3014,'Payments'!$B$5:$B$3014,A225)</x:f>
        <x:v>1281.18</x:v>
      </x:c>
      <x:c r="M225" s="13" t="n">
        <x:f>G225-L225</x:f>
        <x:v>17952.81</x:v>
      </x:c>
      <x:c r="N225" s="9" t="str">
        <x:f>IF(H225=0,"0 Current",IF(H225&lt;=30,"1 1-30",IF(H225&lt;=60,"2 31-60",IF(H225&lt;=90,"3 61-90",IF(H225&lt;=120,"4 91-120","5 121+")))))</x:f>
        <x:v>3 61-90</x:v>
      </x:c>
      <x:c r="O225" s="9" t="n">
        <x:f>IF(J225&gt;0,1,0)</x:f>
        <x:v>1</x:v>
      </x:c>
    </x:row>
    <x:row r="226">
      <x:c r="A226" s="15" t="str">
        <x:v>222</x:v>
      </x:c>
      <x:c r="B226" s="9" t="str">
        <x:v>Casey</x:v>
      </x:c>
      <x:c r="C226" s="9" t="str">
        <x:v>Auto</x:v>
      </x:c>
      <x:c r="D226" s="9" t="str">
        <x:v>Northeast</x:v>
      </x:c>
      <x:c r="E226" s="9" t="n">
        <x:v>553</x:v>
      </x:c>
      <x:c r="F226" s="11" t="n">
        <x:v>46052</x:v>
      </x:c>
      <x:c r="G226" s="13" t="n">
        <x:v>2702.98</x:v>
      </x:c>
      <x:c r="H226" s="9" t="n">
        <x:v>102</x:v>
      </x:c>
      <x:c r="I226" s="9" t="n">
        <x:v>4</x:v>
      </x:c>
      <x:c r="J226" s="9" t="n">
        <x:v>1</x:v>
      </x:c>
      <x:c r="K226" s="9" t="n">
        <x:v>1</x:v>
      </x:c>
      <x:c r="L226" s="13" t="n">
        <x:f>SUMIFS('Payments'!$D$5:$D$3014,'Payments'!$B$5:$B$3014,A226)</x:f>
        <x:v>636.26</x:v>
      </x:c>
      <x:c r="M226" s="13" t="n">
        <x:f>G226-L226</x:f>
        <x:v>2066.7200000000003</x:v>
      </x:c>
      <x:c r="N226" s="9" t="str">
        <x:f>IF(H226=0,"0 Current",IF(H226&lt;=30,"1 1-30",IF(H226&lt;=60,"2 31-60",IF(H226&lt;=90,"3 61-90",IF(H226&lt;=120,"4 91-120","5 121+")))))</x:f>
        <x:v>4 91-120</x:v>
      </x:c>
      <x:c r="O226" s="9" t="n">
        <x:f>IF(J226&gt;0,1,0)</x:f>
        <x:v>1</x:v>
      </x:c>
    </x:row>
    <x:row r="227">
      <x:c r="A227" s="15" t="str">
        <x:v>223</x:v>
      </x:c>
      <x:c r="B227" s="9" t="str">
        <x:v>Riley</x:v>
      </x:c>
      <x:c r="C227" s="9" t="str">
        <x:v>Personal Loan</x:v>
      </x:c>
      <x:c r="D227" s="9" t="str">
        <x:v>South</x:v>
      </x:c>
      <x:c r="E227" s="9" t="n">
        <x:v>717</x:v>
      </x:c>
      <x:c r="F227" s="11" t="n">
        <x:v>46033</x:v>
      </x:c>
      <x:c r="G227" s="13" t="n">
        <x:v>4583.75</x:v>
      </x:c>
      <x:c r="H227" s="9" t="n">
        <x:v>216</x:v>
      </x:c>
      <x:c r="I227" s="9" t="n">
        <x:v>4</x:v>
      </x:c>
      <x:c r="J227" s="9" t="n">
        <x:v>2</x:v>
      </x:c>
      <x:c r="K227" s="9" t="n">
        <x:v>0</x:v>
      </x:c>
      <x:c r="L227" s="13" t="n">
        <x:f>SUMIFS('Payments'!$D$5:$D$3014,'Payments'!$B$5:$B$3014,A227)</x:f>
        <x:v>1212.1299999999999</x:v>
      </x:c>
      <x:c r="M227" s="13" t="n">
        <x:f>G227-L227</x:f>
        <x:v>3371.62</x:v>
      </x:c>
      <x:c r="N227" s="9" t="str">
        <x:f>IF(H227=0,"0 Current",IF(H227&lt;=30,"1 1-30",IF(H227&lt;=60,"2 31-60",IF(H227&lt;=90,"3 61-90",IF(H227&lt;=120,"4 91-120","5 121+")))))</x:f>
        <x:v>5 121+</x:v>
      </x:c>
      <x:c r="O227" s="9" t="n">
        <x:f>IF(J227&gt;0,1,0)</x:f>
        <x:v>1</x:v>
      </x:c>
    </x:row>
    <x:row r="228">
      <x:c r="A228" s="15" t="str">
        <x:v>224</x:v>
      </x:c>
      <x:c r="B228" s="9" t="str">
        <x:v>Taylor</x:v>
      </x:c>
      <x:c r="C228" s="9" t="str">
        <x:v>Medical</x:v>
      </x:c>
      <x:c r="D228" s="9" t="str">
        <x:v>Midwest</x:v>
      </x:c>
      <x:c r="E228" s="9" t="n">
        <x:v>439</x:v>
      </x:c>
      <x:c r="F228" s="11" t="n">
        <x:v>46156</x:v>
      </x:c>
      <x:c r="G228" s="13" t="n">
        <x:v>14651.85</x:v>
      </x:c>
      <x:c r="H228" s="9" t="n">
        <x:v>80</x:v>
      </x:c>
      <x:c r="I228" s="9" t="n">
        <x:v>1</x:v>
      </x:c>
      <x:c r="J228" s="9" t="n">
        <x:v>0</x:v>
      </x:c>
      <x:c r="K228" s="9" t="n">
        <x:v>0</x:v>
      </x:c>
      <x:c r="L228" s="13" t="n">
        <x:f>SUMIFS('Payments'!$D$5:$D$3014,'Payments'!$B$5:$B$3014,A228)</x:f>
        <x:v>377.39</x:v>
      </x:c>
      <x:c r="M228" s="13" t="n">
        <x:f>G228-L228</x:f>
        <x:v>14274.460000000001</x:v>
      </x:c>
      <x:c r="N228" s="9" t="str">
        <x:f>IF(H228=0,"0 Current",IF(H228&lt;=30,"1 1-30",IF(H228&lt;=60,"2 31-60",IF(H228&lt;=90,"3 61-90",IF(H228&lt;=120,"4 91-120","5 121+")))))</x:f>
        <x:v>3 61-90</x:v>
      </x:c>
      <x:c r="O228" s="9" t="n">
        <x:f>IF(J228&gt;0,1,0)</x:f>
        <x:v>0</x:v>
      </x:c>
    </x:row>
    <x:row r="229">
      <x:c r="A229" s="15" t="str">
        <x:v>225</x:v>
      </x:c>
      <x:c r="B229" s="9" t="str">
        <x:v>Jordan</x:v>
      </x:c>
      <x:c r="C229" s="9" t="str">
        <x:v>Medical</x:v>
      </x:c>
      <x:c r="D229" s="9" t="str">
        <x:v>Northeast</x:v>
      </x:c>
      <x:c r="E229" s="9" t="n">
        <x:v>725</x:v>
      </x:c>
      <x:c r="F229" s="11" t="n">
        <x:v>46079</x:v>
      </x:c>
      <x:c r="G229" s="13" t="n">
        <x:v>12382.33</x:v>
      </x:c>
      <x:c r="H229" s="9" t="n">
        <x:v>8</x:v>
      </x:c>
      <x:c r="I229" s="9" t="n">
        <x:v>1</x:v>
      </x:c>
      <x:c r="J229" s="9" t="n">
        <x:v>1</x:v>
      </x:c>
      <x:c r="K229" s="9" t="n">
        <x:v>1</x:v>
      </x:c>
      <x:c r="L229" s="13" t="n">
        <x:f>SUMIFS('Payments'!$D$5:$D$3014,'Payments'!$B$5:$B$3014,A229)</x:f>
        <x:v>0</x:v>
      </x:c>
      <x:c r="M229" s="13" t="n">
        <x:f>G229-L229</x:f>
        <x:v>12382.33</x:v>
      </x:c>
      <x:c r="N229" s="9" t="str">
        <x:f>IF(H229=0,"0 Current",IF(H229&lt;=30,"1 1-30",IF(H229&lt;=60,"2 31-60",IF(H229&lt;=90,"3 61-90",IF(H229&lt;=120,"4 91-120","5 121+")))))</x:f>
        <x:v>1 1-30</x:v>
      </x:c>
      <x:c r="O229" s="9" t="n">
        <x:f>IF(J229&gt;0,1,0)</x:f>
        <x:v>1</x:v>
      </x:c>
    </x:row>
    <x:row r="230">
      <x:c r="A230" s="15" t="str">
        <x:v>226</x:v>
      </x:c>
      <x:c r="B230" s="9" t="str">
        <x:v>Taylor</x:v>
      </x:c>
      <x:c r="C230" s="9" t="str">
        <x:v>Credit Card</x:v>
      </x:c>
      <x:c r="D230" s="9" t="str">
        <x:v>West</x:v>
      </x:c>
      <x:c r="E230" s="9" t="n">
        <x:v>596</x:v>
      </x:c>
      <x:c r="F230" s="11" t="n">
        <x:v>46078</x:v>
      </x:c>
      <x:c r="G230" s="13" t="n">
        <x:v>5608.24</x:v>
      </x:c>
      <x:c r="H230" s="9" t="n">
        <x:v>22</x:v>
      </x:c>
      <x:c r="I230" s="9" t="n">
        <x:v>4</x:v>
      </x:c>
      <x:c r="J230" s="9" t="n">
        <x:v>3</x:v>
      </x:c>
      <x:c r="K230" s="9" t="n">
        <x:v>1</x:v>
      </x:c>
      <x:c r="L230" s="13" t="n">
        <x:f>SUMIFS('Payments'!$D$5:$D$3014,'Payments'!$B$5:$B$3014,A230)</x:f>
        <x:v>839.23</x:v>
      </x:c>
      <x:c r="M230" s="13" t="n">
        <x:f>G230-L230</x:f>
        <x:v>4769.01</x:v>
      </x:c>
      <x:c r="N230" s="9" t="str">
        <x:f>IF(H230=0,"0 Current",IF(H230&lt;=30,"1 1-30",IF(H230&lt;=60,"2 31-60",IF(H230&lt;=90,"3 61-90",IF(H230&lt;=120,"4 91-120","5 121+")))))</x:f>
        <x:v>1 1-30</x:v>
      </x:c>
      <x:c r="O230" s="9" t="n">
        <x:f>IF(J230&gt;0,1,0)</x:f>
        <x:v>1</x:v>
      </x:c>
    </x:row>
    <x:row r="231">
      <x:c r="A231" s="15" t="str">
        <x:v>227</x:v>
      </x:c>
      <x:c r="B231" s="9" t="str">
        <x:v>Casey</x:v>
      </x:c>
      <x:c r="C231" s="9" t="str">
        <x:v>Credit Card</x:v>
      </x:c>
      <x:c r="D231" s="9" t="str">
        <x:v>Midwest</x:v>
      </x:c>
      <x:c r="E231" s="9" t="n">
        <x:v>643</x:v>
      </x:c>
      <x:c r="F231" s="11" t="n">
        <x:v>46105</x:v>
      </x:c>
      <x:c r="G231" s="13" t="n">
        <x:v>11293.47</x:v>
      </x:c>
      <x:c r="H231" s="9" t="n">
        <x:v>70</x:v>
      </x:c>
      <x:c r="I231" s="9" t="n">
        <x:v>6</x:v>
      </x:c>
      <x:c r="J231" s="9" t="n">
        <x:v>2</x:v>
      </x:c>
      <x:c r="K231" s="9" t="n">
        <x:v>0</x:v>
      </x:c>
      <x:c r="L231" s="13" t="n">
        <x:f>SUMIFS('Payments'!$D$5:$D$3014,'Payments'!$B$5:$B$3014,A231)</x:f>
        <x:v>0</x:v>
      </x:c>
      <x:c r="M231" s="13" t="n">
        <x:f>G231-L231</x:f>
        <x:v>11293.47</x:v>
      </x:c>
      <x:c r="N231" s="9" t="str">
        <x:f>IF(H231=0,"0 Current",IF(H231&lt;=30,"1 1-30",IF(H231&lt;=60,"2 31-60",IF(H231&lt;=90,"3 61-90",IF(H231&lt;=120,"4 91-120","5 121+")))))</x:f>
        <x:v>3 61-90</x:v>
      </x:c>
      <x:c r="O231" s="9" t="n">
        <x:f>IF(J231&gt;0,1,0)</x:f>
        <x:v>1</x:v>
      </x:c>
    </x:row>
    <x:row r="232">
      <x:c r="A232" s="15" t="str">
        <x:v>228</x:v>
      </x:c>
      <x:c r="B232" s="9" t="str">
        <x:v>Riley</x:v>
      </x:c>
      <x:c r="C232" s="9" t="str">
        <x:v>Auto</x:v>
      </x:c>
      <x:c r="D232" s="9" t="str">
        <x:v>Northeast</x:v>
      </x:c>
      <x:c r="E232" s="9" t="n">
        <x:v>617</x:v>
      </x:c>
      <x:c r="F232" s="11" t="n">
        <x:v>46050</x:v>
      </x:c>
      <x:c r="G232" s="13" t="n">
        <x:v>6534.45</x:v>
      </x:c>
      <x:c r="H232" s="9" t="n">
        <x:v>55</x:v>
      </x:c>
      <x:c r="I232" s="9" t="n">
        <x:v>4</x:v>
      </x:c>
      <x:c r="J232" s="9" t="n">
        <x:v>1</x:v>
      </x:c>
      <x:c r="K232" s="9" t="n">
        <x:v>1</x:v>
      </x:c>
      <x:c r="L232" s="13" t="n">
        <x:f>SUMIFS('Payments'!$D$5:$D$3014,'Payments'!$B$5:$B$3014,A232)</x:f>
        <x:v>656.71</x:v>
      </x:c>
      <x:c r="M232" s="13" t="n">
        <x:f>G232-L232</x:f>
        <x:v>5877.74</x:v>
      </x:c>
      <x:c r="N232" s="9" t="str">
        <x:f>IF(H232=0,"0 Current",IF(H232&lt;=30,"1 1-30",IF(H232&lt;=60,"2 31-60",IF(H232&lt;=90,"3 61-90",IF(H232&lt;=120,"4 91-120","5 121+")))))</x:f>
        <x:v>2 31-60</x:v>
      </x:c>
      <x:c r="O232" s="9" t="n">
        <x:f>IF(J232&gt;0,1,0)</x:f>
        <x:v>1</x:v>
      </x:c>
    </x:row>
    <x:row r="233">
      <x:c r="A233" s="15" t="str">
        <x:v>229</x:v>
      </x:c>
      <x:c r="B233" s="9" t="str">
        <x:v>Riley</x:v>
      </x:c>
      <x:c r="C233" s="9" t="str">
        <x:v>Credit Card</x:v>
      </x:c>
      <x:c r="D233" s="9" t="str">
        <x:v>South</x:v>
      </x:c>
      <x:c r="E233" s="9" t="n">
        <x:v>550</x:v>
      </x:c>
      <x:c r="F233" s="11" t="n">
        <x:v>46107</x:v>
      </x:c>
      <x:c r="G233" s="13" t="n">
        <x:v>16913.58</x:v>
      </x:c>
      <x:c r="H233" s="9" t="n">
        <x:v>131</x:v>
      </x:c>
      <x:c r="I233" s="9" t="n">
        <x:v>8</x:v>
      </x:c>
      <x:c r="J233" s="9" t="n">
        <x:v>3</x:v>
      </x:c>
      <x:c r="K233" s="9" t="n">
        <x:v>1</x:v>
      </x:c>
      <x:c r="L233" s="13" t="n">
        <x:f>SUMIFS('Payments'!$D$5:$D$3014,'Payments'!$B$5:$B$3014,A233)</x:f>
        <x:v>4389.41</x:v>
      </x:c>
      <x:c r="M233" s="13" t="n">
        <x:f>G233-L233</x:f>
        <x:v>12524.170000000002</x:v>
      </x:c>
      <x:c r="N233" s="9" t="str">
        <x:f>IF(H233=0,"0 Current",IF(H233&lt;=30,"1 1-30",IF(H233&lt;=60,"2 31-60",IF(H233&lt;=90,"3 61-90",IF(H233&lt;=120,"4 91-120","5 121+")))))</x:f>
        <x:v>5 121+</x:v>
      </x:c>
      <x:c r="O233" s="9" t="n">
        <x:f>IF(J233&gt;0,1,0)</x:f>
        <x:v>1</x:v>
      </x:c>
    </x:row>
    <x:row r="234">
      <x:c r="A234" s="15" t="str">
        <x:v>230</x:v>
      </x:c>
      <x:c r="B234" s="9" t="str">
        <x:v>Alex</x:v>
      </x:c>
      <x:c r="C234" s="9" t="str">
        <x:v>Auto</x:v>
      </x:c>
      <x:c r="D234" s="9" t="str">
        <x:v>Northeast</x:v>
      </x:c>
      <x:c r="E234" s="9" t="n">
        <x:v>782</x:v>
      </x:c>
      <x:c r="F234" s="11" t="n">
        <x:v>46159</x:v>
      </x:c>
      <x:c r="G234" s="13" t="n">
        <x:v>14763.26</x:v>
      </x:c>
      <x:c r="H234" s="9" t="n">
        <x:v>194</x:v>
      </x:c>
      <x:c r="I234" s="9" t="n">
        <x:v>0</x:v>
      </x:c>
      <x:c r="J234" s="9" t="n">
        <x:v>0</x:v>
      </x:c>
      <x:c r="K234" s="9" t="n">
        <x:v>0</x:v>
      </x:c>
      <x:c r="L234" s="13" t="n">
        <x:f>SUMIFS('Payments'!$D$5:$D$3014,'Payments'!$B$5:$B$3014,A234)</x:f>
        <x:v>2181.13</x:v>
      </x:c>
      <x:c r="M234" s="13" t="n">
        <x:f>G234-L234</x:f>
        <x:v>12582.130000000001</x:v>
      </x:c>
      <x:c r="N234" s="9" t="str">
        <x:f>IF(H234=0,"0 Current",IF(H234&lt;=30,"1 1-30",IF(H234&lt;=60,"2 31-60",IF(H234&lt;=90,"3 61-90",IF(H234&lt;=120,"4 91-120","5 121+")))))</x:f>
        <x:v>5 121+</x:v>
      </x:c>
      <x:c r="O234" s="9" t="n">
        <x:f>IF(J234&gt;0,1,0)</x:f>
        <x:v>0</x:v>
      </x:c>
    </x:row>
    <x:row r="235">
      <x:c r="A235" s="15" t="str">
        <x:v>231</x:v>
      </x:c>
      <x:c r="B235" s="9" t="str">
        <x:v>Jordan</x:v>
      </x:c>
      <x:c r="C235" s="9" t="str">
        <x:v>Auto</x:v>
      </x:c>
      <x:c r="D235" s="9" t="str">
        <x:v>West</x:v>
      </x:c>
      <x:c r="E235" s="9" t="n">
        <x:v>420</x:v>
      </x:c>
      <x:c r="F235" s="11" t="n">
        <x:v>46121</x:v>
      </x:c>
      <x:c r="G235" s="13" t="n">
        <x:v>8511.25</x:v>
      </x:c>
      <x:c r="H235" s="9" t="n">
        <x:v>229</x:v>
      </x:c>
      <x:c r="I235" s="9" t="n">
        <x:v>5</x:v>
      </x:c>
      <x:c r="J235" s="9" t="n">
        <x:v>0</x:v>
      </x:c>
      <x:c r="K235" s="9" t="n">
        <x:v>0</x:v>
      </x:c>
      <x:c r="L235" s="13" t="n">
        <x:f>SUMIFS('Payments'!$D$5:$D$3014,'Payments'!$B$5:$B$3014,A235)</x:f>
        <x:v>0</x:v>
      </x:c>
      <x:c r="M235" s="13" t="n">
        <x:f>G235-L235</x:f>
        <x:v>8511.25</x:v>
      </x:c>
      <x:c r="N235" s="9" t="str">
        <x:f>IF(H235=0,"0 Current",IF(H235&lt;=30,"1 1-30",IF(H235&lt;=60,"2 31-60",IF(H235&lt;=90,"3 61-90",IF(H235&lt;=120,"4 91-120","5 121+")))))</x:f>
        <x:v>5 121+</x:v>
      </x:c>
      <x:c r="O235" s="9" t="n">
        <x:f>IF(J235&gt;0,1,0)</x:f>
        <x:v>0</x:v>
      </x:c>
    </x:row>
    <x:row r="236">
      <x:c r="A236" s="15" t="str">
        <x:v>232</x:v>
      </x:c>
      <x:c r="B236" s="9" t="str">
        <x:v>Riley</x:v>
      </x:c>
      <x:c r="C236" s="9" t="str">
        <x:v>Personal Loan</x:v>
      </x:c>
      <x:c r="D236" s="9" t="str">
        <x:v>South</x:v>
      </x:c>
      <x:c r="E236" s="9" t="n">
        <x:v>606</x:v>
      </x:c>
      <x:c r="F236" s="11" t="n">
        <x:v>46122</x:v>
      </x:c>
      <x:c r="G236" s="13" t="n">
        <x:v>3142.1</x:v>
      </x:c>
      <x:c r="H236" s="9" t="n">
        <x:v>127</x:v>
      </x:c>
      <x:c r="I236" s="9" t="n">
        <x:v>1</x:v>
      </x:c>
      <x:c r="J236" s="9" t="n">
        <x:v>1</x:v>
      </x:c>
      <x:c r="K236" s="9" t="n">
        <x:v>0</x:v>
      </x:c>
      <x:c r="L236" s="13" t="n">
        <x:f>SUMIFS('Payments'!$D$5:$D$3014,'Payments'!$B$5:$B$3014,A236)</x:f>
        <x:v>423.5</x:v>
      </x:c>
      <x:c r="M236" s="13" t="n">
        <x:f>G236-L236</x:f>
        <x:v>2718.6</x:v>
      </x:c>
      <x:c r="N236" s="9" t="str">
        <x:f>IF(H236=0,"0 Current",IF(H236&lt;=30,"1 1-30",IF(H236&lt;=60,"2 31-60",IF(H236&lt;=90,"3 61-90",IF(H236&lt;=120,"4 91-120","5 121+")))))</x:f>
        <x:v>5 121+</x:v>
      </x:c>
      <x:c r="O236" s="9" t="n">
        <x:f>IF(J236&gt;0,1,0)</x:f>
        <x:v>1</x:v>
      </x:c>
    </x:row>
    <x:row r="237">
      <x:c r="A237" s="15" t="str">
        <x:v>233</x:v>
      </x:c>
      <x:c r="B237" s="9" t="str">
        <x:v>Taylor</x:v>
      </x:c>
      <x:c r="C237" s="9" t="str">
        <x:v>Medical</x:v>
      </x:c>
      <x:c r="D237" s="9" t="str">
        <x:v>West</x:v>
      </x:c>
      <x:c r="E237" s="9" t="n">
        <x:v>455</x:v>
      </x:c>
      <x:c r="F237" s="11" t="n">
        <x:v>46156</x:v>
      </x:c>
      <x:c r="G237" s="13" t="n">
        <x:v>19725.44</x:v>
      </x:c>
      <x:c r="H237" s="9" t="n">
        <x:v>189</x:v>
      </x:c>
      <x:c r="I237" s="9" t="n">
        <x:v>7</x:v>
      </x:c>
      <x:c r="J237" s="9" t="n">
        <x:v>4</x:v>
      </x:c>
      <x:c r="K237" s="9" t="n">
        <x:v>1</x:v>
      </x:c>
      <x:c r="L237" s="13" t="n">
        <x:f>SUMIFS('Payments'!$D$5:$D$3014,'Payments'!$B$5:$B$3014,A237)</x:f>
        <x:v>2832.5699999999997</x:v>
      </x:c>
      <x:c r="M237" s="13" t="n">
        <x:f>G237-L237</x:f>
        <x:v>16892.87</x:v>
      </x:c>
      <x:c r="N237" s="9" t="str">
        <x:f>IF(H237=0,"0 Current",IF(H237&lt;=30,"1 1-30",IF(H237&lt;=60,"2 31-60",IF(H237&lt;=90,"3 61-90",IF(H237&lt;=120,"4 91-120","5 121+")))))</x:f>
        <x:v>5 121+</x:v>
      </x:c>
      <x:c r="O237" s="9" t="n">
        <x:f>IF(J237&gt;0,1,0)</x:f>
        <x:v>1</x:v>
      </x:c>
    </x:row>
    <x:row r="238">
      <x:c r="A238" s="15" t="str">
        <x:v>234</x:v>
      </x:c>
      <x:c r="B238" s="9" t="str">
        <x:v>Morgan</x:v>
      </x:c>
      <x:c r="C238" s="9" t="str">
        <x:v>Medical</x:v>
      </x:c>
      <x:c r="D238" s="9" t="str">
        <x:v>Midwest</x:v>
      </x:c>
      <x:c r="E238" s="9" t="n">
        <x:v>739</x:v>
      </x:c>
      <x:c r="F238" s="11" t="n">
        <x:v>46050</x:v>
      </x:c>
      <x:c r="G238" s="13" t="n">
        <x:v>5289.04</x:v>
      </x:c>
      <x:c r="H238" s="9" t="n">
        <x:v>16</x:v>
      </x:c>
      <x:c r="I238" s="9" t="n">
        <x:v>6</x:v>
      </x:c>
      <x:c r="J238" s="9" t="n">
        <x:v>2</x:v>
      </x:c>
      <x:c r="K238" s="9" t="n">
        <x:v>0</x:v>
      </x:c>
      <x:c r="L238" s="13" t="n">
        <x:f>SUMIFS('Payments'!$D$5:$D$3014,'Payments'!$B$5:$B$3014,A238)</x:f>
        <x:v>289.32</x:v>
      </x:c>
      <x:c r="M238" s="13" t="n">
        <x:f>G238-L238</x:f>
        <x:v>4999.72</x:v>
      </x:c>
      <x:c r="N238" s="9" t="str">
        <x:f>IF(H238=0,"0 Current",IF(H238&lt;=30,"1 1-30",IF(H238&lt;=60,"2 31-60",IF(H238&lt;=90,"3 61-90",IF(H238&lt;=120,"4 91-120","5 121+")))))</x:f>
        <x:v>1 1-30</x:v>
      </x:c>
      <x:c r="O238" s="9" t="n">
        <x:f>IF(J238&gt;0,1,0)</x:f>
        <x:v>1</x:v>
      </x:c>
    </x:row>
    <x:row r="239">
      <x:c r="A239" s="15" t="str">
        <x:v>235</x:v>
      </x:c>
      <x:c r="B239" s="9" t="str">
        <x:v>Casey</x:v>
      </x:c>
      <x:c r="C239" s="9" t="str">
        <x:v>Personal Loan</x:v>
      </x:c>
      <x:c r="D239" s="9" t="str">
        <x:v>Midwest</x:v>
      </x:c>
      <x:c r="E239" s="9" t="n">
        <x:v>759</x:v>
      </x:c>
      <x:c r="F239" s="11" t="n">
        <x:v>46059</x:v>
      </x:c>
      <x:c r="G239" s="13" t="n">
        <x:v>17912.83</x:v>
      </x:c>
      <x:c r="H239" s="9" t="n">
        <x:v>141</x:v>
      </x:c>
      <x:c r="I239" s="9" t="n">
        <x:v>0</x:v>
      </x:c>
      <x:c r="J239" s="9" t="n">
        <x:v>0</x:v>
      </x:c>
      <x:c r="K239" s="9" t="n">
        <x:v>0</x:v>
      </x:c>
      <x:c r="L239" s="13" t="n">
        <x:f>SUMIFS('Payments'!$D$5:$D$3014,'Payments'!$B$5:$B$3014,A239)</x:f>
        <x:v>1159.92</x:v>
      </x:c>
      <x:c r="M239" s="13" t="n">
        <x:f>G239-L239</x:f>
        <x:v>16752.910000000003</x:v>
      </x:c>
      <x:c r="N239" s="9" t="str">
        <x:f>IF(H239=0,"0 Current",IF(H239&lt;=30,"1 1-30",IF(H239&lt;=60,"2 31-60",IF(H239&lt;=90,"3 61-90",IF(H239&lt;=120,"4 91-120","5 121+")))))</x:f>
        <x:v>5 121+</x:v>
      </x:c>
      <x:c r="O239" s="9" t="n">
        <x:f>IF(J239&gt;0,1,0)</x:f>
        <x:v>0</x:v>
      </x:c>
    </x:row>
    <x:row r="240">
      <x:c r="A240" s="15" t="str">
        <x:v>236</x:v>
      </x:c>
      <x:c r="B240" s="9" t="str">
        <x:v>Taylor</x:v>
      </x:c>
      <x:c r="C240" s="9" t="str">
        <x:v>Auto</x:v>
      </x:c>
      <x:c r="D240" s="9" t="str">
        <x:v>Northeast</x:v>
      </x:c>
      <x:c r="E240" s="9" t="n">
        <x:v>788</x:v>
      </x:c>
      <x:c r="F240" s="11" t="n">
        <x:v>46057</x:v>
      </x:c>
      <x:c r="G240" s="13" t="n">
        <x:v>4692.95</x:v>
      </x:c>
      <x:c r="H240" s="9" t="n">
        <x:v>199</x:v>
      </x:c>
      <x:c r="I240" s="9" t="n">
        <x:v>1</x:v>
      </x:c>
      <x:c r="J240" s="9" t="n">
        <x:v>0</x:v>
      </x:c>
      <x:c r="K240" s="9" t="n">
        <x:v>0</x:v>
      </x:c>
      <x:c r="L240" s="13" t="n">
        <x:f>SUMIFS('Payments'!$D$5:$D$3014,'Payments'!$B$5:$B$3014,A240)</x:f>
        <x:v>20.24</x:v>
      </x:c>
      <x:c r="M240" s="13" t="n">
        <x:f>G240-L240</x:f>
        <x:v>4672.71</x:v>
      </x:c>
      <x:c r="N240" s="9" t="str">
        <x:f>IF(H240=0,"0 Current",IF(H240&lt;=30,"1 1-30",IF(H240&lt;=60,"2 31-60",IF(H240&lt;=90,"3 61-90",IF(H240&lt;=120,"4 91-120","5 121+")))))</x:f>
        <x:v>5 121+</x:v>
      </x:c>
      <x:c r="O240" s="9" t="n">
        <x:f>IF(J240&gt;0,1,0)</x:f>
        <x:v>0</x:v>
      </x:c>
    </x:row>
    <x:row r="241">
      <x:c r="A241" s="15" t="str">
        <x:v>237</x:v>
      </x:c>
      <x:c r="B241" s="9" t="str">
        <x:v>Morgan</x:v>
      </x:c>
      <x:c r="C241" s="9" t="str">
        <x:v>Auto</x:v>
      </x:c>
      <x:c r="D241" s="9" t="str">
        <x:v>Midwest</x:v>
      </x:c>
      <x:c r="E241" s="9" t="n">
        <x:v>679</x:v>
      </x:c>
      <x:c r="F241" s="11" t="n">
        <x:v>46045</x:v>
      </x:c>
      <x:c r="G241" s="13" t="n">
        <x:v>12400.56</x:v>
      </x:c>
      <x:c r="H241" s="9" t="n">
        <x:v>177</x:v>
      </x:c>
      <x:c r="I241" s="9" t="n">
        <x:v>4</x:v>
      </x:c>
      <x:c r="J241" s="9" t="n">
        <x:v>2</x:v>
      </x:c>
      <x:c r="K241" s="9" t="n">
        <x:v>1</x:v>
      </x:c>
      <x:c r="L241" s="13" t="n">
        <x:f>SUMIFS('Payments'!$D$5:$D$3014,'Payments'!$B$5:$B$3014,A241)</x:f>
        <x:v>550.43</x:v>
      </x:c>
      <x:c r="M241" s="13" t="n">
        <x:f>G241-L241</x:f>
        <x:v>11850.13</x:v>
      </x:c>
      <x:c r="N241" s="9" t="str">
        <x:f>IF(H241=0,"0 Current",IF(H241&lt;=30,"1 1-30",IF(H241&lt;=60,"2 31-60",IF(H241&lt;=90,"3 61-90",IF(H241&lt;=120,"4 91-120","5 121+")))))</x:f>
        <x:v>5 121+</x:v>
      </x:c>
      <x:c r="O241" s="9" t="n">
        <x:f>IF(J241&gt;0,1,0)</x:f>
        <x:v>1</x:v>
      </x:c>
    </x:row>
    <x:row r="242">
      <x:c r="A242" s="15" t="str">
        <x:v>238</x:v>
      </x:c>
      <x:c r="B242" s="9" t="str">
        <x:v>Taylor</x:v>
      </x:c>
      <x:c r="C242" s="9" t="str">
        <x:v>Personal Loan</x:v>
      </x:c>
      <x:c r="D242" s="9" t="str">
        <x:v>Midwest</x:v>
      </x:c>
      <x:c r="E242" s="9" t="n">
        <x:v>761</x:v>
      </x:c>
      <x:c r="F242" s="11" t="n">
        <x:v>46150</x:v>
      </x:c>
      <x:c r="G242" s="13" t="n">
        <x:v>4191.87</x:v>
      </x:c>
      <x:c r="H242" s="9" t="n">
        <x:v>89</x:v>
      </x:c>
      <x:c r="I242" s="9" t="n">
        <x:v>1</x:v>
      </x:c>
      <x:c r="J242" s="9" t="n">
        <x:v>0</x:v>
      </x:c>
      <x:c r="K242" s="9" t="n">
        <x:v>0</x:v>
      </x:c>
      <x:c r="L242" s="13" t="n">
        <x:f>SUMIFS('Payments'!$D$5:$D$3014,'Payments'!$B$5:$B$3014,A242)</x:f>
        <x:v>264.40999999999997</x:v>
      </x:c>
      <x:c r="M242" s="13" t="n">
        <x:f>G242-L242</x:f>
        <x:v>3927.46</x:v>
      </x:c>
      <x:c r="N242" s="9" t="str">
        <x:f>IF(H242=0,"0 Current",IF(H242&lt;=30,"1 1-30",IF(H242&lt;=60,"2 31-60",IF(H242&lt;=90,"3 61-90",IF(H242&lt;=120,"4 91-120","5 121+")))))</x:f>
        <x:v>3 61-90</x:v>
      </x:c>
      <x:c r="O242" s="9" t="n">
        <x:f>IF(J242&gt;0,1,0)</x:f>
        <x:v>0</x:v>
      </x:c>
    </x:row>
    <x:row r="243">
      <x:c r="A243" s="15" t="str">
        <x:v>239</x:v>
      </x:c>
      <x:c r="B243" s="9" t="str">
        <x:v>Casey</x:v>
      </x:c>
      <x:c r="C243" s="9" t="str">
        <x:v>Auto</x:v>
      </x:c>
      <x:c r="D243" s="9" t="str">
        <x:v>West</x:v>
      </x:c>
      <x:c r="E243" s="9" t="n">
        <x:v>587</x:v>
      </x:c>
      <x:c r="F243" s="11" t="n">
        <x:v>46161</x:v>
      </x:c>
      <x:c r="G243" s="13" t="n">
        <x:v>21787.8</x:v>
      </x:c>
      <x:c r="H243" s="9" t="n">
        <x:v>197</x:v>
      </x:c>
      <x:c r="I243" s="9" t="n">
        <x:v>3</x:v>
      </x:c>
      <x:c r="J243" s="9" t="n">
        <x:v>2</x:v>
      </x:c>
      <x:c r="K243" s="9" t="n">
        <x:v>0</x:v>
      </x:c>
      <x:c r="L243" s="13" t="n">
        <x:f>SUMIFS('Payments'!$D$5:$D$3014,'Payments'!$B$5:$B$3014,A243)</x:f>
        <x:v>1459.27</x:v>
      </x:c>
      <x:c r="M243" s="13" t="n">
        <x:f>G243-L243</x:f>
        <x:v>20328.53</x:v>
      </x:c>
      <x:c r="N243" s="9" t="str">
        <x:f>IF(H243=0,"0 Current",IF(H243&lt;=30,"1 1-30",IF(H243&lt;=60,"2 31-60",IF(H243&lt;=90,"3 61-90",IF(H243&lt;=120,"4 91-120","5 121+")))))</x:f>
        <x:v>5 121+</x:v>
      </x:c>
      <x:c r="O243" s="9" t="n">
        <x:f>IF(J243&gt;0,1,0)</x:f>
        <x:v>1</x:v>
      </x:c>
    </x:row>
    <x:row r="244">
      <x:c r="A244" s="15" t="str">
        <x:v>240</x:v>
      </x:c>
      <x:c r="B244" s="9" t="str">
        <x:v>Taylor</x:v>
      </x:c>
      <x:c r="C244" s="9" t="str">
        <x:v>Personal Loan</x:v>
      </x:c>
      <x:c r="D244" s="9" t="str">
        <x:v>West</x:v>
      </x:c>
      <x:c r="E244" s="9" t="n">
        <x:v>776</x:v>
      </x:c>
      <x:c r="F244" s="11" t="n">
        <x:v>46034</x:v>
      </x:c>
      <x:c r="G244" s="13" t="n">
        <x:v>2766.08</x:v>
      </x:c>
      <x:c r="H244" s="9" t="n">
        <x:v>72</x:v>
      </x:c>
      <x:c r="I244" s="9" t="n">
        <x:v>5</x:v>
      </x:c>
      <x:c r="J244" s="9" t="n">
        <x:v>2</x:v>
      </x:c>
      <x:c r="K244" s="9" t="n">
        <x:v>1</x:v>
      </x:c>
      <x:c r="L244" s="13" t="n">
        <x:f>SUMIFS('Payments'!$D$5:$D$3014,'Payments'!$B$5:$B$3014,A244)</x:f>
        <x:v>294.86</x:v>
      </x:c>
      <x:c r="M244" s="13" t="n">
        <x:f>G244-L244</x:f>
        <x:v>2471.22</x:v>
      </x:c>
      <x:c r="N244" s="9" t="str">
        <x:f>IF(H244=0,"0 Current",IF(H244&lt;=30,"1 1-30",IF(H244&lt;=60,"2 31-60",IF(H244&lt;=90,"3 61-90",IF(H244&lt;=120,"4 91-120","5 121+")))))</x:f>
        <x:v>3 61-90</x:v>
      </x:c>
      <x:c r="O244" s="9" t="n">
        <x:f>IF(J244&gt;0,1,0)</x:f>
        <x:v>1</x:v>
      </x:c>
    </x:row>
    <x:row r="245">
      <x:c r="A245" s="15" t="str">
        <x:v>241</x:v>
      </x:c>
      <x:c r="B245" s="9" t="str">
        <x:v>Casey</x:v>
      </x:c>
      <x:c r="C245" s="9" t="str">
        <x:v>Auto</x:v>
      </x:c>
      <x:c r="D245" s="9" t="str">
        <x:v>Midwest</x:v>
      </x:c>
      <x:c r="E245" s="9" t="n">
        <x:v>703</x:v>
      </x:c>
      <x:c r="F245" s="11" t="n">
        <x:v>46052</x:v>
      </x:c>
      <x:c r="G245" s="13" t="n">
        <x:v>3472.06</x:v>
      </x:c>
      <x:c r="H245" s="9" t="n">
        <x:v>151</x:v>
      </x:c>
      <x:c r="I245" s="9" t="n">
        <x:v>1</x:v>
      </x:c>
      <x:c r="J245" s="9" t="n">
        <x:v>1</x:v>
      </x:c>
      <x:c r="K245" s="9" t="n">
        <x:v>0</x:v>
      </x:c>
      <x:c r="L245" s="13" t="n">
        <x:f>SUMIFS('Payments'!$D$5:$D$3014,'Payments'!$B$5:$B$3014,A245)</x:f>
        <x:v>748.37</x:v>
      </x:c>
      <x:c r="M245" s="13" t="n">
        <x:f>G245-L245</x:f>
        <x:v>2723.69</x:v>
      </x:c>
      <x:c r="N245" s="9" t="str">
        <x:f>IF(H245=0,"0 Current",IF(H245&lt;=30,"1 1-30",IF(H245&lt;=60,"2 31-60",IF(H245&lt;=90,"3 61-90",IF(H245&lt;=120,"4 91-120","5 121+")))))</x:f>
        <x:v>5 121+</x:v>
      </x:c>
      <x:c r="O245" s="9" t="n">
        <x:f>IF(J245&gt;0,1,0)</x:f>
        <x:v>1</x:v>
      </x:c>
    </x:row>
    <x:row r="246">
      <x:c r="A246" s="15" t="str">
        <x:v>242</x:v>
      </x:c>
      <x:c r="B246" s="9" t="str">
        <x:v>Casey</x:v>
      </x:c>
      <x:c r="C246" s="9" t="str">
        <x:v>Credit Card</x:v>
      </x:c>
      <x:c r="D246" s="9" t="str">
        <x:v>South</x:v>
      </x:c>
      <x:c r="E246" s="9" t="n">
        <x:v>518</x:v>
      </x:c>
      <x:c r="F246" s="11" t="n">
        <x:v>46074</x:v>
      </x:c>
      <x:c r="G246" s="13" t="n">
        <x:v>16250.96</x:v>
      </x:c>
      <x:c r="H246" s="9" t="n">
        <x:v>120</x:v>
      </x:c>
      <x:c r="I246" s="9" t="n">
        <x:v>5</x:v>
      </x:c>
      <x:c r="J246" s="9" t="n">
        <x:v>1</x:v>
      </x:c>
      <x:c r="K246" s="9" t="n">
        <x:v>0</x:v>
      </x:c>
      <x:c r="L246" s="13" t="n">
        <x:f>SUMIFS('Payments'!$D$5:$D$3014,'Payments'!$B$5:$B$3014,A246)</x:f>
        <x:v>3485.8599999999997</x:v>
      </x:c>
      <x:c r="M246" s="13" t="n">
        <x:f>G246-L246</x:f>
        <x:v>12765.099999999999</x:v>
      </x:c>
      <x:c r="N246" s="9" t="str">
        <x:f>IF(H246=0,"0 Current",IF(H246&lt;=30,"1 1-30",IF(H246&lt;=60,"2 31-60",IF(H246&lt;=90,"3 61-90",IF(H246&lt;=120,"4 91-120","5 121+")))))</x:f>
        <x:v>4 91-120</x:v>
      </x:c>
      <x:c r="O246" s="9" t="n">
        <x:f>IF(J246&gt;0,1,0)</x:f>
        <x:v>1</x:v>
      </x:c>
    </x:row>
    <x:row r="247">
      <x:c r="A247" s="15" t="str">
        <x:v>243</x:v>
      </x:c>
      <x:c r="B247" s="9" t="str">
        <x:v>Morgan</x:v>
      </x:c>
      <x:c r="C247" s="9" t="str">
        <x:v>Auto</x:v>
      </x:c>
      <x:c r="D247" s="9" t="str">
        <x:v>West</x:v>
      </x:c>
      <x:c r="E247" s="9" t="n">
        <x:v>760</x:v>
      </x:c>
      <x:c r="F247" s="11" t="n">
        <x:v>46051</x:v>
      </x:c>
      <x:c r="G247" s="13" t="n">
        <x:v>20025.92</x:v>
      </x:c>
      <x:c r="H247" s="9" t="n">
        <x:v>43</x:v>
      </x:c>
      <x:c r="I247" s="9" t="n">
        <x:v>2</x:v>
      </x:c>
      <x:c r="J247" s="9" t="n">
        <x:v>1</x:v>
      </x:c>
      <x:c r="K247" s="9" t="n">
        <x:v>1</x:v>
      </x:c>
      <x:c r="L247" s="13" t="n">
        <x:f>SUMIFS('Payments'!$D$5:$D$3014,'Payments'!$B$5:$B$3014,A247)</x:f>
        <x:v>2178.7200000000003</x:v>
      </x:c>
      <x:c r="M247" s="13" t="n">
        <x:f>G247-L247</x:f>
        <x:v>17847.199999999997</x:v>
      </x:c>
      <x:c r="N247" s="9" t="str">
        <x:f>IF(H247=0,"0 Current",IF(H247&lt;=30,"1 1-30",IF(H247&lt;=60,"2 31-60",IF(H247&lt;=90,"3 61-90",IF(H247&lt;=120,"4 91-120","5 121+")))))</x:f>
        <x:v>2 31-60</x:v>
      </x:c>
      <x:c r="O247" s="9" t="n">
        <x:f>IF(J247&gt;0,1,0)</x:f>
        <x:v>1</x:v>
      </x:c>
    </x:row>
    <x:row r="248">
      <x:c r="A248" s="15" t="str">
        <x:v>244</x:v>
      </x:c>
      <x:c r="B248" s="9" t="str">
        <x:v>Casey</x:v>
      </x:c>
      <x:c r="C248" s="9" t="str">
        <x:v>Auto</x:v>
      </x:c>
      <x:c r="D248" s="9" t="str">
        <x:v>West</x:v>
      </x:c>
      <x:c r="E248" s="9" t="n">
        <x:v>766</x:v>
      </x:c>
      <x:c r="F248" s="11" t="n">
        <x:v>46156</x:v>
      </x:c>
      <x:c r="G248" s="13" t="n">
        <x:v>21019.09</x:v>
      </x:c>
      <x:c r="H248" s="9" t="n">
        <x:v>214</x:v>
      </x:c>
      <x:c r="I248" s="9" t="n">
        <x:v>3</x:v>
      </x:c>
      <x:c r="J248" s="9" t="n">
        <x:v>2</x:v>
      </x:c>
      <x:c r="K248" s="9" t="n">
        <x:v>1</x:v>
      </x:c>
      <x:c r="L248" s="13" t="n">
        <x:f>SUMIFS('Payments'!$D$5:$D$3014,'Payments'!$B$5:$B$3014,A248)</x:f>
        <x:v>4605.35</x:v>
      </x:c>
      <x:c r="M248" s="13" t="n">
        <x:f>G248-L248</x:f>
        <x:v>16413.739999999998</x:v>
      </x:c>
      <x:c r="N248" s="9" t="str">
        <x:f>IF(H248=0,"0 Current",IF(H248&lt;=30,"1 1-30",IF(H248&lt;=60,"2 31-60",IF(H248&lt;=90,"3 61-90",IF(H248&lt;=120,"4 91-120","5 121+")))))</x:f>
        <x:v>5 121+</x:v>
      </x:c>
      <x:c r="O248" s="9" t="n">
        <x:f>IF(J248&gt;0,1,0)</x:f>
        <x:v>1</x:v>
      </x:c>
    </x:row>
    <x:row r="249">
      <x:c r="A249" s="15" t="str">
        <x:v>245</x:v>
      </x:c>
      <x:c r="B249" s="9" t="str">
        <x:v>Morgan</x:v>
      </x:c>
      <x:c r="C249" s="9" t="str">
        <x:v>Credit Card</x:v>
      </x:c>
      <x:c r="D249" s="9" t="str">
        <x:v>South</x:v>
      </x:c>
      <x:c r="E249" s="9" t="n">
        <x:v>735</x:v>
      </x:c>
      <x:c r="F249" s="11" t="n">
        <x:v>46169</x:v>
      </x:c>
      <x:c r="G249" s="13" t="n">
        <x:v>712.96</x:v>
      </x:c>
      <x:c r="H249" s="9" t="n">
        <x:v>10</x:v>
      </x:c>
      <x:c r="I249" s="9" t="n">
        <x:v>7</x:v>
      </x:c>
      <x:c r="J249" s="9" t="n">
        <x:v>3</x:v>
      </x:c>
      <x:c r="K249" s="9" t="n">
        <x:v>1</x:v>
      </x:c>
      <x:c r="L249" s="13" t="n">
        <x:f>SUMIFS('Payments'!$D$5:$D$3014,'Payments'!$B$5:$B$3014,A249)</x:f>
        <x:v>136.32999999999998</x:v>
      </x:c>
      <x:c r="M249" s="13" t="n">
        <x:f>G249-L249</x:f>
        <x:v>576.6300000000001</x:v>
      </x:c>
      <x:c r="N249" s="9" t="str">
        <x:f>IF(H249=0,"0 Current",IF(H249&lt;=30,"1 1-30",IF(H249&lt;=60,"2 31-60",IF(H249&lt;=90,"3 61-90",IF(H249&lt;=120,"4 91-120","5 121+")))))</x:f>
        <x:v>1 1-30</x:v>
      </x:c>
      <x:c r="O249" s="9" t="n">
        <x:f>IF(J249&gt;0,1,0)</x:f>
        <x:v>1</x:v>
      </x:c>
    </x:row>
    <x:row r="250">
      <x:c r="A250" s="15" t="str">
        <x:v>246</x:v>
      </x:c>
      <x:c r="B250" s="9" t="str">
        <x:v>Taylor</x:v>
      </x:c>
      <x:c r="C250" s="9" t="str">
        <x:v>Auto</x:v>
      </x:c>
      <x:c r="D250" s="9" t="str">
        <x:v>Midwest</x:v>
      </x:c>
      <x:c r="E250" s="9" t="n">
        <x:v>627</x:v>
      </x:c>
      <x:c r="F250" s="11" t="n">
        <x:v>46101</x:v>
      </x:c>
      <x:c r="G250" s="13" t="n">
        <x:v>7286.5</x:v>
      </x:c>
      <x:c r="H250" s="9" t="n">
        <x:v>219</x:v>
      </x:c>
      <x:c r="I250" s="9" t="n">
        <x:v>5</x:v>
      </x:c>
      <x:c r="J250" s="9" t="n">
        <x:v>0</x:v>
      </x:c>
      <x:c r="K250" s="9" t="n">
        <x:v>0</x:v>
      </x:c>
      <x:c r="L250" s="13" t="n">
        <x:f>SUMIFS('Payments'!$D$5:$D$3014,'Payments'!$B$5:$B$3014,A250)</x:f>
        <x:v>2114.17</x:v>
      </x:c>
      <x:c r="M250" s="13" t="n">
        <x:f>G250-L250</x:f>
        <x:v>5172.33</x:v>
      </x:c>
      <x:c r="N250" s="9" t="str">
        <x:f>IF(H250=0,"0 Current",IF(H250&lt;=30,"1 1-30",IF(H250&lt;=60,"2 31-60",IF(H250&lt;=90,"3 61-90",IF(H250&lt;=120,"4 91-120","5 121+")))))</x:f>
        <x:v>5 121+</x:v>
      </x:c>
      <x:c r="O250" s="9" t="n">
        <x:f>IF(J250&gt;0,1,0)</x:f>
        <x:v>0</x:v>
      </x:c>
    </x:row>
    <x:row r="251">
      <x:c r="A251" s="15" t="str">
        <x:v>247</x:v>
      </x:c>
      <x:c r="B251" s="9" t="str">
        <x:v>Riley</x:v>
      </x:c>
      <x:c r="C251" s="9" t="str">
        <x:v>Medical</x:v>
      </x:c>
      <x:c r="D251" s="9" t="str">
        <x:v>Northeast</x:v>
      </x:c>
      <x:c r="E251" s="9" t="n">
        <x:v>575</x:v>
      </x:c>
      <x:c r="F251" s="11" t="n">
        <x:v>46092</x:v>
      </x:c>
      <x:c r="G251" s="13" t="n">
        <x:v>23251.37</x:v>
      </x:c>
      <x:c r="H251" s="9" t="n">
        <x:v>201</x:v>
      </x:c>
      <x:c r="I251" s="9" t="n">
        <x:v>5</x:v>
      </x:c>
      <x:c r="J251" s="9" t="n">
        <x:v>2</x:v>
      </x:c>
      <x:c r="K251" s="9" t="n">
        <x:v>1</x:v>
      </x:c>
      <x:c r="L251" s="13" t="n">
        <x:f>SUMIFS('Payments'!$D$5:$D$3014,'Payments'!$B$5:$B$3014,A251)</x:f>
        <x:v>0</x:v>
      </x:c>
      <x:c r="M251" s="13" t="n">
        <x:f>G251-L251</x:f>
        <x:v>23251.37</x:v>
      </x:c>
      <x:c r="N251" s="9" t="str">
        <x:f>IF(H251=0,"0 Current",IF(H251&lt;=30,"1 1-30",IF(H251&lt;=60,"2 31-60",IF(H251&lt;=90,"3 61-90",IF(H251&lt;=120,"4 91-120","5 121+")))))</x:f>
        <x:v>5 121+</x:v>
      </x:c>
      <x:c r="O251" s="9" t="n">
        <x:f>IF(J251&gt;0,1,0)</x:f>
        <x:v>1</x:v>
      </x:c>
    </x:row>
    <x:row r="252">
      <x:c r="A252" s="15" t="str">
        <x:v>248</x:v>
      </x:c>
      <x:c r="B252" s="9" t="str">
        <x:v>Jordan</x:v>
      </x:c>
      <x:c r="C252" s="9" t="str">
        <x:v>Medical</x:v>
      </x:c>
      <x:c r="D252" s="9" t="str">
        <x:v>Midwest</x:v>
      </x:c>
      <x:c r="E252" s="9" t="n">
        <x:v>527</x:v>
      </x:c>
      <x:c r="F252" s="11" t="n">
        <x:v>46033</x:v>
      </x:c>
      <x:c r="G252" s="13" t="n">
        <x:v>15833.16</x:v>
      </x:c>
      <x:c r="H252" s="9" t="n">
        <x:v>165</x:v>
      </x:c>
      <x:c r="I252" s="9" t="n">
        <x:v>1</x:v>
      </x:c>
      <x:c r="J252" s="9" t="n">
        <x:v>0</x:v>
      </x:c>
      <x:c r="K252" s="9" t="n">
        <x:v>0</x:v>
      </x:c>
      <x:c r="L252" s="13" t="n">
        <x:f>SUMIFS('Payments'!$D$5:$D$3014,'Payments'!$B$5:$B$3014,A252)</x:f>
        <x:v>4346.15</x:v>
      </x:c>
      <x:c r="M252" s="13" t="n">
        <x:f>G252-L252</x:f>
        <x:v>11487.01</x:v>
      </x:c>
      <x:c r="N252" s="9" t="str">
        <x:f>IF(H252=0,"0 Current",IF(H252&lt;=30,"1 1-30",IF(H252&lt;=60,"2 31-60",IF(H252&lt;=90,"3 61-90",IF(H252&lt;=120,"4 91-120","5 121+")))))</x:f>
        <x:v>5 121+</x:v>
      </x:c>
      <x:c r="O252" s="9" t="n">
        <x:f>IF(J252&gt;0,1,0)</x:f>
        <x:v>0</x:v>
      </x:c>
    </x:row>
    <x:row r="253">
      <x:c r="A253" s="15" t="str">
        <x:v>249</x:v>
      </x:c>
      <x:c r="B253" s="9" t="str">
        <x:v>Taylor</x:v>
      </x:c>
      <x:c r="C253" s="9" t="str">
        <x:v>Medical</x:v>
      </x:c>
      <x:c r="D253" s="9" t="str">
        <x:v>West</x:v>
      </x:c>
      <x:c r="E253" s="9" t="n">
        <x:v>716</x:v>
      </x:c>
      <x:c r="F253" s="11" t="n">
        <x:v>46171</x:v>
      </x:c>
      <x:c r="G253" s="13" t="n">
        <x:v>9299.39</x:v>
      </x:c>
      <x:c r="H253" s="9" t="n">
        <x:v>82</x:v>
      </x:c>
      <x:c r="I253" s="9" t="n">
        <x:v>4</x:v>
      </x:c>
      <x:c r="J253" s="9" t="n">
        <x:v>0</x:v>
      </x:c>
      <x:c r="K253" s="9" t="n">
        <x:v>0</x:v>
      </x:c>
      <x:c r="L253" s="13" t="n">
        <x:f>SUMIFS('Payments'!$D$5:$D$3014,'Payments'!$B$5:$B$3014,A253)</x:f>
        <x:v>1262.01</x:v>
      </x:c>
      <x:c r="M253" s="13" t="n">
        <x:f>G253-L253</x:f>
        <x:v>8037.379999999999</x:v>
      </x:c>
      <x:c r="N253" s="9" t="str">
        <x:f>IF(H253=0,"0 Current",IF(H253&lt;=30,"1 1-30",IF(H253&lt;=60,"2 31-60",IF(H253&lt;=90,"3 61-90",IF(H253&lt;=120,"4 91-120","5 121+")))))</x:f>
        <x:v>3 61-90</x:v>
      </x:c>
      <x:c r="O253" s="9" t="n">
        <x:f>IF(J253&gt;0,1,0)</x:f>
        <x:v>0</x:v>
      </x:c>
    </x:row>
    <x:row r="254">
      <x:c r="A254" s="15" t="str">
        <x:v>250</x:v>
      </x:c>
      <x:c r="B254" s="9" t="str">
        <x:v>Jordan</x:v>
      </x:c>
      <x:c r="C254" s="9" t="str">
        <x:v>Auto</x:v>
      </x:c>
      <x:c r="D254" s="9" t="str">
        <x:v>Midwest</x:v>
      </x:c>
      <x:c r="E254" s="9" t="n">
        <x:v>658</x:v>
      </x:c>
      <x:c r="F254" s="11" t="n">
        <x:v>46159</x:v>
      </x:c>
      <x:c r="G254" s="13" t="n">
        <x:v>22849.57</x:v>
      </x:c>
      <x:c r="H254" s="9" t="n">
        <x:v>158</x:v>
      </x:c>
      <x:c r="I254" s="9" t="n">
        <x:v>1</x:v>
      </x:c>
      <x:c r="J254" s="9" t="n">
        <x:v>1</x:v>
      </x:c>
      <x:c r="K254" s="9" t="n">
        <x:v>0</x:v>
      </x:c>
      <x:c r="L254" s="13" t="n">
        <x:f>SUMIFS('Payments'!$D$5:$D$3014,'Payments'!$B$5:$B$3014,A254)</x:f>
        <x:v>2764.6400000000003</x:v>
      </x:c>
      <x:c r="M254" s="13" t="n">
        <x:f>G254-L254</x:f>
        <x:v>20084.93</x:v>
      </x:c>
      <x:c r="N254" s="9" t="str">
        <x:f>IF(H254=0,"0 Current",IF(H254&lt;=30,"1 1-30",IF(H254&lt;=60,"2 31-60",IF(H254&lt;=90,"3 61-90",IF(H254&lt;=120,"4 91-120","5 121+")))))</x:f>
        <x:v>5 121+</x:v>
      </x:c>
      <x:c r="O254" s="9" t="n">
        <x:f>IF(J254&gt;0,1,0)</x:f>
        <x:v>1</x:v>
      </x:c>
    </x:row>
    <x:row r="255">
      <x:c r="A255" s="15" t="str">
        <x:v>251</x:v>
      </x:c>
      <x:c r="B255" s="9" t="str">
        <x:v>Alex</x:v>
      </x:c>
      <x:c r="C255" s="9" t="str">
        <x:v>Medical</x:v>
      </x:c>
      <x:c r="D255" s="9" t="str">
        <x:v>West</x:v>
      </x:c>
      <x:c r="E255" s="9" t="n">
        <x:v>646</x:v>
      </x:c>
      <x:c r="F255" s="11" t="n">
        <x:v>46096</x:v>
      </x:c>
      <x:c r="G255" s="13" t="n">
        <x:v>3727.4</x:v>
      </x:c>
      <x:c r="H255" s="9" t="n">
        <x:v>70</x:v>
      </x:c>
      <x:c r="I255" s="9" t="n">
        <x:v>2</x:v>
      </x:c>
      <x:c r="J255" s="9" t="n">
        <x:v>0</x:v>
      </x:c>
      <x:c r="K255" s="9" t="n">
        <x:v>0</x:v>
      </x:c>
      <x:c r="L255" s="13" t="n">
        <x:f>SUMIFS('Payments'!$D$5:$D$3014,'Payments'!$B$5:$B$3014,A255)</x:f>
        <x:v>0</x:v>
      </x:c>
      <x:c r="M255" s="13" t="n">
        <x:f>G255-L255</x:f>
        <x:v>3727.4</x:v>
      </x:c>
      <x:c r="N255" s="9" t="str">
        <x:f>IF(H255=0,"0 Current",IF(H255&lt;=30,"1 1-30",IF(H255&lt;=60,"2 31-60",IF(H255&lt;=90,"3 61-90",IF(H255&lt;=120,"4 91-120","5 121+")))))</x:f>
        <x:v>3 61-90</x:v>
      </x:c>
      <x:c r="O255" s="9" t="n">
        <x:f>IF(J255&gt;0,1,0)</x:f>
        <x:v>0</x:v>
      </x:c>
    </x:row>
    <x:row r="256">
      <x:c r="A256" s="15" t="str">
        <x:v>252</x:v>
      </x:c>
      <x:c r="B256" s="9" t="str">
        <x:v>Morgan</x:v>
      </x:c>
      <x:c r="C256" s="9" t="str">
        <x:v>Medical</x:v>
      </x:c>
      <x:c r="D256" s="9" t="str">
        <x:v>South</x:v>
      </x:c>
      <x:c r="E256" s="9" t="n">
        <x:v>681</x:v>
      </x:c>
      <x:c r="F256" s="11" t="n">
        <x:v>46028</x:v>
      </x:c>
      <x:c r="G256" s="13" t="n">
        <x:v>12796.41</x:v>
      </x:c>
      <x:c r="H256" s="9" t="n">
        <x:v>121</x:v>
      </x:c>
      <x:c r="I256" s="9" t="n">
        <x:v>3</x:v>
      </x:c>
      <x:c r="J256" s="9" t="n">
        <x:v>2</x:v>
      </x:c>
      <x:c r="K256" s="9" t="n">
        <x:v>0</x:v>
      </x:c>
      <x:c r="L256" s="13" t="n">
        <x:f>SUMIFS('Payments'!$D$5:$D$3014,'Payments'!$B$5:$B$3014,A256)</x:f>
        <x:v>1177.6499999999999</x:v>
      </x:c>
      <x:c r="M256" s="13" t="n">
        <x:f>G256-L256</x:f>
        <x:v>11618.76</x:v>
      </x:c>
      <x:c r="N256" s="9" t="str">
        <x:f>IF(H256=0,"0 Current",IF(H256&lt;=30,"1 1-30",IF(H256&lt;=60,"2 31-60",IF(H256&lt;=90,"3 61-90",IF(H256&lt;=120,"4 91-120","5 121+")))))</x:f>
        <x:v>5 121+</x:v>
      </x:c>
      <x:c r="O256" s="9" t="n">
        <x:f>IF(J256&gt;0,1,0)</x:f>
        <x:v>1</x:v>
      </x:c>
    </x:row>
    <x:row r="257">
      <x:c r="A257" s="15" t="str">
        <x:v>253</x:v>
      </x:c>
      <x:c r="B257" s="9" t="str">
        <x:v>Jordan</x:v>
      </x:c>
      <x:c r="C257" s="9" t="str">
        <x:v>Personal Loan</x:v>
      </x:c>
      <x:c r="D257" s="9" t="str">
        <x:v>West</x:v>
      </x:c>
      <x:c r="E257" s="9" t="n">
        <x:v>796</x:v>
      </x:c>
      <x:c r="F257" s="11" t="n">
        <x:v>46128</x:v>
      </x:c>
      <x:c r="G257" s="13" t="n">
        <x:v>24772.63</x:v>
      </x:c>
      <x:c r="H257" s="9" t="n">
        <x:v>124</x:v>
      </x:c>
      <x:c r="I257" s="9" t="n">
        <x:v>2</x:v>
      </x:c>
      <x:c r="J257" s="9" t="n">
        <x:v>1</x:v>
      </x:c>
      <x:c r="K257" s="9" t="n">
        <x:v>1</x:v>
      </x:c>
      <x:c r="L257" s="13" t="n">
        <x:f>SUMIFS('Payments'!$D$5:$D$3014,'Payments'!$B$5:$B$3014,A257)</x:f>
        <x:v>7440.09</x:v>
      </x:c>
      <x:c r="M257" s="13" t="n">
        <x:f>G257-L257</x:f>
        <x:v>17332.54</x:v>
      </x:c>
      <x:c r="N257" s="9" t="str">
        <x:f>IF(H257=0,"0 Current",IF(H257&lt;=30,"1 1-30",IF(H257&lt;=60,"2 31-60",IF(H257&lt;=90,"3 61-90",IF(H257&lt;=120,"4 91-120","5 121+")))))</x:f>
        <x:v>5 121+</x:v>
      </x:c>
      <x:c r="O257" s="9" t="n">
        <x:f>IF(J257&gt;0,1,0)</x:f>
        <x:v>1</x:v>
      </x:c>
    </x:row>
    <x:row r="258">
      <x:c r="A258" s="15" t="str">
        <x:v>254</x:v>
      </x:c>
      <x:c r="B258" s="9" t="str">
        <x:v>Jordan</x:v>
      </x:c>
      <x:c r="C258" s="9" t="str">
        <x:v>Personal Loan</x:v>
      </x:c>
      <x:c r="D258" s="9" t="str">
        <x:v>South</x:v>
      </x:c>
      <x:c r="E258" s="9" t="n">
        <x:v>757</x:v>
      </x:c>
      <x:c r="F258" s="11" t="n">
        <x:v>46035</x:v>
      </x:c>
      <x:c r="G258" s="13" t="n">
        <x:v>6721.76</x:v>
      </x:c>
      <x:c r="H258" s="9" t="n">
        <x:v>116</x:v>
      </x:c>
      <x:c r="I258" s="9" t="n">
        <x:v>8</x:v>
      </x:c>
      <x:c r="J258" s="9" t="n">
        <x:v>2</x:v>
      </x:c>
      <x:c r="K258" s="9" t="n">
        <x:v>0</x:v>
      </x:c>
      <x:c r="L258" s="13" t="n">
        <x:f>SUMIFS('Payments'!$D$5:$D$3014,'Payments'!$B$5:$B$3014,A258)</x:f>
        <x:v>820.85</x:v>
      </x:c>
      <x:c r="M258" s="13" t="n">
        <x:f>G258-L258</x:f>
        <x:v>5900.91</x:v>
      </x:c>
      <x:c r="N258" s="9" t="str">
        <x:f>IF(H258=0,"0 Current",IF(H258&lt;=30,"1 1-30",IF(H258&lt;=60,"2 31-60",IF(H258&lt;=90,"3 61-90",IF(H258&lt;=120,"4 91-120","5 121+")))))</x:f>
        <x:v>4 91-120</x:v>
      </x:c>
      <x:c r="O258" s="9" t="n">
        <x:f>IF(J258&gt;0,1,0)</x:f>
        <x:v>1</x:v>
      </x:c>
    </x:row>
    <x:row r="259">
      <x:c r="A259" s="15" t="str">
        <x:v>255</x:v>
      </x:c>
      <x:c r="B259" s="9" t="str">
        <x:v>Jordan</x:v>
      </x:c>
      <x:c r="C259" s="9" t="str">
        <x:v>Auto</x:v>
      </x:c>
      <x:c r="D259" s="9" t="str">
        <x:v>Northeast</x:v>
      </x:c>
      <x:c r="E259" s="9" t="n">
        <x:v>565</x:v>
      </x:c>
      <x:c r="F259" s="11" t="n">
        <x:v>46111</x:v>
      </x:c>
      <x:c r="G259" s="13" t="n">
        <x:v>6705.23</x:v>
      </x:c>
      <x:c r="H259" s="9" t="n">
        <x:v>138</x:v>
      </x:c>
      <x:c r="I259" s="9" t="n">
        <x:v>1</x:v>
      </x:c>
      <x:c r="J259" s="9" t="n">
        <x:v>0</x:v>
      </x:c>
      <x:c r="K259" s="9" t="n">
        <x:v>0</x:v>
      </x:c>
      <x:c r="L259" s="13" t="n">
        <x:f>SUMIFS('Payments'!$D$5:$D$3014,'Payments'!$B$5:$B$3014,A259)</x:f>
        <x:v>709.45</x:v>
      </x:c>
      <x:c r="M259" s="13" t="n">
        <x:f>G259-L259</x:f>
        <x:v>5995.78</x:v>
      </x:c>
      <x:c r="N259" s="9" t="str">
        <x:f>IF(H259=0,"0 Current",IF(H259&lt;=30,"1 1-30",IF(H259&lt;=60,"2 31-60",IF(H259&lt;=90,"3 61-90",IF(H259&lt;=120,"4 91-120","5 121+")))))</x:f>
        <x:v>5 121+</x:v>
      </x:c>
      <x:c r="O259" s="9" t="n">
        <x:f>IF(J259&gt;0,1,0)</x:f>
        <x:v>0</x:v>
      </x:c>
    </x:row>
    <x:row r="260">
      <x:c r="A260" s="15" t="str">
        <x:v>256</x:v>
      </x:c>
      <x:c r="B260" s="9" t="str">
        <x:v>Morgan</x:v>
      </x:c>
      <x:c r="C260" s="9" t="str">
        <x:v>Personal Loan</x:v>
      </x:c>
      <x:c r="D260" s="9" t="str">
        <x:v>Midwest</x:v>
      </x:c>
      <x:c r="E260" s="9" t="n">
        <x:v>467</x:v>
      </x:c>
      <x:c r="F260" s="11" t="n">
        <x:v>46150</x:v>
      </x:c>
      <x:c r="G260" s="13" t="n">
        <x:v>6597.84</x:v>
      </x:c>
      <x:c r="H260" s="9" t="n">
        <x:v>39</x:v>
      </x:c>
      <x:c r="I260" s="9" t="n">
        <x:v>8</x:v>
      </x:c>
      <x:c r="J260" s="9" t="n">
        <x:v>4</x:v>
      </x:c>
      <x:c r="K260" s="9" t="n">
        <x:v>1</x:v>
      </x:c>
      <x:c r="L260" s="13" t="n">
        <x:f>SUMIFS('Payments'!$D$5:$D$3014,'Payments'!$B$5:$B$3014,A260)</x:f>
        <x:v>0</x:v>
      </x:c>
      <x:c r="M260" s="13" t="n">
        <x:f>G260-L260</x:f>
        <x:v>6597.84</x:v>
      </x:c>
      <x:c r="N260" s="9" t="str">
        <x:f>IF(H260=0,"0 Current",IF(H260&lt;=30,"1 1-30",IF(H260&lt;=60,"2 31-60",IF(H260&lt;=90,"3 61-90",IF(H260&lt;=120,"4 91-120","5 121+")))))</x:f>
        <x:v>2 31-60</x:v>
      </x:c>
      <x:c r="O260" s="9" t="n">
        <x:f>IF(J260&gt;0,1,0)</x:f>
        <x:v>1</x:v>
      </x:c>
    </x:row>
    <x:row r="261">
      <x:c r="A261" s="15" t="str">
        <x:v>257</x:v>
      </x:c>
      <x:c r="B261" s="9" t="str">
        <x:v>Taylor</x:v>
      </x:c>
      <x:c r="C261" s="9" t="str">
        <x:v>Credit Card</x:v>
      </x:c>
      <x:c r="D261" s="9" t="str">
        <x:v>South</x:v>
      </x:c>
      <x:c r="E261" s="9" t="n">
        <x:v>764</x:v>
      </x:c>
      <x:c r="F261" s="11" t="n">
        <x:v>46033</x:v>
      </x:c>
      <x:c r="G261" s="13" t="n">
        <x:v>6347.83</x:v>
      </x:c>
      <x:c r="H261" s="9" t="n">
        <x:v>78</x:v>
      </x:c>
      <x:c r="I261" s="9" t="n">
        <x:v>6</x:v>
      </x:c>
      <x:c r="J261" s="9" t="n">
        <x:v>1</x:v>
      </x:c>
      <x:c r="K261" s="9" t="n">
        <x:v>0</x:v>
      </x:c>
      <x:c r="L261" s="13" t="n">
        <x:f>SUMIFS('Payments'!$D$5:$D$3014,'Payments'!$B$5:$B$3014,A261)</x:f>
        <x:v>0</x:v>
      </x:c>
      <x:c r="M261" s="13" t="n">
        <x:f>G261-L261</x:f>
        <x:v>6347.83</x:v>
      </x:c>
      <x:c r="N261" s="9" t="str">
        <x:f>IF(H261=0,"0 Current",IF(H261&lt;=30,"1 1-30",IF(H261&lt;=60,"2 31-60",IF(H261&lt;=90,"3 61-90",IF(H261&lt;=120,"4 91-120","5 121+")))))</x:f>
        <x:v>3 61-90</x:v>
      </x:c>
      <x:c r="O261" s="9" t="n">
        <x:f>IF(J261&gt;0,1,0)</x:f>
        <x:v>1</x:v>
      </x:c>
    </x:row>
    <x:row r="262">
      <x:c r="A262" s="15" t="str">
        <x:v>258</x:v>
      </x:c>
      <x:c r="B262" s="9" t="str">
        <x:v>Morgan</x:v>
      </x:c>
      <x:c r="C262" s="9" t="str">
        <x:v>Credit Card</x:v>
      </x:c>
      <x:c r="D262" s="9" t="str">
        <x:v>Midwest</x:v>
      </x:c>
      <x:c r="E262" s="9" t="n">
        <x:v>535</x:v>
      </x:c>
      <x:c r="F262" s="11" t="n">
        <x:v>46044</x:v>
      </x:c>
      <x:c r="G262" s="13" t="n">
        <x:v>23082.64</x:v>
      </x:c>
      <x:c r="H262" s="9" t="n">
        <x:v>131</x:v>
      </x:c>
      <x:c r="I262" s="9" t="n">
        <x:v>5</x:v>
      </x:c>
      <x:c r="J262" s="9" t="n">
        <x:v>1</x:v>
      </x:c>
      <x:c r="K262" s="9" t="n">
        <x:v>0</x:v>
      </x:c>
      <x:c r="L262" s="13" t="n">
        <x:f>SUMIFS('Payments'!$D$5:$D$3014,'Payments'!$B$5:$B$3014,A262)</x:f>
        <x:v>5397.450000000001</x:v>
      </x:c>
      <x:c r="M262" s="13" t="n">
        <x:f>G262-L262</x:f>
        <x:v>17685.19</x:v>
      </x:c>
      <x:c r="N262" s="9" t="str">
        <x:f>IF(H262=0,"0 Current",IF(H262&lt;=30,"1 1-30",IF(H262&lt;=60,"2 31-60",IF(H262&lt;=90,"3 61-90",IF(H262&lt;=120,"4 91-120","5 121+")))))</x:f>
        <x:v>5 121+</x:v>
      </x:c>
      <x:c r="O262" s="9" t="n">
        <x:f>IF(J262&gt;0,1,0)</x:f>
        <x:v>1</x:v>
      </x:c>
    </x:row>
    <x:row r="263">
      <x:c r="A263" s="15" t="str">
        <x:v>259</x:v>
      </x:c>
      <x:c r="B263" s="9" t="str">
        <x:v>Taylor</x:v>
      </x:c>
      <x:c r="C263" s="9" t="str">
        <x:v>Auto</x:v>
      </x:c>
      <x:c r="D263" s="9" t="str">
        <x:v>South</x:v>
      </x:c>
      <x:c r="E263" s="9" t="n">
        <x:v>495</x:v>
      </x:c>
      <x:c r="F263" s="11" t="n">
        <x:v>46045</x:v>
      </x:c>
      <x:c r="G263" s="13" t="n">
        <x:v>9546.91</x:v>
      </x:c>
      <x:c r="H263" s="9" t="n">
        <x:v>189</x:v>
      </x:c>
      <x:c r="I263" s="9" t="n">
        <x:v>6</x:v>
      </x:c>
      <x:c r="J263" s="9" t="n">
        <x:v>4</x:v>
      </x:c>
      <x:c r="K263" s="9" t="n">
        <x:v>1</x:v>
      </x:c>
      <x:c r="L263" s="13" t="n">
        <x:f>SUMIFS('Payments'!$D$5:$D$3014,'Payments'!$B$5:$B$3014,A263)</x:f>
        <x:v>2517.7200000000003</x:v>
      </x:c>
      <x:c r="M263" s="13" t="n">
        <x:f>G263-L263</x:f>
        <x:v>7029.19</x:v>
      </x:c>
      <x:c r="N263" s="9" t="str">
        <x:f>IF(H263=0,"0 Current",IF(H263&lt;=30,"1 1-30",IF(H263&lt;=60,"2 31-60",IF(H263&lt;=90,"3 61-90",IF(H263&lt;=120,"4 91-120","5 121+")))))</x:f>
        <x:v>5 121+</x:v>
      </x:c>
      <x:c r="O263" s="9" t="n">
        <x:f>IF(J263&gt;0,1,0)</x:f>
        <x:v>1</x:v>
      </x:c>
    </x:row>
    <x:row r="264">
      <x:c r="A264" s="15" t="str">
        <x:v>260</x:v>
      </x:c>
      <x:c r="B264" s="9" t="str">
        <x:v>Morgan</x:v>
      </x:c>
      <x:c r="C264" s="9" t="str">
        <x:v>Personal Loan</x:v>
      </x:c>
      <x:c r="D264" s="9" t="str">
        <x:v>Northeast</x:v>
      </x:c>
      <x:c r="E264" s="9" t="n">
        <x:v>443</x:v>
      </x:c>
      <x:c r="F264" s="11" t="n">
        <x:v>46045</x:v>
      </x:c>
      <x:c r="G264" s="13" t="n">
        <x:v>777.61</x:v>
      </x:c>
      <x:c r="H264" s="9" t="n">
        <x:v>106</x:v>
      </x:c>
      <x:c r="I264" s="9" t="n">
        <x:v>2</x:v>
      </x:c>
      <x:c r="J264" s="9" t="n">
        <x:v>0</x:v>
      </x:c>
      <x:c r="K264" s="9" t="n">
        <x:v>0</x:v>
      </x:c>
      <x:c r="L264" s="13" t="n">
        <x:f>SUMIFS('Payments'!$D$5:$D$3014,'Payments'!$B$5:$B$3014,A264)</x:f>
        <x:v>85.71</x:v>
      </x:c>
      <x:c r="M264" s="13" t="n">
        <x:f>G264-L264</x:f>
        <x:v>691.9</x:v>
      </x:c>
      <x:c r="N264" s="9" t="str">
        <x:f>IF(H264=0,"0 Current",IF(H264&lt;=30,"1 1-30",IF(H264&lt;=60,"2 31-60",IF(H264&lt;=90,"3 61-90",IF(H264&lt;=120,"4 91-120","5 121+")))))</x:f>
        <x:v>4 91-120</x:v>
      </x:c>
      <x:c r="O264" s="9" t="n">
        <x:f>IF(J264&gt;0,1,0)</x:f>
        <x:v>0</x:v>
      </x:c>
    </x:row>
    <x:row r="265">
      <x:c r="A265" s="15" t="str">
        <x:v>261</x:v>
      </x:c>
      <x:c r="B265" s="9" t="str">
        <x:v>Jordan</x:v>
      </x:c>
      <x:c r="C265" s="9" t="str">
        <x:v>Personal Loan</x:v>
      </x:c>
      <x:c r="D265" s="9" t="str">
        <x:v>South</x:v>
      </x:c>
      <x:c r="E265" s="9" t="n">
        <x:v>663</x:v>
      </x:c>
      <x:c r="F265" s="11" t="n">
        <x:v>46148</x:v>
      </x:c>
      <x:c r="G265" s="13" t="n">
        <x:v>2271.37</x:v>
      </x:c>
      <x:c r="H265" s="9" t="n">
        <x:v>126</x:v>
      </x:c>
      <x:c r="I265" s="9" t="n">
        <x:v>4</x:v>
      </x:c>
      <x:c r="J265" s="9" t="n">
        <x:v>2</x:v>
      </x:c>
      <x:c r="K265" s="9" t="n">
        <x:v>0</x:v>
      </x:c>
      <x:c r="L265" s="13" t="n">
        <x:f>SUMIFS('Payments'!$D$5:$D$3014,'Payments'!$B$5:$B$3014,A265)</x:f>
        <x:v>665.73</x:v>
      </x:c>
      <x:c r="M265" s="13" t="n">
        <x:f>G265-L265</x:f>
        <x:v>1605.6399999999999</x:v>
      </x:c>
      <x:c r="N265" s="9" t="str">
        <x:f>IF(H265=0,"0 Current",IF(H265&lt;=30,"1 1-30",IF(H265&lt;=60,"2 31-60",IF(H265&lt;=90,"3 61-90",IF(H265&lt;=120,"4 91-120","5 121+")))))</x:f>
        <x:v>5 121+</x:v>
      </x:c>
      <x:c r="O265" s="9" t="n">
        <x:f>IF(J265&gt;0,1,0)</x:f>
        <x:v>1</x:v>
      </x:c>
    </x:row>
    <x:row r="266">
      <x:c r="A266" s="15" t="str">
        <x:v>262</x:v>
      </x:c>
      <x:c r="B266" s="9" t="str">
        <x:v>Alex</x:v>
      </x:c>
      <x:c r="C266" s="9" t="str">
        <x:v>Personal Loan</x:v>
      </x:c>
      <x:c r="D266" s="9" t="str">
        <x:v>Northeast</x:v>
      </x:c>
      <x:c r="E266" s="9" t="n">
        <x:v>653</x:v>
      </x:c>
      <x:c r="F266" s="11" t="n">
        <x:v>46085</x:v>
      </x:c>
      <x:c r="G266" s="13" t="n">
        <x:v>1692.96</x:v>
      </x:c>
      <x:c r="H266" s="9" t="n">
        <x:v>126</x:v>
      </x:c>
      <x:c r="I266" s="9" t="n">
        <x:v>5</x:v>
      </x:c>
      <x:c r="J266" s="9" t="n">
        <x:v>3</x:v>
      </x:c>
      <x:c r="K266" s="9" t="n">
        <x:v>0</x:v>
      </x:c>
      <x:c r="L266" s="13" t="n">
        <x:f>SUMIFS('Payments'!$D$5:$D$3014,'Payments'!$B$5:$B$3014,A266)</x:f>
        <x:v>0</x:v>
      </x:c>
      <x:c r="M266" s="13" t="n">
        <x:f>G266-L266</x:f>
        <x:v>1692.96</x:v>
      </x:c>
      <x:c r="N266" s="9" t="str">
        <x:f>IF(H266=0,"0 Current",IF(H266&lt;=30,"1 1-30",IF(H266&lt;=60,"2 31-60",IF(H266&lt;=90,"3 61-90",IF(H266&lt;=120,"4 91-120","5 121+")))))</x:f>
        <x:v>5 121+</x:v>
      </x:c>
      <x:c r="O266" s="9" t="n">
        <x:f>IF(J266&gt;0,1,0)</x:f>
        <x:v>1</x:v>
      </x:c>
    </x:row>
    <x:row r="267">
      <x:c r="A267" s="15" t="str">
        <x:v>263</x:v>
      </x:c>
      <x:c r="B267" s="9" t="str">
        <x:v>Jordan</x:v>
      </x:c>
      <x:c r="C267" s="9" t="str">
        <x:v>Medical</x:v>
      </x:c>
      <x:c r="D267" s="9" t="str">
        <x:v>West</x:v>
      </x:c>
      <x:c r="E267" s="9" t="n">
        <x:v>742</x:v>
      </x:c>
      <x:c r="F267" s="11" t="n">
        <x:v>46170</x:v>
      </x:c>
      <x:c r="G267" s="13" t="n">
        <x:v>1235.89</x:v>
      </x:c>
      <x:c r="H267" s="9" t="n">
        <x:v>148</x:v>
      </x:c>
      <x:c r="I267" s="9" t="n">
        <x:v>2</x:v>
      </x:c>
      <x:c r="J267" s="9" t="n">
        <x:v>0</x:v>
      </x:c>
      <x:c r="K267" s="9" t="n">
        <x:v>0</x:v>
      </x:c>
      <x:c r="L267" s="13" t="n">
        <x:f>SUMIFS('Payments'!$D$5:$D$3014,'Payments'!$B$5:$B$3014,A267)</x:f>
        <x:v>0</x:v>
      </x:c>
      <x:c r="M267" s="13" t="n">
        <x:f>G267-L267</x:f>
        <x:v>1235.89</x:v>
      </x:c>
      <x:c r="N267" s="9" t="str">
        <x:f>IF(H267=0,"0 Current",IF(H267&lt;=30,"1 1-30",IF(H267&lt;=60,"2 31-60",IF(H267&lt;=90,"3 61-90",IF(H267&lt;=120,"4 91-120","5 121+")))))</x:f>
        <x:v>5 121+</x:v>
      </x:c>
      <x:c r="O267" s="9" t="n">
        <x:f>IF(J267&gt;0,1,0)</x:f>
        <x:v>0</x:v>
      </x:c>
    </x:row>
    <x:row r="268">
      <x:c r="A268" s="15" t="str">
        <x:v>264</x:v>
      </x:c>
      <x:c r="B268" s="9" t="str">
        <x:v>Jordan</x:v>
      </x:c>
      <x:c r="C268" s="9" t="str">
        <x:v>Auto</x:v>
      </x:c>
      <x:c r="D268" s="9" t="str">
        <x:v>South</x:v>
      </x:c>
      <x:c r="E268" s="9" t="n">
        <x:v>787</x:v>
      </x:c>
      <x:c r="F268" s="11" t="n">
        <x:v>46036</x:v>
      </x:c>
      <x:c r="G268" s="13" t="n">
        <x:v>11936.62</x:v>
      </x:c>
      <x:c r="H268" s="9" t="n">
        <x:v>162</x:v>
      </x:c>
      <x:c r="I268" s="9" t="n">
        <x:v>1</x:v>
      </x:c>
      <x:c r="J268" s="9" t="n">
        <x:v>0</x:v>
      </x:c>
      <x:c r="K268" s="9" t="n">
        <x:v>0</x:v>
      </x:c>
      <x:c r="L268" s="13" t="n">
        <x:f>SUMIFS('Payments'!$D$5:$D$3014,'Payments'!$B$5:$B$3014,A268)</x:f>
        <x:v>912.27</x:v>
      </x:c>
      <x:c r="M268" s="13" t="n">
        <x:f>G268-L268</x:f>
        <x:v>11024.35</x:v>
      </x:c>
      <x:c r="N268" s="9" t="str">
        <x:f>IF(H268=0,"0 Current",IF(H268&lt;=30,"1 1-30",IF(H268&lt;=60,"2 31-60",IF(H268&lt;=90,"3 61-90",IF(H268&lt;=120,"4 91-120","5 121+")))))</x:f>
        <x:v>5 121+</x:v>
      </x:c>
      <x:c r="O268" s="9" t="n">
        <x:f>IF(J268&gt;0,1,0)</x:f>
        <x:v>0</x:v>
      </x:c>
    </x:row>
    <x:row r="269">
      <x:c r="A269" s="15" t="str">
        <x:v>265</x:v>
      </x:c>
      <x:c r="B269" s="9" t="str">
        <x:v>Riley</x:v>
      </x:c>
      <x:c r="C269" s="9" t="str">
        <x:v>Medical</x:v>
      </x:c>
      <x:c r="D269" s="9" t="str">
        <x:v>West</x:v>
      </x:c>
      <x:c r="E269" s="9" t="n">
        <x:v>673</x:v>
      </x:c>
      <x:c r="F269" s="11" t="n">
        <x:v>46069</x:v>
      </x:c>
      <x:c r="G269" s="13" t="n">
        <x:v>4463.98</x:v>
      </x:c>
      <x:c r="H269" s="9" t="n">
        <x:v>139</x:v>
      </x:c>
      <x:c r="I269" s="9" t="n">
        <x:v>1</x:v>
      </x:c>
      <x:c r="J269" s="9" t="n">
        <x:v>1</x:v>
      </x:c>
      <x:c r="K269" s="9" t="n">
        <x:v>0</x:v>
      </x:c>
      <x:c r="L269" s="13" t="n">
        <x:f>SUMIFS('Payments'!$D$5:$D$3014,'Payments'!$B$5:$B$3014,A269)</x:f>
        <x:v>405.13</x:v>
      </x:c>
      <x:c r="M269" s="13" t="n">
        <x:f>G269-L269</x:f>
        <x:v>4058.8499999999995</x:v>
      </x:c>
      <x:c r="N269" s="9" t="str">
        <x:f>IF(H269=0,"0 Current",IF(H269&lt;=30,"1 1-30",IF(H269&lt;=60,"2 31-60",IF(H269&lt;=90,"3 61-90",IF(H269&lt;=120,"4 91-120","5 121+")))))</x:f>
        <x:v>5 121+</x:v>
      </x:c>
      <x:c r="O269" s="9" t="n">
        <x:f>IF(J269&gt;0,1,0)</x:f>
        <x:v>1</x:v>
      </x:c>
    </x:row>
    <x:row r="270">
      <x:c r="A270" s="15" t="str">
        <x:v>266</x:v>
      </x:c>
      <x:c r="B270" s="9" t="str">
        <x:v>Riley</x:v>
      </x:c>
      <x:c r="C270" s="9" t="str">
        <x:v>Personal Loan</x:v>
      </x:c>
      <x:c r="D270" s="9" t="str">
        <x:v>West</x:v>
      </x:c>
      <x:c r="E270" s="9" t="n">
        <x:v>544</x:v>
      </x:c>
      <x:c r="F270" s="11" t="n">
        <x:v>46026</x:v>
      </x:c>
      <x:c r="G270" s="13" t="n">
        <x:v>6244.07</x:v>
      </x:c>
      <x:c r="H270" s="9" t="n">
        <x:v>95</x:v>
      </x:c>
      <x:c r="I270" s="9" t="n">
        <x:v>8</x:v>
      </x:c>
      <x:c r="J270" s="9" t="n">
        <x:v>5</x:v>
      </x:c>
      <x:c r="K270" s="9" t="n">
        <x:v>1</x:v>
      </x:c>
      <x:c r="L270" s="13" t="n">
        <x:f>SUMIFS('Payments'!$D$5:$D$3014,'Payments'!$B$5:$B$3014,A270)</x:f>
        <x:v>1069.25</x:v>
      </x:c>
      <x:c r="M270" s="13" t="n">
        <x:f>G270-L270</x:f>
        <x:v>5174.82</x:v>
      </x:c>
      <x:c r="N270" s="9" t="str">
        <x:f>IF(H270=0,"0 Current",IF(H270&lt;=30,"1 1-30",IF(H270&lt;=60,"2 31-60",IF(H270&lt;=90,"3 61-90",IF(H270&lt;=120,"4 91-120","5 121+")))))</x:f>
        <x:v>4 91-120</x:v>
      </x:c>
      <x:c r="O270" s="9" t="n">
        <x:f>IF(J270&gt;0,1,0)</x:f>
        <x:v>1</x:v>
      </x:c>
    </x:row>
    <x:row r="271">
      <x:c r="A271" s="15" t="str">
        <x:v>267</x:v>
      </x:c>
      <x:c r="B271" s="9" t="str">
        <x:v>Morgan</x:v>
      </x:c>
      <x:c r="C271" s="9" t="str">
        <x:v>Personal Loan</x:v>
      </x:c>
      <x:c r="D271" s="9" t="str">
        <x:v>South</x:v>
      </x:c>
      <x:c r="E271" s="9" t="n">
        <x:v>755</x:v>
      </x:c>
      <x:c r="F271" s="11" t="n">
        <x:v>46115</x:v>
      </x:c>
      <x:c r="G271" s="13" t="n">
        <x:v>6330.66</x:v>
      </x:c>
      <x:c r="H271" s="9" t="n">
        <x:v>44</x:v>
      </x:c>
      <x:c r="I271" s="9" t="n">
        <x:v>2</x:v>
      </x:c>
      <x:c r="J271" s="9" t="n">
        <x:v>0</x:v>
      </x:c>
      <x:c r="K271" s="9" t="n">
        <x:v>0</x:v>
      </x:c>
      <x:c r="L271" s="13" t="n">
        <x:f>SUMIFS('Payments'!$D$5:$D$3014,'Payments'!$B$5:$B$3014,A271)</x:f>
        <x:v>349.13</x:v>
      </x:c>
      <x:c r="M271" s="13" t="n">
        <x:f>G271-L271</x:f>
        <x:v>5981.53</x:v>
      </x:c>
      <x:c r="N271" s="9" t="str">
        <x:f>IF(H271=0,"0 Current",IF(H271&lt;=30,"1 1-30",IF(H271&lt;=60,"2 31-60",IF(H271&lt;=90,"3 61-90",IF(H271&lt;=120,"4 91-120","5 121+")))))</x:f>
        <x:v>2 31-60</x:v>
      </x:c>
      <x:c r="O271" s="9" t="n">
        <x:f>IF(J271&gt;0,1,0)</x:f>
        <x:v>0</x:v>
      </x:c>
    </x:row>
    <x:row r="272">
      <x:c r="A272" s="15" t="str">
        <x:v>268</x:v>
      </x:c>
      <x:c r="B272" s="9" t="str">
        <x:v>Taylor</x:v>
      </x:c>
      <x:c r="C272" s="9" t="str">
        <x:v>Credit Card</x:v>
      </x:c>
      <x:c r="D272" s="9" t="str">
        <x:v>Northeast</x:v>
      </x:c>
      <x:c r="E272" s="9" t="n">
        <x:v>804</x:v>
      </x:c>
      <x:c r="F272" s="11" t="n">
        <x:v>46043</x:v>
      </x:c>
      <x:c r="G272" s="13" t="n">
        <x:v>18317.61</x:v>
      </x:c>
      <x:c r="H272" s="9" t="n">
        <x:v>19</x:v>
      </x:c>
      <x:c r="I272" s="9" t="n">
        <x:v>7</x:v>
      </x:c>
      <x:c r="J272" s="9" t="n">
        <x:v>2</x:v>
      </x:c>
      <x:c r="K272" s="9" t="n">
        <x:v>0</x:v>
      </x:c>
      <x:c r="L272" s="13" t="n">
        <x:f>SUMIFS('Payments'!$D$5:$D$3014,'Payments'!$B$5:$B$3014,A272)</x:f>
        <x:v>0</x:v>
      </x:c>
      <x:c r="M272" s="13" t="n">
        <x:f>G272-L272</x:f>
        <x:v>18317.61</x:v>
      </x:c>
      <x:c r="N272" s="9" t="str">
        <x:f>IF(H272=0,"0 Current",IF(H272&lt;=30,"1 1-30",IF(H272&lt;=60,"2 31-60",IF(H272&lt;=90,"3 61-90",IF(H272&lt;=120,"4 91-120","5 121+")))))</x:f>
        <x:v>1 1-30</x:v>
      </x:c>
      <x:c r="O272" s="9" t="n">
        <x:f>IF(J272&gt;0,1,0)</x:f>
        <x:v>1</x:v>
      </x:c>
    </x:row>
    <x:row r="273">
      <x:c r="A273" s="15" t="str">
        <x:v>269</x:v>
      </x:c>
      <x:c r="B273" s="9" t="str">
        <x:v>Casey</x:v>
      </x:c>
      <x:c r="C273" s="9" t="str">
        <x:v>Personal Loan</x:v>
      </x:c>
      <x:c r="D273" s="9" t="str">
        <x:v>Northeast</x:v>
      </x:c>
      <x:c r="E273" s="9" t="n">
        <x:v>818</x:v>
      </x:c>
      <x:c r="F273" s="11" t="n">
        <x:v>46075</x:v>
      </x:c>
      <x:c r="G273" s="13" t="n">
        <x:v>8889.63</x:v>
      </x:c>
      <x:c r="H273" s="9" t="n">
        <x:v>7</x:v>
      </x:c>
      <x:c r="I273" s="9" t="n">
        <x:v>2</x:v>
      </x:c>
      <x:c r="J273" s="9" t="n">
        <x:v>1</x:v>
      </x:c>
      <x:c r="K273" s="9" t="n">
        <x:v>1</x:v>
      </x:c>
      <x:c r="L273" s="13" t="n">
        <x:f>SUMIFS('Payments'!$D$5:$D$3014,'Payments'!$B$5:$B$3014,A273)</x:f>
        <x:v>0</x:v>
      </x:c>
      <x:c r="M273" s="13" t="n">
        <x:f>G273-L273</x:f>
        <x:v>8889.63</x:v>
      </x:c>
      <x:c r="N273" s="9" t="str">
        <x:f>IF(H273=0,"0 Current",IF(H273&lt;=30,"1 1-30",IF(H273&lt;=60,"2 31-60",IF(H273&lt;=90,"3 61-90",IF(H273&lt;=120,"4 91-120","5 121+")))))</x:f>
        <x:v>1 1-30</x:v>
      </x:c>
      <x:c r="O273" s="9" t="n">
        <x:f>IF(J273&gt;0,1,0)</x:f>
        <x:v>1</x:v>
      </x:c>
    </x:row>
    <x:row r="274">
      <x:c r="A274" s="15" t="str">
        <x:v>270</x:v>
      </x:c>
      <x:c r="B274" s="9" t="str">
        <x:v>Riley</x:v>
      </x:c>
      <x:c r="C274" s="9" t="str">
        <x:v>Credit Card</x:v>
      </x:c>
      <x:c r="D274" s="9" t="str">
        <x:v>West</x:v>
      </x:c>
      <x:c r="E274" s="9" t="n">
        <x:v>532</x:v>
      </x:c>
      <x:c r="F274" s="11" t="n">
        <x:v>46151</x:v>
      </x:c>
      <x:c r="G274" s="13" t="n">
        <x:v>10642.77</x:v>
      </x:c>
      <x:c r="H274" s="9" t="n">
        <x:v>25</x:v>
      </x:c>
      <x:c r="I274" s="9" t="n">
        <x:v>8</x:v>
      </x:c>
      <x:c r="J274" s="9" t="n">
        <x:v>5</x:v>
      </x:c>
      <x:c r="K274" s="9" t="n">
        <x:v>1</x:v>
      </x:c>
      <x:c r="L274" s="13" t="n">
        <x:f>SUMIFS('Payments'!$D$5:$D$3014,'Payments'!$B$5:$B$3014,A274)</x:f>
        <x:v>1597.9099999999999</x:v>
      </x:c>
      <x:c r="M274" s="13" t="n">
        <x:f>G274-L274</x:f>
        <x:v>9044.86</x:v>
      </x:c>
      <x:c r="N274" s="9" t="str">
        <x:f>IF(H274=0,"0 Current",IF(H274&lt;=30,"1 1-30",IF(H274&lt;=60,"2 31-60",IF(H274&lt;=90,"3 61-90",IF(H274&lt;=120,"4 91-120","5 121+")))))</x:f>
        <x:v>1 1-30</x:v>
      </x:c>
      <x:c r="O274" s="9" t="n">
        <x:f>IF(J274&gt;0,1,0)</x:f>
        <x:v>1</x:v>
      </x:c>
    </x:row>
    <x:row r="275">
      <x:c r="A275" s="15" t="str">
        <x:v>271</x:v>
      </x:c>
      <x:c r="B275" s="9" t="str">
        <x:v>Morgan</x:v>
      </x:c>
      <x:c r="C275" s="9" t="str">
        <x:v>Credit Card</x:v>
      </x:c>
      <x:c r="D275" s="9" t="str">
        <x:v>South</x:v>
      </x:c>
      <x:c r="E275" s="9" t="n">
        <x:v>776</x:v>
      </x:c>
      <x:c r="F275" s="11" t="n">
        <x:v>46154</x:v>
      </x:c>
      <x:c r="G275" s="13" t="n">
        <x:v>10044.31</x:v>
      </x:c>
      <x:c r="H275" s="9" t="n">
        <x:v>194</x:v>
      </x:c>
      <x:c r="I275" s="9" t="n">
        <x:v>2</x:v>
      </x:c>
      <x:c r="J275" s="9" t="n">
        <x:v>1</x:v>
      </x:c>
      <x:c r="K275" s="9" t="n">
        <x:v>0</x:v>
      </x:c>
      <x:c r="L275" s="13" t="n">
        <x:f>SUMIFS('Payments'!$D$5:$D$3014,'Payments'!$B$5:$B$3014,A275)</x:f>
        <x:v>326.61</x:v>
      </x:c>
      <x:c r="M275" s="13" t="n">
        <x:f>G275-L275</x:f>
        <x:v>9717.699999999999</x:v>
      </x:c>
      <x:c r="N275" s="9" t="str">
        <x:f>IF(H275=0,"0 Current",IF(H275&lt;=30,"1 1-30",IF(H275&lt;=60,"2 31-60",IF(H275&lt;=90,"3 61-90",IF(H275&lt;=120,"4 91-120","5 121+")))))</x:f>
        <x:v>5 121+</x:v>
      </x:c>
      <x:c r="O275" s="9" t="n">
        <x:f>IF(J275&gt;0,1,0)</x:f>
        <x:v>1</x:v>
      </x:c>
    </x:row>
    <x:row r="276">
      <x:c r="A276" s="15" t="str">
        <x:v>272</x:v>
      </x:c>
      <x:c r="B276" s="9" t="str">
        <x:v>Jordan</x:v>
      </x:c>
      <x:c r="C276" s="9" t="str">
        <x:v>Auto</x:v>
      </x:c>
      <x:c r="D276" s="9" t="str">
        <x:v>West</x:v>
      </x:c>
      <x:c r="E276" s="9" t="n">
        <x:v>445</x:v>
      </x:c>
      <x:c r="F276" s="11" t="n">
        <x:v>46033</x:v>
      </x:c>
      <x:c r="G276" s="13" t="n">
        <x:v>3949.72</x:v>
      </x:c>
      <x:c r="H276" s="9" t="n">
        <x:v>29</x:v>
      </x:c>
      <x:c r="I276" s="9" t="n">
        <x:v>3</x:v>
      </x:c>
      <x:c r="J276" s="9" t="n">
        <x:v>1</x:v>
      </x:c>
      <x:c r="K276" s="9" t="n">
        <x:v>0</x:v>
      </x:c>
      <x:c r="L276" s="13" t="n">
        <x:f>SUMIFS('Payments'!$D$5:$D$3014,'Payments'!$B$5:$B$3014,A276)</x:f>
        <x:v>1059.5900000000001</x:v>
      </x:c>
      <x:c r="M276" s="13" t="n">
        <x:f>G276-L276</x:f>
        <x:v>2890.1299999999997</x:v>
      </x:c>
      <x:c r="N276" s="9" t="str">
        <x:f>IF(H276=0,"0 Current",IF(H276&lt;=30,"1 1-30",IF(H276&lt;=60,"2 31-60",IF(H276&lt;=90,"3 61-90",IF(H276&lt;=120,"4 91-120","5 121+")))))</x:f>
        <x:v>1 1-30</x:v>
      </x:c>
      <x:c r="O276" s="9" t="n">
        <x:f>IF(J276&gt;0,1,0)</x:f>
        <x:v>1</x:v>
      </x:c>
    </x:row>
    <x:row r="277">
      <x:c r="A277" s="15" t="str">
        <x:v>273</x:v>
      </x:c>
      <x:c r="B277" s="9" t="str">
        <x:v>Casey</x:v>
      </x:c>
      <x:c r="C277" s="9" t="str">
        <x:v>Credit Card</x:v>
      </x:c>
      <x:c r="D277" s="9" t="str">
        <x:v>South</x:v>
      </x:c>
      <x:c r="E277" s="9" t="n">
        <x:v>482</x:v>
      </x:c>
      <x:c r="F277" s="11" t="n">
        <x:v>46144</x:v>
      </x:c>
      <x:c r="G277" s="13" t="n">
        <x:v>15911.6</x:v>
      </x:c>
      <x:c r="H277" s="9" t="n">
        <x:v>172</x:v>
      </x:c>
      <x:c r="I277" s="9" t="n">
        <x:v>1</x:v>
      </x:c>
      <x:c r="J277" s="9" t="n">
        <x:v>0</x:v>
      </x:c>
      <x:c r="K277" s="9" t="n">
        <x:v>0</x:v>
      </x:c>
      <x:c r="L277" s="13" t="n">
        <x:f>SUMIFS('Payments'!$D$5:$D$3014,'Payments'!$B$5:$B$3014,A277)</x:f>
        <x:v>4201.0199999999995</x:v>
      </x:c>
      <x:c r="M277" s="13" t="n">
        <x:f>G277-L277</x:f>
        <x:v>11710.580000000002</x:v>
      </x:c>
      <x:c r="N277" s="9" t="str">
        <x:f>IF(H277=0,"0 Current",IF(H277&lt;=30,"1 1-30",IF(H277&lt;=60,"2 31-60",IF(H277&lt;=90,"3 61-90",IF(H277&lt;=120,"4 91-120","5 121+")))))</x:f>
        <x:v>5 121+</x:v>
      </x:c>
      <x:c r="O277" s="9" t="n">
        <x:f>IF(J277&gt;0,1,0)</x:f>
        <x:v>0</x:v>
      </x:c>
    </x:row>
    <x:row r="278">
      <x:c r="A278" s="15" t="str">
        <x:v>274</x:v>
      </x:c>
      <x:c r="B278" s="9" t="str">
        <x:v>Taylor</x:v>
      </x:c>
      <x:c r="C278" s="9" t="str">
        <x:v>Medical</x:v>
      </x:c>
      <x:c r="D278" s="9" t="str">
        <x:v>West</x:v>
      </x:c>
      <x:c r="E278" s="9" t="n">
        <x:v>488</x:v>
      </x:c>
      <x:c r="F278" s="11" t="n">
        <x:v>46125</x:v>
      </x:c>
      <x:c r="G278" s="13" t="n">
        <x:v>4766.53</x:v>
      </x:c>
      <x:c r="H278" s="9" t="n">
        <x:v>16</x:v>
      </x:c>
      <x:c r="I278" s="9" t="n">
        <x:v>6</x:v>
      </x:c>
      <x:c r="J278" s="9" t="n">
        <x:v>3</x:v>
      </x:c>
      <x:c r="K278" s="9" t="n">
        <x:v>1</x:v>
      </x:c>
      <x:c r="L278" s="13" t="n">
        <x:f>SUMIFS('Payments'!$D$5:$D$3014,'Payments'!$B$5:$B$3014,A278)</x:f>
        <x:v>281.71000000000004</x:v>
      </x:c>
      <x:c r="M278" s="13" t="n">
        <x:f>G278-L278</x:f>
        <x:v>4484.82</x:v>
      </x:c>
      <x:c r="N278" s="9" t="str">
        <x:f>IF(H278=0,"0 Current",IF(H278&lt;=30,"1 1-30",IF(H278&lt;=60,"2 31-60",IF(H278&lt;=90,"3 61-90",IF(H278&lt;=120,"4 91-120","5 121+")))))</x:f>
        <x:v>1 1-30</x:v>
      </x:c>
      <x:c r="O278" s="9" t="n">
        <x:f>IF(J278&gt;0,1,0)</x:f>
        <x:v>1</x:v>
      </x:c>
    </x:row>
    <x:row r="279">
      <x:c r="A279" s="15" t="str">
        <x:v>275</x:v>
      </x:c>
      <x:c r="B279" s="9" t="str">
        <x:v>Jordan</x:v>
      </x:c>
      <x:c r="C279" s="9" t="str">
        <x:v>Medical</x:v>
      </x:c>
      <x:c r="D279" s="9" t="str">
        <x:v>West</x:v>
      </x:c>
      <x:c r="E279" s="9" t="n">
        <x:v>761</x:v>
      </x:c>
      <x:c r="F279" s="11" t="n">
        <x:v>46147</x:v>
      </x:c>
      <x:c r="G279" s="13" t="n">
        <x:v>21950.27</x:v>
      </x:c>
      <x:c r="H279" s="9" t="n">
        <x:v>196</x:v>
      </x:c>
      <x:c r="I279" s="9" t="n">
        <x:v>2</x:v>
      </x:c>
      <x:c r="J279" s="9" t="n">
        <x:v>1</x:v>
      </x:c>
      <x:c r="K279" s="9" t="n">
        <x:v>0</x:v>
      </x:c>
      <x:c r="L279" s="13" t="n">
        <x:f>SUMIFS('Payments'!$D$5:$D$3014,'Payments'!$B$5:$B$3014,A279)</x:f>
        <x:v>4517.889999999999</x:v>
      </x:c>
      <x:c r="M279" s="13" t="n">
        <x:f>G279-L279</x:f>
        <x:v>17432.38</x:v>
      </x:c>
      <x:c r="N279" s="9" t="str">
        <x:f>IF(H279=0,"0 Current",IF(H279&lt;=30,"1 1-30",IF(H279&lt;=60,"2 31-60",IF(H279&lt;=90,"3 61-90",IF(H279&lt;=120,"4 91-120","5 121+")))))</x:f>
        <x:v>5 121+</x:v>
      </x:c>
      <x:c r="O279" s="9" t="n">
        <x:f>IF(J279&gt;0,1,0)</x:f>
        <x:v>1</x:v>
      </x:c>
    </x:row>
    <x:row r="280">
      <x:c r="A280" s="15" t="str">
        <x:v>276</x:v>
      </x:c>
      <x:c r="B280" s="9" t="str">
        <x:v>Casey</x:v>
      </x:c>
      <x:c r="C280" s="9" t="str">
        <x:v>Auto</x:v>
      </x:c>
      <x:c r="D280" s="9" t="str">
        <x:v>Midwest</x:v>
      </x:c>
      <x:c r="E280" s="9" t="n">
        <x:v>806</x:v>
      </x:c>
      <x:c r="F280" s="11" t="n">
        <x:v>46150</x:v>
      </x:c>
      <x:c r="G280" s="13" t="n">
        <x:v>1621.92</x:v>
      </x:c>
      <x:c r="H280" s="9" t="n">
        <x:v>154</x:v>
      </x:c>
      <x:c r="I280" s="9" t="n">
        <x:v>1</x:v>
      </x:c>
      <x:c r="J280" s="9" t="n">
        <x:v>1</x:v>
      </x:c>
      <x:c r="K280" s="9" t="n">
        <x:v>0</x:v>
      </x:c>
      <x:c r="L280" s="13" t="n">
        <x:f>SUMIFS('Payments'!$D$5:$D$3014,'Payments'!$B$5:$B$3014,A280)</x:f>
        <x:v>101.6</x:v>
      </x:c>
      <x:c r="M280" s="13" t="n">
        <x:f>G280-L280</x:f>
        <x:v>1520.3200000000002</x:v>
      </x:c>
      <x:c r="N280" s="9" t="str">
        <x:f>IF(H280=0,"0 Current",IF(H280&lt;=30,"1 1-30",IF(H280&lt;=60,"2 31-60",IF(H280&lt;=90,"3 61-90",IF(H280&lt;=120,"4 91-120","5 121+")))))</x:f>
        <x:v>5 121+</x:v>
      </x:c>
      <x:c r="O280" s="9" t="n">
        <x:f>IF(J280&gt;0,1,0)</x:f>
        <x:v>1</x:v>
      </x:c>
    </x:row>
    <x:row r="281">
      <x:c r="A281" s="15" t="str">
        <x:v>277</x:v>
      </x:c>
      <x:c r="B281" s="9" t="str">
        <x:v>Casey</x:v>
      </x:c>
      <x:c r="C281" s="9" t="str">
        <x:v>Personal Loan</x:v>
      </x:c>
      <x:c r="D281" s="9" t="str">
        <x:v>West</x:v>
      </x:c>
      <x:c r="E281" s="9" t="n">
        <x:v>733</x:v>
      </x:c>
      <x:c r="F281" s="11" t="n">
        <x:v>46149</x:v>
      </x:c>
      <x:c r="G281" s="13" t="n">
        <x:v>20046.37</x:v>
      </x:c>
      <x:c r="H281" s="9" t="n">
        <x:v>169</x:v>
      </x:c>
      <x:c r="I281" s="9" t="n">
        <x:v>8</x:v>
      </x:c>
      <x:c r="J281" s="9" t="n">
        <x:v>3</x:v>
      </x:c>
      <x:c r="K281" s="9" t="n">
        <x:v>0</x:v>
      </x:c>
      <x:c r="L281" s="13" t="n">
        <x:f>SUMIFS('Payments'!$D$5:$D$3014,'Payments'!$B$5:$B$3014,A281)</x:f>
        <x:v>2901.8500000000004</x:v>
      </x:c>
      <x:c r="M281" s="13" t="n">
        <x:f>G281-L281</x:f>
        <x:v>17144.519999999997</x:v>
      </x:c>
      <x:c r="N281" s="9" t="str">
        <x:f>IF(H281=0,"0 Current",IF(H281&lt;=30,"1 1-30",IF(H281&lt;=60,"2 31-60",IF(H281&lt;=90,"3 61-90",IF(H281&lt;=120,"4 91-120","5 121+")))))</x:f>
        <x:v>5 121+</x:v>
      </x:c>
      <x:c r="O281" s="9" t="n">
        <x:f>IF(J281&gt;0,1,0)</x:f>
        <x:v>1</x:v>
      </x:c>
    </x:row>
    <x:row r="282">
      <x:c r="A282" s="15" t="str">
        <x:v>278</x:v>
      </x:c>
      <x:c r="B282" s="9" t="str">
        <x:v>Morgan</x:v>
      </x:c>
      <x:c r="C282" s="9" t="str">
        <x:v>Auto</x:v>
      </x:c>
      <x:c r="D282" s="9" t="str">
        <x:v>West</x:v>
      </x:c>
      <x:c r="E282" s="9" t="n">
        <x:v>700</x:v>
      </x:c>
      <x:c r="F282" s="11" t="n">
        <x:v>46100</x:v>
      </x:c>
      <x:c r="G282" s="13" t="n">
        <x:v>7384.7</x:v>
      </x:c>
      <x:c r="H282" s="9" t="n">
        <x:v>34</x:v>
      </x:c>
      <x:c r="I282" s="9" t="n">
        <x:v>7</x:v>
      </x:c>
      <x:c r="J282" s="9" t="n">
        <x:v>2</x:v>
      </x:c>
      <x:c r="K282" s="9" t="n">
        <x:v>1</x:v>
      </x:c>
      <x:c r="L282" s="13" t="n">
        <x:f>SUMIFS('Payments'!$D$5:$D$3014,'Payments'!$B$5:$B$3014,A282)</x:f>
        <x:v>673.33</x:v>
      </x:c>
      <x:c r="M282" s="13" t="n">
        <x:f>G282-L282</x:f>
        <x:v>6711.37</x:v>
      </x:c>
      <x:c r="N282" s="9" t="str">
        <x:f>IF(H282=0,"0 Current",IF(H282&lt;=30,"1 1-30",IF(H282&lt;=60,"2 31-60",IF(H282&lt;=90,"3 61-90",IF(H282&lt;=120,"4 91-120","5 121+")))))</x:f>
        <x:v>2 31-60</x:v>
      </x:c>
      <x:c r="O282" s="9" t="n">
        <x:f>IF(J282&gt;0,1,0)</x:f>
        <x:v>1</x:v>
      </x:c>
    </x:row>
    <x:row r="283">
      <x:c r="A283" s="15" t="str">
        <x:v>279</x:v>
      </x:c>
      <x:c r="B283" s="9" t="str">
        <x:v>Alex</x:v>
      </x:c>
      <x:c r="C283" s="9" t="str">
        <x:v>Credit Card</x:v>
      </x:c>
      <x:c r="D283" s="9" t="str">
        <x:v>West</x:v>
      </x:c>
      <x:c r="E283" s="9" t="n">
        <x:v>501</x:v>
      </x:c>
      <x:c r="F283" s="11" t="n">
        <x:v>46095</x:v>
      </x:c>
      <x:c r="G283" s="13" t="n">
        <x:v>13942.02</x:v>
      </x:c>
      <x:c r="H283" s="9" t="n">
        <x:v>151</x:v>
      </x:c>
      <x:c r="I283" s="9" t="n">
        <x:v>2</x:v>
      </x:c>
      <x:c r="J283" s="9" t="n">
        <x:v>1</x:v>
      </x:c>
      <x:c r="K283" s="9" t="n">
        <x:v>0</x:v>
      </x:c>
      <x:c r="L283" s="13" t="n">
        <x:f>SUMIFS('Payments'!$D$5:$D$3014,'Payments'!$B$5:$B$3014,A283)</x:f>
        <x:v>0</x:v>
      </x:c>
      <x:c r="M283" s="13" t="n">
        <x:f>G283-L283</x:f>
        <x:v>13942.02</x:v>
      </x:c>
      <x:c r="N283" s="9" t="str">
        <x:f>IF(H283=0,"0 Current",IF(H283&lt;=30,"1 1-30",IF(H283&lt;=60,"2 31-60",IF(H283&lt;=90,"3 61-90",IF(H283&lt;=120,"4 91-120","5 121+")))))</x:f>
        <x:v>5 121+</x:v>
      </x:c>
      <x:c r="O283" s="9" t="n">
        <x:f>IF(J283&gt;0,1,0)</x:f>
        <x:v>1</x:v>
      </x:c>
    </x:row>
    <x:row r="284">
      <x:c r="A284" s="15" t="str">
        <x:v>280</x:v>
      </x:c>
      <x:c r="B284" s="9" t="str">
        <x:v>Morgan</x:v>
      </x:c>
      <x:c r="C284" s="9" t="str">
        <x:v>Credit Card</x:v>
      </x:c>
      <x:c r="D284" s="9" t="str">
        <x:v>West</x:v>
      </x:c>
      <x:c r="E284" s="9" t="n">
        <x:v>650</x:v>
      </x:c>
      <x:c r="F284" s="11" t="n">
        <x:v>46029</x:v>
      </x:c>
      <x:c r="G284" s="13" t="n">
        <x:v>14813.33</x:v>
      </x:c>
      <x:c r="H284" s="9" t="n">
        <x:v>109</x:v>
      </x:c>
      <x:c r="I284" s="9" t="n">
        <x:v>3</x:v>
      </x:c>
      <x:c r="J284" s="9" t="n">
        <x:v>1</x:v>
      </x:c>
      <x:c r="K284" s="9" t="n">
        <x:v>0</x:v>
      </x:c>
      <x:c r="L284" s="13" t="n">
        <x:f>SUMIFS('Payments'!$D$5:$D$3014,'Payments'!$B$5:$B$3014,A284)</x:f>
        <x:v>1877.6399999999999</x:v>
      </x:c>
      <x:c r="M284" s="13" t="n">
        <x:f>G284-L284</x:f>
        <x:v>12935.69</x:v>
      </x:c>
      <x:c r="N284" s="9" t="str">
        <x:f>IF(H284=0,"0 Current",IF(H284&lt;=30,"1 1-30",IF(H284&lt;=60,"2 31-60",IF(H284&lt;=90,"3 61-90",IF(H284&lt;=120,"4 91-120","5 121+")))))</x:f>
        <x:v>4 91-120</x:v>
      </x:c>
      <x:c r="O284" s="9" t="n">
        <x:f>IF(J284&gt;0,1,0)</x:f>
        <x:v>1</x:v>
      </x:c>
    </x:row>
    <x:row r="285">
      <x:c r="A285" s="15" t="str">
        <x:v>281</x:v>
      </x:c>
      <x:c r="B285" s="9" t="str">
        <x:v>Casey</x:v>
      </x:c>
      <x:c r="C285" s="9" t="str">
        <x:v>Credit Card</x:v>
      </x:c>
      <x:c r="D285" s="9" t="str">
        <x:v>Midwest</x:v>
      </x:c>
      <x:c r="E285" s="9" t="n">
        <x:v>804</x:v>
      </x:c>
      <x:c r="F285" s="11" t="n">
        <x:v>46052</x:v>
      </x:c>
      <x:c r="G285" s="13" t="n">
        <x:v>14659.72</x:v>
      </x:c>
      <x:c r="H285" s="9" t="n">
        <x:v>137</x:v>
      </x:c>
      <x:c r="I285" s="9" t="n">
        <x:v>8</x:v>
      </x:c>
      <x:c r="J285" s="9" t="n">
        <x:v>3</x:v>
      </x:c>
      <x:c r="K285" s="9" t="n">
        <x:v>0</x:v>
      </x:c>
      <x:c r="L285" s="13" t="n">
        <x:f>SUMIFS('Payments'!$D$5:$D$3014,'Payments'!$B$5:$B$3014,A285)</x:f>
        <x:v>1842.27</x:v>
      </x:c>
      <x:c r="M285" s="13" t="n">
        <x:f>G285-L285</x:f>
        <x:v>12817.449999999999</x:v>
      </x:c>
      <x:c r="N285" s="9" t="str">
        <x:f>IF(H285=0,"0 Current",IF(H285&lt;=30,"1 1-30",IF(H285&lt;=60,"2 31-60",IF(H285&lt;=90,"3 61-90",IF(H285&lt;=120,"4 91-120","5 121+")))))</x:f>
        <x:v>5 121+</x:v>
      </x:c>
      <x:c r="O285" s="9" t="n">
        <x:f>IF(J285&gt;0,1,0)</x:f>
        <x:v>1</x:v>
      </x:c>
    </x:row>
    <x:row r="286">
      <x:c r="A286" s="15" t="str">
        <x:v>282</x:v>
      </x:c>
      <x:c r="B286" s="9" t="str">
        <x:v>Riley</x:v>
      </x:c>
      <x:c r="C286" s="9" t="str">
        <x:v>Personal Loan</x:v>
      </x:c>
      <x:c r="D286" s="9" t="str">
        <x:v>South</x:v>
      </x:c>
      <x:c r="E286" s="9" t="n">
        <x:v>746</x:v>
      </x:c>
      <x:c r="F286" s="11" t="n">
        <x:v>46109</x:v>
      </x:c>
      <x:c r="G286" s="13" t="n">
        <x:v>7488.85</x:v>
      </x:c>
      <x:c r="H286" s="9" t="n">
        <x:v>93</x:v>
      </x:c>
      <x:c r="I286" s="9" t="n">
        <x:v>4</x:v>
      </x:c>
      <x:c r="J286" s="9" t="n">
        <x:v>2</x:v>
      </x:c>
      <x:c r="K286" s="9" t="n">
        <x:v>0</x:v>
      </x:c>
      <x:c r="L286" s="13" t="n">
        <x:f>SUMIFS('Payments'!$D$5:$D$3014,'Payments'!$B$5:$B$3014,A286)</x:f>
        <x:v>1829.6399999999999</x:v>
      </x:c>
      <x:c r="M286" s="13" t="n">
        <x:f>G286-L286</x:f>
        <x:v>5659.210000000001</x:v>
      </x:c>
      <x:c r="N286" s="9" t="str">
        <x:f>IF(H286=0,"0 Current",IF(H286&lt;=30,"1 1-30",IF(H286&lt;=60,"2 31-60",IF(H286&lt;=90,"3 61-90",IF(H286&lt;=120,"4 91-120","5 121+")))))</x:f>
        <x:v>4 91-120</x:v>
      </x:c>
      <x:c r="O286" s="9" t="n">
        <x:f>IF(J286&gt;0,1,0)</x:f>
        <x:v>1</x:v>
      </x:c>
    </x:row>
    <x:row r="287">
      <x:c r="A287" s="15" t="str">
        <x:v>283</x:v>
      </x:c>
      <x:c r="B287" s="9" t="str">
        <x:v>Riley</x:v>
      </x:c>
      <x:c r="C287" s="9" t="str">
        <x:v>Personal Loan</x:v>
      </x:c>
      <x:c r="D287" s="9" t="str">
        <x:v>Midwest</x:v>
      </x:c>
      <x:c r="E287" s="9" t="n">
        <x:v>812</x:v>
      </x:c>
      <x:c r="F287" s="11" t="n">
        <x:v>46171</x:v>
      </x:c>
      <x:c r="G287" s="13" t="n">
        <x:v>4473.41</x:v>
      </x:c>
      <x:c r="H287" s="9" t="n">
        <x:v>69</x:v>
      </x:c>
      <x:c r="I287" s="9" t="n">
        <x:v>8</x:v>
      </x:c>
      <x:c r="J287" s="9" t="n">
        <x:v>2</x:v>
      </x:c>
      <x:c r="K287" s="9" t="n">
        <x:v>0</x:v>
      </x:c>
      <x:c r="L287" s="13" t="n">
        <x:f>SUMIFS('Payments'!$D$5:$D$3014,'Payments'!$B$5:$B$3014,A287)</x:f>
        <x:v>0</x:v>
      </x:c>
      <x:c r="M287" s="13" t="n">
        <x:f>G287-L287</x:f>
        <x:v>4473.41</x:v>
      </x:c>
      <x:c r="N287" s="9" t="str">
        <x:f>IF(H287=0,"0 Current",IF(H287&lt;=30,"1 1-30",IF(H287&lt;=60,"2 31-60",IF(H287&lt;=90,"3 61-90",IF(H287&lt;=120,"4 91-120","5 121+")))))</x:f>
        <x:v>3 61-90</x:v>
      </x:c>
      <x:c r="O287" s="9" t="n">
        <x:f>IF(J287&gt;0,1,0)</x:f>
        <x:v>1</x:v>
      </x:c>
    </x:row>
    <x:row r="288">
      <x:c r="A288" s="15" t="str">
        <x:v>284</x:v>
      </x:c>
      <x:c r="B288" s="9" t="str">
        <x:v>Riley</x:v>
      </x:c>
      <x:c r="C288" s="9" t="str">
        <x:v>Auto</x:v>
      </x:c>
      <x:c r="D288" s="9" t="str">
        <x:v>West</x:v>
      </x:c>
      <x:c r="E288" s="9" t="n">
        <x:v>740</x:v>
      </x:c>
      <x:c r="F288" s="11" t="n">
        <x:v>46155</x:v>
      </x:c>
      <x:c r="G288" s="13" t="n">
        <x:v>8324.01</x:v>
      </x:c>
      <x:c r="H288" s="9" t="n">
        <x:v>54</x:v>
      </x:c>
      <x:c r="I288" s="9" t="n">
        <x:v>0</x:v>
      </x:c>
      <x:c r="J288" s="9" t="n">
        <x:v>0</x:v>
      </x:c>
      <x:c r="K288" s="9" t="n">
        <x:v>0</x:v>
      </x:c>
      <x:c r="L288" s="13" t="n">
        <x:f>SUMIFS('Payments'!$D$5:$D$3014,'Payments'!$B$5:$B$3014,A288)</x:f>
        <x:v>2087.51</x:v>
      </x:c>
      <x:c r="M288" s="13" t="n">
        <x:f>G288-L288</x:f>
        <x:v>6236.5</x:v>
      </x:c>
      <x:c r="N288" s="9" t="str">
        <x:f>IF(H288=0,"0 Current",IF(H288&lt;=30,"1 1-30",IF(H288&lt;=60,"2 31-60",IF(H288&lt;=90,"3 61-90",IF(H288&lt;=120,"4 91-120","5 121+")))))</x:f>
        <x:v>2 31-60</x:v>
      </x:c>
      <x:c r="O288" s="9" t="n">
        <x:f>IF(J288&gt;0,1,0)</x:f>
        <x:v>0</x:v>
      </x:c>
    </x:row>
    <x:row r="289">
      <x:c r="A289" s="15" t="str">
        <x:v>285</x:v>
      </x:c>
      <x:c r="B289" s="9" t="str">
        <x:v>Jordan</x:v>
      </x:c>
      <x:c r="C289" s="9" t="str">
        <x:v>Auto</x:v>
      </x:c>
      <x:c r="D289" s="9" t="str">
        <x:v>South</x:v>
      </x:c>
      <x:c r="E289" s="9" t="n">
        <x:v>560</x:v>
      </x:c>
      <x:c r="F289" s="11" t="n">
        <x:v>46156</x:v>
      </x:c>
      <x:c r="G289" s="13" t="n">
        <x:v>8915.78</x:v>
      </x:c>
      <x:c r="H289" s="9" t="n">
        <x:v>37</x:v>
      </x:c>
      <x:c r="I289" s="9" t="n">
        <x:v>4</x:v>
      </x:c>
      <x:c r="J289" s="9" t="n">
        <x:v>2</x:v>
      </x:c>
      <x:c r="K289" s="9" t="n">
        <x:v>0</x:v>
      </x:c>
      <x:c r="L289" s="13" t="n">
        <x:f>SUMIFS('Payments'!$D$5:$D$3014,'Payments'!$B$5:$B$3014,A289)</x:f>
        <x:v>207.22</x:v>
      </x:c>
      <x:c r="M289" s="13" t="n">
        <x:f>G289-L289</x:f>
        <x:v>8708.560000000001</x:v>
      </x:c>
      <x:c r="N289" s="9" t="str">
        <x:f>IF(H289=0,"0 Current",IF(H289&lt;=30,"1 1-30",IF(H289&lt;=60,"2 31-60",IF(H289&lt;=90,"3 61-90",IF(H289&lt;=120,"4 91-120","5 121+")))))</x:f>
        <x:v>2 31-60</x:v>
      </x:c>
      <x:c r="O289" s="9" t="n">
        <x:f>IF(J289&gt;0,1,0)</x:f>
        <x:v>1</x:v>
      </x:c>
    </x:row>
    <x:row r="290">
      <x:c r="A290" s="15" t="str">
        <x:v>286</x:v>
      </x:c>
      <x:c r="B290" s="9" t="str">
        <x:v>Morgan</x:v>
      </x:c>
      <x:c r="C290" s="9" t="str">
        <x:v>Medical</x:v>
      </x:c>
      <x:c r="D290" s="9" t="str">
        <x:v>West</x:v>
      </x:c>
      <x:c r="E290" s="9" t="n">
        <x:v>459</x:v>
      </x:c>
      <x:c r="F290" s="11" t="n">
        <x:v>46088</x:v>
      </x:c>
      <x:c r="G290" s="13" t="n">
        <x:v>10404</x:v>
      </x:c>
      <x:c r="H290" s="9" t="n">
        <x:v>29</x:v>
      </x:c>
      <x:c r="I290" s="9" t="n">
        <x:v>3</x:v>
      </x:c>
      <x:c r="J290" s="9" t="n">
        <x:v>1</x:v>
      </x:c>
      <x:c r="K290" s="9" t="n">
        <x:v>0</x:v>
      </x:c>
      <x:c r="L290" s="13" t="n">
        <x:f>SUMIFS('Payments'!$D$5:$D$3014,'Payments'!$B$5:$B$3014,A290)</x:f>
        <x:v>261.54</x:v>
      </x:c>
      <x:c r="M290" s="13" t="n">
        <x:f>G290-L290</x:f>
        <x:v>10142.46</x:v>
      </x:c>
      <x:c r="N290" s="9" t="str">
        <x:f>IF(H290=0,"0 Current",IF(H290&lt;=30,"1 1-30",IF(H290&lt;=60,"2 31-60",IF(H290&lt;=90,"3 61-90",IF(H290&lt;=120,"4 91-120","5 121+")))))</x:f>
        <x:v>1 1-30</x:v>
      </x:c>
      <x:c r="O290" s="9" t="n">
        <x:f>IF(J290&gt;0,1,0)</x:f>
        <x:v>1</x:v>
      </x:c>
    </x:row>
    <x:row r="291">
      <x:c r="A291" s="15" t="str">
        <x:v>287</x:v>
      </x:c>
      <x:c r="B291" s="9" t="str">
        <x:v>Casey</x:v>
      </x:c>
      <x:c r="C291" s="9" t="str">
        <x:v>Personal Loan</x:v>
      </x:c>
      <x:c r="D291" s="9" t="str">
        <x:v>Midwest</x:v>
      </x:c>
      <x:c r="E291" s="9" t="n">
        <x:v>540</x:v>
      </x:c>
      <x:c r="F291" s="11" t="n">
        <x:v>46032</x:v>
      </x:c>
      <x:c r="G291" s="13" t="n">
        <x:v>8972.09</x:v>
      </x:c>
      <x:c r="H291" s="9" t="n">
        <x:v>34</x:v>
      </x:c>
      <x:c r="I291" s="9" t="n">
        <x:v>4</x:v>
      </x:c>
      <x:c r="J291" s="9" t="n">
        <x:v>4</x:v>
      </x:c>
      <x:c r="K291" s="9" t="n">
        <x:v>1</x:v>
      </x:c>
      <x:c r="L291" s="13" t="n">
        <x:f>SUMIFS('Payments'!$D$5:$D$3014,'Payments'!$B$5:$B$3014,A291)</x:f>
        <x:v>0</x:v>
      </x:c>
      <x:c r="M291" s="13" t="n">
        <x:f>G291-L291</x:f>
        <x:v>8972.09</x:v>
      </x:c>
      <x:c r="N291" s="9" t="str">
        <x:f>IF(H291=0,"0 Current",IF(H291&lt;=30,"1 1-30",IF(H291&lt;=60,"2 31-60",IF(H291&lt;=90,"3 61-90",IF(H291&lt;=120,"4 91-120","5 121+")))))</x:f>
        <x:v>2 31-60</x:v>
      </x:c>
      <x:c r="O291" s="9" t="n">
        <x:f>IF(J291&gt;0,1,0)</x:f>
        <x:v>1</x:v>
      </x:c>
    </x:row>
    <x:row r="292">
      <x:c r="A292" s="15" t="str">
        <x:v>288</x:v>
      </x:c>
      <x:c r="B292" s="9" t="str">
        <x:v>Jordan</x:v>
      </x:c>
      <x:c r="C292" s="9" t="str">
        <x:v>Personal Loan</x:v>
      </x:c>
      <x:c r="D292" s="9" t="str">
        <x:v>Midwest</x:v>
      </x:c>
      <x:c r="E292" s="9" t="n">
        <x:v>591</x:v>
      </x:c>
      <x:c r="F292" s="11" t="n">
        <x:v>46037</x:v>
      </x:c>
      <x:c r="G292" s="13" t="n">
        <x:v>4020.26</x:v>
      </x:c>
      <x:c r="H292" s="9" t="n">
        <x:v>221</x:v>
      </x:c>
      <x:c r="I292" s="9" t="n">
        <x:v>6</x:v>
      </x:c>
      <x:c r="J292" s="9" t="n">
        <x:v>3</x:v>
      </x:c>
      <x:c r="K292" s="9" t="n">
        <x:v>1</x:v>
      </x:c>
      <x:c r="L292" s="13" t="n">
        <x:f>SUMIFS('Payments'!$D$5:$D$3014,'Payments'!$B$5:$B$3014,A292)</x:f>
        <x:v>0</x:v>
      </x:c>
      <x:c r="M292" s="13" t="n">
        <x:f>G292-L292</x:f>
        <x:v>4020.26</x:v>
      </x:c>
      <x:c r="N292" s="9" t="str">
        <x:f>IF(H292=0,"0 Current",IF(H292&lt;=30,"1 1-30",IF(H292&lt;=60,"2 31-60",IF(H292&lt;=90,"3 61-90",IF(H292&lt;=120,"4 91-120","5 121+")))))</x:f>
        <x:v>5 121+</x:v>
      </x:c>
      <x:c r="O292" s="9" t="n">
        <x:f>IF(J292&gt;0,1,0)</x:f>
        <x:v>1</x:v>
      </x:c>
    </x:row>
    <x:row r="293">
      <x:c r="A293" s="15" t="str">
        <x:v>289</x:v>
      </x:c>
      <x:c r="B293" s="9" t="str">
        <x:v>Morgan</x:v>
      </x:c>
      <x:c r="C293" s="9" t="str">
        <x:v>Credit Card</x:v>
      </x:c>
      <x:c r="D293" s="9" t="str">
        <x:v>Midwest</x:v>
      </x:c>
      <x:c r="E293" s="9" t="n">
        <x:v>696</x:v>
      </x:c>
      <x:c r="F293" s="11" t="n">
        <x:v>46157</x:v>
      </x:c>
      <x:c r="G293" s="13" t="n">
        <x:v>11061.59</x:v>
      </x:c>
      <x:c r="H293" s="9" t="n">
        <x:v>60</x:v>
      </x:c>
      <x:c r="I293" s="9" t="n">
        <x:v>2</x:v>
      </x:c>
      <x:c r="J293" s="9" t="n">
        <x:v>0</x:v>
      </x:c>
      <x:c r="K293" s="9" t="n">
        <x:v>0</x:v>
      </x:c>
      <x:c r="L293" s="13" t="n">
        <x:f>SUMIFS('Payments'!$D$5:$D$3014,'Payments'!$B$5:$B$3014,A293)</x:f>
        <x:v>3354.4900000000002</x:v>
      </x:c>
      <x:c r="M293" s="13" t="n">
        <x:f>G293-L293</x:f>
        <x:v>7707.1</x:v>
      </x:c>
      <x:c r="N293" s="9" t="str">
        <x:f>IF(H293=0,"0 Current",IF(H293&lt;=30,"1 1-30",IF(H293&lt;=60,"2 31-60",IF(H293&lt;=90,"3 61-90",IF(H293&lt;=120,"4 91-120","5 121+")))))</x:f>
        <x:v>2 31-60</x:v>
      </x:c>
      <x:c r="O293" s="9" t="n">
        <x:f>IF(J293&gt;0,1,0)</x:f>
        <x:v>0</x:v>
      </x:c>
    </x:row>
    <x:row r="294">
      <x:c r="A294" s="15" t="str">
        <x:v>290</x:v>
      </x:c>
      <x:c r="B294" s="9" t="str">
        <x:v>Morgan</x:v>
      </x:c>
      <x:c r="C294" s="9" t="str">
        <x:v>Personal Loan</x:v>
      </x:c>
      <x:c r="D294" s="9" t="str">
        <x:v>Northeast</x:v>
      </x:c>
      <x:c r="E294" s="9" t="n">
        <x:v>490</x:v>
      </x:c>
      <x:c r="F294" s="11" t="n">
        <x:v>46088</x:v>
      </x:c>
      <x:c r="G294" s="13" t="n">
        <x:v>2845.68</x:v>
      </x:c>
      <x:c r="H294" s="9" t="n">
        <x:v>179</x:v>
      </x:c>
      <x:c r="I294" s="9" t="n">
        <x:v>5</x:v>
      </x:c>
      <x:c r="J294" s="9" t="n">
        <x:v>1</x:v>
      </x:c>
      <x:c r="K294" s="9" t="n">
        <x:v>0</x:v>
      </x:c>
      <x:c r="L294" s="13" t="n">
        <x:f>SUMIFS('Payments'!$D$5:$D$3014,'Payments'!$B$5:$B$3014,A294)</x:f>
        <x:v>0</x:v>
      </x:c>
      <x:c r="M294" s="13" t="n">
        <x:f>G294-L294</x:f>
        <x:v>2845.68</x:v>
      </x:c>
      <x:c r="N294" s="9" t="str">
        <x:f>IF(H294=0,"0 Current",IF(H294&lt;=30,"1 1-30",IF(H294&lt;=60,"2 31-60",IF(H294&lt;=90,"3 61-90",IF(H294&lt;=120,"4 91-120","5 121+")))))</x:f>
        <x:v>5 121+</x:v>
      </x:c>
      <x:c r="O294" s="9" t="n">
        <x:f>IF(J294&gt;0,1,0)</x:f>
        <x:v>1</x:v>
      </x:c>
    </x:row>
    <x:row r="295">
      <x:c r="A295" s="15" t="str">
        <x:v>291</x:v>
      </x:c>
      <x:c r="B295" s="9" t="str">
        <x:v>Taylor</x:v>
      </x:c>
      <x:c r="C295" s="9" t="str">
        <x:v>Credit Card</x:v>
      </x:c>
      <x:c r="D295" s="9" t="str">
        <x:v>South</x:v>
      </x:c>
      <x:c r="E295" s="9" t="n">
        <x:v>538</x:v>
      </x:c>
      <x:c r="F295" s="11" t="n">
        <x:v>46101</x:v>
      </x:c>
      <x:c r="G295" s="13" t="n">
        <x:v>1383.91</x:v>
      </x:c>
      <x:c r="H295" s="9" t="n">
        <x:v>215</x:v>
      </x:c>
      <x:c r="I295" s="9" t="n">
        <x:v>3</x:v>
      </x:c>
      <x:c r="J295" s="9" t="n">
        <x:v>1</x:v>
      </x:c>
      <x:c r="K295" s="9" t="n">
        <x:v>0</x:v>
      </x:c>
      <x:c r="L295" s="13" t="n">
        <x:f>SUMIFS('Payments'!$D$5:$D$3014,'Payments'!$B$5:$B$3014,A295)</x:f>
        <x:v>0</x:v>
      </x:c>
      <x:c r="M295" s="13" t="n">
        <x:f>G295-L295</x:f>
        <x:v>1383.91</x:v>
      </x:c>
      <x:c r="N295" s="9" t="str">
        <x:f>IF(H295=0,"0 Current",IF(H295&lt;=30,"1 1-30",IF(H295&lt;=60,"2 31-60",IF(H295&lt;=90,"3 61-90",IF(H295&lt;=120,"4 91-120","5 121+")))))</x:f>
        <x:v>5 121+</x:v>
      </x:c>
      <x:c r="O295" s="9" t="n">
        <x:f>IF(J295&gt;0,1,0)</x:f>
        <x:v>1</x:v>
      </x:c>
    </x:row>
    <x:row r="296">
      <x:c r="A296" s="15" t="str">
        <x:v>292</x:v>
      </x:c>
      <x:c r="B296" s="9" t="str">
        <x:v>Casey</x:v>
      </x:c>
      <x:c r="C296" s="9" t="str">
        <x:v>Auto</x:v>
      </x:c>
      <x:c r="D296" s="9" t="str">
        <x:v>West</x:v>
      </x:c>
      <x:c r="E296" s="9" t="n">
        <x:v>775</x:v>
      </x:c>
      <x:c r="F296" s="11" t="n">
        <x:v>46054</x:v>
      </x:c>
      <x:c r="G296" s="13" t="n">
        <x:v>22935.78</x:v>
      </x:c>
      <x:c r="H296" s="9" t="n">
        <x:v>99</x:v>
      </x:c>
      <x:c r="I296" s="9" t="n">
        <x:v>6</x:v>
      </x:c>
      <x:c r="J296" s="9" t="n">
        <x:v>4</x:v>
      </x:c>
      <x:c r="K296" s="9" t="n">
        <x:v>1</x:v>
      </x:c>
      <x:c r="L296" s="13" t="n">
        <x:f>SUMIFS('Payments'!$D$5:$D$3014,'Payments'!$B$5:$B$3014,A296)</x:f>
        <x:v>0</x:v>
      </x:c>
      <x:c r="M296" s="13" t="n">
        <x:f>G296-L296</x:f>
        <x:v>22935.78</x:v>
      </x:c>
      <x:c r="N296" s="9" t="str">
        <x:f>IF(H296=0,"0 Current",IF(H296&lt;=30,"1 1-30",IF(H296&lt;=60,"2 31-60",IF(H296&lt;=90,"3 61-90",IF(H296&lt;=120,"4 91-120","5 121+")))))</x:f>
        <x:v>4 91-120</x:v>
      </x:c>
      <x:c r="O296" s="9" t="n">
        <x:f>IF(J296&gt;0,1,0)</x:f>
        <x:v>1</x:v>
      </x:c>
    </x:row>
    <x:row r="297">
      <x:c r="A297" s="15" t="str">
        <x:v>293</x:v>
      </x:c>
      <x:c r="B297" s="9" t="str">
        <x:v>Taylor</x:v>
      </x:c>
      <x:c r="C297" s="9" t="str">
        <x:v>Auto</x:v>
      </x:c>
      <x:c r="D297" s="9" t="str">
        <x:v>South</x:v>
      </x:c>
      <x:c r="E297" s="9" t="n">
        <x:v>781</x:v>
      </x:c>
      <x:c r="F297" s="11" t="n">
        <x:v>46148</x:v>
      </x:c>
      <x:c r="G297" s="13" t="n">
        <x:v>20259</x:v>
      </x:c>
      <x:c r="H297" s="9" t="n">
        <x:v>237</x:v>
      </x:c>
      <x:c r="I297" s="9" t="n">
        <x:v>1</x:v>
      </x:c>
      <x:c r="J297" s="9" t="n">
        <x:v>0</x:v>
      </x:c>
      <x:c r="K297" s="9" t="n">
        <x:v>0</x:v>
      </x:c>
      <x:c r="L297" s="13" t="n">
        <x:f>SUMIFS('Payments'!$D$5:$D$3014,'Payments'!$B$5:$B$3014,A297)</x:f>
        <x:v>4198.95</x:v>
      </x:c>
      <x:c r="M297" s="13" t="n">
        <x:f>G297-L297</x:f>
        <x:v>16060.05</x:v>
      </x:c>
      <x:c r="N297" s="9" t="str">
        <x:f>IF(H297=0,"0 Current",IF(H297&lt;=30,"1 1-30",IF(H297&lt;=60,"2 31-60",IF(H297&lt;=90,"3 61-90",IF(H297&lt;=120,"4 91-120","5 121+")))))</x:f>
        <x:v>5 121+</x:v>
      </x:c>
      <x:c r="O297" s="9" t="n">
        <x:f>IF(J297&gt;0,1,0)</x:f>
        <x:v>0</x:v>
      </x:c>
    </x:row>
    <x:row r="298">
      <x:c r="A298" s="15" t="str">
        <x:v>294</x:v>
      </x:c>
      <x:c r="B298" s="9" t="str">
        <x:v>Alex</x:v>
      </x:c>
      <x:c r="C298" s="9" t="str">
        <x:v>Personal Loan</x:v>
      </x:c>
      <x:c r="D298" s="9" t="str">
        <x:v>South</x:v>
      </x:c>
      <x:c r="E298" s="9" t="n">
        <x:v>452</x:v>
      </x:c>
      <x:c r="F298" s="11" t="n">
        <x:v>46089</x:v>
      </x:c>
      <x:c r="G298" s="13" t="n">
        <x:v>21737.2</x:v>
      </x:c>
      <x:c r="H298" s="9" t="n">
        <x:v>107</x:v>
      </x:c>
      <x:c r="I298" s="9" t="n">
        <x:v>7</x:v>
      </x:c>
      <x:c r="J298" s="9" t="n">
        <x:v>3</x:v>
      </x:c>
      <x:c r="K298" s="9" t="n">
        <x:v>1</x:v>
      </x:c>
      <x:c r="L298" s="13" t="n">
        <x:f>SUMIFS('Payments'!$D$5:$D$3014,'Payments'!$B$5:$B$3014,A298)</x:f>
        <x:v>3133.05</x:v>
      </x:c>
      <x:c r="M298" s="13" t="n">
        <x:f>G298-L298</x:f>
        <x:v>18604.15</x:v>
      </x:c>
      <x:c r="N298" s="9" t="str">
        <x:f>IF(H298=0,"0 Current",IF(H298&lt;=30,"1 1-30",IF(H298&lt;=60,"2 31-60",IF(H298&lt;=90,"3 61-90",IF(H298&lt;=120,"4 91-120","5 121+")))))</x:f>
        <x:v>4 91-120</x:v>
      </x:c>
      <x:c r="O298" s="9" t="n">
        <x:f>IF(J298&gt;0,1,0)</x:f>
        <x:v>1</x:v>
      </x:c>
    </x:row>
    <x:row r="299">
      <x:c r="A299" s="15" t="str">
        <x:v>295</x:v>
      </x:c>
      <x:c r="B299" s="9" t="str">
        <x:v>Jordan</x:v>
      </x:c>
      <x:c r="C299" s="9" t="str">
        <x:v>Auto</x:v>
      </x:c>
      <x:c r="D299" s="9" t="str">
        <x:v>West</x:v>
      </x:c>
      <x:c r="E299" s="9" t="n">
        <x:v>628</x:v>
      </x:c>
      <x:c r="F299" s="11" t="n">
        <x:v>46056</x:v>
      </x:c>
      <x:c r="G299" s="13" t="n">
        <x:v>17709.9</x:v>
      </x:c>
      <x:c r="H299" s="9" t="n">
        <x:v>122</x:v>
      </x:c>
      <x:c r="I299" s="9" t="n">
        <x:v>5</x:v>
      </x:c>
      <x:c r="J299" s="9" t="n">
        <x:v>2</x:v>
      </x:c>
      <x:c r="K299" s="9" t="n">
        <x:v>1</x:v>
      </x:c>
      <x:c r="L299" s="13" t="n">
        <x:f>SUMIFS('Payments'!$D$5:$D$3014,'Payments'!$B$5:$B$3014,A299)</x:f>
        <x:v>693.35</x:v>
      </x:c>
      <x:c r="M299" s="13" t="n">
        <x:f>G299-L299</x:f>
        <x:v>17016.550000000003</x:v>
      </x:c>
      <x:c r="N299" s="9" t="str">
        <x:f>IF(H299=0,"0 Current",IF(H299&lt;=30,"1 1-30",IF(H299&lt;=60,"2 31-60",IF(H299&lt;=90,"3 61-90",IF(H299&lt;=120,"4 91-120","5 121+")))))</x:f>
        <x:v>5 121+</x:v>
      </x:c>
      <x:c r="O299" s="9" t="n">
        <x:f>IF(J299&gt;0,1,0)</x:f>
        <x:v>1</x:v>
      </x:c>
    </x:row>
    <x:row r="300">
      <x:c r="A300" s="15" t="str">
        <x:v>296</x:v>
      </x:c>
      <x:c r="B300" s="9" t="str">
        <x:v>Morgan</x:v>
      </x:c>
      <x:c r="C300" s="9" t="str">
        <x:v>Medical</x:v>
      </x:c>
      <x:c r="D300" s="9" t="str">
        <x:v>Midwest</x:v>
      </x:c>
      <x:c r="E300" s="9" t="n">
        <x:v>697</x:v>
      </x:c>
      <x:c r="F300" s="11" t="n">
        <x:v>46081</x:v>
      </x:c>
      <x:c r="G300" s="13" t="n">
        <x:v>4231.94</x:v>
      </x:c>
      <x:c r="H300" s="9" t="n">
        <x:v>67</x:v>
      </x:c>
      <x:c r="I300" s="9" t="n">
        <x:v>6</x:v>
      </x:c>
      <x:c r="J300" s="9" t="n">
        <x:v>3</x:v>
      </x:c>
      <x:c r="K300" s="9" t="n">
        <x:v>1</x:v>
      </x:c>
      <x:c r="L300" s="13" t="n">
        <x:f>SUMIFS('Payments'!$D$5:$D$3014,'Payments'!$B$5:$B$3014,A300)</x:f>
        <x:v>42.62</x:v>
      </x:c>
      <x:c r="M300" s="13" t="n">
        <x:f>G300-L300</x:f>
        <x:v>4189.32</x:v>
      </x:c>
      <x:c r="N300" s="9" t="str">
        <x:f>IF(H300=0,"0 Current",IF(H300&lt;=30,"1 1-30",IF(H300&lt;=60,"2 31-60",IF(H300&lt;=90,"3 61-90",IF(H300&lt;=120,"4 91-120","5 121+")))))</x:f>
        <x:v>3 61-90</x:v>
      </x:c>
      <x:c r="O300" s="9" t="n">
        <x:f>IF(J300&gt;0,1,0)</x:f>
        <x:v>1</x:v>
      </x:c>
    </x:row>
    <x:row r="301">
      <x:c r="A301" s="15" t="str">
        <x:v>297</x:v>
      </x:c>
      <x:c r="B301" s="9" t="str">
        <x:v>Casey</x:v>
      </x:c>
      <x:c r="C301" s="9" t="str">
        <x:v>Medical</x:v>
      </x:c>
      <x:c r="D301" s="9" t="str">
        <x:v>West</x:v>
      </x:c>
      <x:c r="E301" s="9" t="n">
        <x:v>632</x:v>
      </x:c>
      <x:c r="F301" s="11" t="n">
        <x:v>46149</x:v>
      </x:c>
      <x:c r="G301" s="13" t="n">
        <x:v>5470.76</x:v>
      </x:c>
      <x:c r="H301" s="9" t="n">
        <x:v>48</x:v>
      </x:c>
      <x:c r="I301" s="9" t="n">
        <x:v>2</x:v>
      </x:c>
      <x:c r="J301" s="9" t="n">
        <x:v>1</x:v>
      </x:c>
      <x:c r="K301" s="9" t="n">
        <x:v>0</x:v>
      </x:c>
      <x:c r="L301" s="13" t="n">
        <x:f>SUMIFS('Payments'!$D$5:$D$3014,'Payments'!$B$5:$B$3014,A301)</x:f>
        <x:v>1045.14</x:v>
      </x:c>
      <x:c r="M301" s="13" t="n">
        <x:f>G301-L301</x:f>
        <x:v>4425.62</x:v>
      </x:c>
      <x:c r="N301" s="9" t="str">
        <x:f>IF(H301=0,"0 Current",IF(H301&lt;=30,"1 1-30",IF(H301&lt;=60,"2 31-60",IF(H301&lt;=90,"3 61-90",IF(H301&lt;=120,"4 91-120","5 121+")))))</x:f>
        <x:v>2 31-60</x:v>
      </x:c>
      <x:c r="O301" s="9" t="n">
        <x:f>IF(J301&gt;0,1,0)</x:f>
        <x:v>1</x:v>
      </x:c>
    </x:row>
    <x:row r="302">
      <x:c r="A302" s="15" t="str">
        <x:v>298</x:v>
      </x:c>
      <x:c r="B302" s="9" t="str">
        <x:v>Morgan</x:v>
      </x:c>
      <x:c r="C302" s="9" t="str">
        <x:v>Medical</x:v>
      </x:c>
      <x:c r="D302" s="9" t="str">
        <x:v>Northeast</x:v>
      </x:c>
      <x:c r="E302" s="9" t="n">
        <x:v>525</x:v>
      </x:c>
      <x:c r="F302" s="11" t="n">
        <x:v>46095</x:v>
      </x:c>
      <x:c r="G302" s="13" t="n">
        <x:v>8442.46</x:v>
      </x:c>
      <x:c r="H302" s="9" t="n">
        <x:v>104</x:v>
      </x:c>
      <x:c r="I302" s="9" t="n">
        <x:v>4</x:v>
      </x:c>
      <x:c r="J302" s="9" t="n">
        <x:v>2</x:v>
      </x:c>
      <x:c r="K302" s="9" t="n">
        <x:v>0</x:v>
      </x:c>
      <x:c r="L302" s="13" t="n">
        <x:f>SUMIFS('Payments'!$D$5:$D$3014,'Payments'!$B$5:$B$3014,A302)</x:f>
        <x:v>47.71</x:v>
      </x:c>
      <x:c r="M302" s="13" t="n">
        <x:f>G302-L302</x:f>
        <x:v>8394.75</x:v>
      </x:c>
      <x:c r="N302" s="9" t="str">
        <x:f>IF(H302=0,"0 Current",IF(H302&lt;=30,"1 1-30",IF(H302&lt;=60,"2 31-60",IF(H302&lt;=90,"3 61-90",IF(H302&lt;=120,"4 91-120","5 121+")))))</x:f>
        <x:v>4 91-120</x:v>
      </x:c>
      <x:c r="O302" s="9" t="n">
        <x:f>IF(J302&gt;0,1,0)</x:f>
        <x:v>1</x:v>
      </x:c>
    </x:row>
    <x:row r="303">
      <x:c r="A303" s="15" t="str">
        <x:v>299</x:v>
      </x:c>
      <x:c r="B303" s="9" t="str">
        <x:v>Taylor</x:v>
      </x:c>
      <x:c r="C303" s="9" t="str">
        <x:v>Auto</x:v>
      </x:c>
      <x:c r="D303" s="9" t="str">
        <x:v>West</x:v>
      </x:c>
      <x:c r="E303" s="9" t="n">
        <x:v>619</x:v>
      </x:c>
      <x:c r="F303" s="11" t="n">
        <x:v>46057</x:v>
      </x:c>
      <x:c r="G303" s="13" t="n">
        <x:v>14057.91</x:v>
      </x:c>
      <x:c r="H303" s="9" t="n">
        <x:v>175</x:v>
      </x:c>
      <x:c r="I303" s="9" t="n">
        <x:v>4</x:v>
      </x:c>
      <x:c r="J303" s="9" t="n">
        <x:v>1</x:v>
      </x:c>
      <x:c r="K303" s="9" t="n">
        <x:v>1</x:v>
      </x:c>
      <x:c r="L303" s="13" t="n">
        <x:f>SUMIFS('Payments'!$D$5:$D$3014,'Payments'!$B$5:$B$3014,A303)</x:f>
        <x:v>1015.31</x:v>
      </x:c>
      <x:c r="M303" s="13" t="n">
        <x:f>G303-L303</x:f>
        <x:v>13042.6</x:v>
      </x:c>
      <x:c r="N303" s="9" t="str">
        <x:f>IF(H303=0,"0 Current",IF(H303&lt;=30,"1 1-30",IF(H303&lt;=60,"2 31-60",IF(H303&lt;=90,"3 61-90",IF(H303&lt;=120,"4 91-120","5 121+")))))</x:f>
        <x:v>5 121+</x:v>
      </x:c>
      <x:c r="O303" s="9" t="n">
        <x:f>IF(J303&gt;0,1,0)</x:f>
        <x:v>1</x:v>
      </x:c>
    </x:row>
    <x:row r="304">
      <x:c r="A304" s="15" t="str">
        <x:v>300</x:v>
      </x:c>
      <x:c r="B304" s="9" t="str">
        <x:v>Jordan</x:v>
      </x:c>
      <x:c r="C304" s="9" t="str">
        <x:v>Auto</x:v>
      </x:c>
      <x:c r="D304" s="9" t="str">
        <x:v>Northeast</x:v>
      </x:c>
      <x:c r="E304" s="9" t="n">
        <x:v>811</x:v>
      </x:c>
      <x:c r="F304" s="11" t="n">
        <x:v>46034</x:v>
      </x:c>
      <x:c r="G304" s="13" t="n">
        <x:v>724.85</x:v>
      </x:c>
      <x:c r="H304" s="9" t="n">
        <x:v>77</x:v>
      </x:c>
      <x:c r="I304" s="9" t="n">
        <x:v>2</x:v>
      </x:c>
      <x:c r="J304" s="9" t="n">
        <x:v>1</x:v>
      </x:c>
      <x:c r="K304" s="9" t="n">
        <x:v>1</x:v>
      </x:c>
      <x:c r="L304" s="13" t="n">
        <x:f>SUMIFS('Payments'!$D$5:$D$3014,'Payments'!$B$5:$B$3014,A304)</x:f>
        <x:v>99.17</x:v>
      </x:c>
      <x:c r="M304" s="13" t="n">
        <x:f>G304-L304</x:f>
        <x:v>625.6800000000001</x:v>
      </x:c>
      <x:c r="N304" s="9" t="str">
        <x:f>IF(H304=0,"0 Current",IF(H304&lt;=30,"1 1-30",IF(H304&lt;=60,"2 31-60",IF(H304&lt;=90,"3 61-90",IF(H304&lt;=120,"4 91-120","5 121+")))))</x:f>
        <x:v>3 61-90</x:v>
      </x:c>
      <x:c r="O304" s="9" t="n">
        <x:f>IF(J304&gt;0,1,0)</x:f>
        <x:v>1</x:v>
      </x:c>
    </x:row>
    <x:row r="305">
      <x:c r="A305" s="15" t="str">
        <x:v>301</x:v>
      </x:c>
      <x:c r="B305" s="9" t="str">
        <x:v>Alex</x:v>
      </x:c>
      <x:c r="C305" s="9" t="str">
        <x:v>Personal Loan</x:v>
      </x:c>
      <x:c r="D305" s="9" t="str">
        <x:v>West</x:v>
      </x:c>
      <x:c r="E305" s="9" t="n">
        <x:v>664</x:v>
      </x:c>
      <x:c r="F305" s="11" t="n">
        <x:v>46142</x:v>
      </x:c>
      <x:c r="G305" s="13" t="n">
        <x:v>6033.1</x:v>
      </x:c>
      <x:c r="H305" s="9" t="n">
        <x:v>181</x:v>
      </x:c>
      <x:c r="I305" s="9" t="n">
        <x:v>4</x:v>
      </x:c>
      <x:c r="J305" s="9" t="n">
        <x:v>1</x:v>
      </x:c>
      <x:c r="K305" s="9" t="n">
        <x:v>0</x:v>
      </x:c>
      <x:c r="L305" s="13" t="n">
        <x:f>SUMIFS('Payments'!$D$5:$D$3014,'Payments'!$B$5:$B$3014,A305)</x:f>
        <x:v>1526.9499999999998</x:v>
      </x:c>
      <x:c r="M305" s="13" t="n">
        <x:f>G305-L305</x:f>
        <x:v>4506.150000000001</x:v>
      </x:c>
      <x:c r="N305" s="9" t="str">
        <x:f>IF(H305=0,"0 Current",IF(H305&lt;=30,"1 1-30",IF(H305&lt;=60,"2 31-60",IF(H305&lt;=90,"3 61-90",IF(H305&lt;=120,"4 91-120","5 121+")))))</x:f>
        <x:v>5 121+</x:v>
      </x:c>
      <x:c r="O305" s="9" t="n">
        <x:f>IF(J305&gt;0,1,0)</x:f>
        <x:v>1</x:v>
      </x:c>
    </x:row>
    <x:row r="306">
      <x:c r="A306" s="15" t="str">
        <x:v>302</x:v>
      </x:c>
      <x:c r="B306" s="9" t="str">
        <x:v>Jordan</x:v>
      </x:c>
      <x:c r="C306" s="9" t="str">
        <x:v>Auto</x:v>
      </x:c>
      <x:c r="D306" s="9" t="str">
        <x:v>Northeast</x:v>
      </x:c>
      <x:c r="E306" s="9" t="n">
        <x:v>600</x:v>
      </x:c>
      <x:c r="F306" s="11" t="n">
        <x:v>46090</x:v>
      </x:c>
      <x:c r="G306" s="13" t="n">
        <x:v>22183.4</x:v>
      </x:c>
      <x:c r="H306" s="9" t="n">
        <x:v>228</x:v>
      </x:c>
      <x:c r="I306" s="9" t="n">
        <x:v>7</x:v>
      </x:c>
      <x:c r="J306" s="9" t="n">
        <x:v>3</x:v>
      </x:c>
      <x:c r="K306" s="9" t="n">
        <x:v>1</x:v>
      </x:c>
      <x:c r="L306" s="13" t="n">
        <x:f>SUMIFS('Payments'!$D$5:$D$3014,'Payments'!$B$5:$B$3014,A306)</x:f>
        <x:v>1664.35</x:v>
      </x:c>
      <x:c r="M306" s="13" t="n">
        <x:f>G306-L306</x:f>
        <x:v>20519.050000000003</x:v>
      </x:c>
      <x:c r="N306" s="9" t="str">
        <x:f>IF(H306=0,"0 Current",IF(H306&lt;=30,"1 1-30",IF(H306&lt;=60,"2 31-60",IF(H306&lt;=90,"3 61-90",IF(H306&lt;=120,"4 91-120","5 121+")))))</x:f>
        <x:v>5 121+</x:v>
      </x:c>
      <x:c r="O306" s="9" t="n">
        <x:f>IF(J306&gt;0,1,0)</x:f>
        <x:v>1</x:v>
      </x:c>
    </x:row>
    <x:row r="307">
      <x:c r="A307" s="15" t="str">
        <x:v>303</x:v>
      </x:c>
      <x:c r="B307" s="9" t="str">
        <x:v>Alex</x:v>
      </x:c>
      <x:c r="C307" s="9" t="str">
        <x:v>Auto</x:v>
      </x:c>
      <x:c r="D307" s="9" t="str">
        <x:v>Midwest</x:v>
      </x:c>
      <x:c r="E307" s="9" t="n">
        <x:v>805</x:v>
      </x:c>
      <x:c r="F307" s="11" t="n">
        <x:v>46142</x:v>
      </x:c>
      <x:c r="G307" s="13" t="n">
        <x:v>18805.19</x:v>
      </x:c>
      <x:c r="H307" s="9" t="n">
        <x:v>10</x:v>
      </x:c>
      <x:c r="I307" s="9" t="n">
        <x:v>1</x:v>
      </x:c>
      <x:c r="J307" s="9" t="n">
        <x:v>1</x:v>
      </x:c>
      <x:c r="K307" s="9" t="n">
        <x:v>0</x:v>
      </x:c>
      <x:c r="L307" s="13" t="n">
        <x:f>SUMIFS('Payments'!$D$5:$D$3014,'Payments'!$B$5:$B$3014,A307)</x:f>
        <x:v>3634.81</x:v>
      </x:c>
      <x:c r="M307" s="13" t="n">
        <x:f>G307-L307</x:f>
        <x:v>15170.38</x:v>
      </x:c>
      <x:c r="N307" s="9" t="str">
        <x:f>IF(H307=0,"0 Current",IF(H307&lt;=30,"1 1-30",IF(H307&lt;=60,"2 31-60",IF(H307&lt;=90,"3 61-90",IF(H307&lt;=120,"4 91-120","5 121+")))))</x:f>
        <x:v>1 1-30</x:v>
      </x:c>
      <x:c r="O307" s="9" t="n">
        <x:f>IF(J307&gt;0,1,0)</x:f>
        <x:v>1</x:v>
      </x:c>
    </x:row>
    <x:row r="308">
      <x:c r="A308" s="15" t="str">
        <x:v>304</x:v>
      </x:c>
      <x:c r="B308" s="9" t="str">
        <x:v>Jordan</x:v>
      </x:c>
      <x:c r="C308" s="9" t="str">
        <x:v>Credit Card</x:v>
      </x:c>
      <x:c r="D308" s="9" t="str">
        <x:v>West</x:v>
      </x:c>
      <x:c r="E308" s="9" t="n">
        <x:v>634</x:v>
      </x:c>
      <x:c r="F308" s="11" t="n">
        <x:v>46060</x:v>
      </x:c>
      <x:c r="G308" s="13" t="n">
        <x:v>5686.43</x:v>
      </x:c>
      <x:c r="H308" s="9" t="n">
        <x:v>52</x:v>
      </x:c>
      <x:c r="I308" s="9" t="n">
        <x:v>3</x:v>
      </x:c>
      <x:c r="J308" s="9" t="n">
        <x:v>0</x:v>
      </x:c>
      <x:c r="K308" s="9" t="n">
        <x:v>0</x:v>
      </x:c>
      <x:c r="L308" s="13" t="n">
        <x:f>SUMIFS('Payments'!$D$5:$D$3014,'Payments'!$B$5:$B$3014,A308)</x:f>
        <x:v>923.5899999999999</x:v>
      </x:c>
      <x:c r="M308" s="13" t="n">
        <x:f>G308-L308</x:f>
        <x:v>4762.84</x:v>
      </x:c>
      <x:c r="N308" s="9" t="str">
        <x:f>IF(H308=0,"0 Current",IF(H308&lt;=30,"1 1-30",IF(H308&lt;=60,"2 31-60",IF(H308&lt;=90,"3 61-90",IF(H308&lt;=120,"4 91-120","5 121+")))))</x:f>
        <x:v>2 31-60</x:v>
      </x:c>
      <x:c r="O308" s="9" t="n">
        <x:f>IF(J308&gt;0,1,0)</x:f>
        <x:v>0</x:v>
      </x:c>
    </x:row>
    <x:row r="309">
      <x:c r="A309" s="15" t="str">
        <x:v>305</x:v>
      </x:c>
      <x:c r="B309" s="9" t="str">
        <x:v>Jordan</x:v>
      </x:c>
      <x:c r="C309" s="9" t="str">
        <x:v>Credit Card</x:v>
      </x:c>
      <x:c r="D309" s="9" t="str">
        <x:v>South</x:v>
      </x:c>
      <x:c r="E309" s="9" t="n">
        <x:v>669</x:v>
      </x:c>
      <x:c r="F309" s="11" t="n">
        <x:v>46150</x:v>
      </x:c>
      <x:c r="G309" s="13" t="n">
        <x:v>4455.44</x:v>
      </x:c>
      <x:c r="H309" s="9" t="n">
        <x:v>72</x:v>
      </x:c>
      <x:c r="I309" s="9" t="n">
        <x:v>6</x:v>
      </x:c>
      <x:c r="J309" s="9" t="n">
        <x:v>3</x:v>
      </x:c>
      <x:c r="K309" s="9" t="n">
        <x:v>1</x:v>
      </x:c>
      <x:c r="L309" s="13" t="n">
        <x:f>SUMIFS('Payments'!$D$5:$D$3014,'Payments'!$B$5:$B$3014,A309)</x:f>
        <x:v>0</x:v>
      </x:c>
      <x:c r="M309" s="13" t="n">
        <x:f>G309-L309</x:f>
        <x:v>4455.44</x:v>
      </x:c>
      <x:c r="N309" s="9" t="str">
        <x:f>IF(H309=0,"0 Current",IF(H309&lt;=30,"1 1-30",IF(H309&lt;=60,"2 31-60",IF(H309&lt;=90,"3 61-90",IF(H309&lt;=120,"4 91-120","5 121+")))))</x:f>
        <x:v>3 61-90</x:v>
      </x:c>
      <x:c r="O309" s="9" t="n">
        <x:f>IF(J309&gt;0,1,0)</x:f>
        <x:v>1</x:v>
      </x:c>
    </x:row>
    <x:row r="310">
      <x:c r="A310" s="15" t="str">
        <x:v>306</x:v>
      </x:c>
      <x:c r="B310" s="9" t="str">
        <x:v>Alex</x:v>
      </x:c>
      <x:c r="C310" s="9" t="str">
        <x:v>Auto</x:v>
      </x:c>
      <x:c r="D310" s="9" t="str">
        <x:v>South</x:v>
      </x:c>
      <x:c r="E310" s="9" t="n">
        <x:v>559</x:v>
      </x:c>
      <x:c r="F310" s="11" t="n">
        <x:v>46024</x:v>
      </x:c>
      <x:c r="G310" s="13" t="n">
        <x:v>14317.16</x:v>
      </x:c>
      <x:c r="H310" s="9" t="n">
        <x:v>83</x:v>
      </x:c>
      <x:c r="I310" s="9" t="n">
        <x:v>8</x:v>
      </x:c>
      <x:c r="J310" s="9" t="n">
        <x:v>1</x:v>
      </x:c>
      <x:c r="K310" s="9" t="n">
        <x:v>1</x:v>
      </x:c>
      <x:c r="L310" s="13" t="n">
        <x:f>SUMIFS('Payments'!$D$5:$D$3014,'Payments'!$B$5:$B$3014,A310)</x:f>
        <x:v>1393.9299999999998</x:v>
      </x:c>
      <x:c r="M310" s="13" t="n">
        <x:f>G310-L310</x:f>
        <x:v>12923.23</x:v>
      </x:c>
      <x:c r="N310" s="9" t="str">
        <x:f>IF(H310=0,"0 Current",IF(H310&lt;=30,"1 1-30",IF(H310&lt;=60,"2 31-60",IF(H310&lt;=90,"3 61-90",IF(H310&lt;=120,"4 91-120","5 121+")))))</x:f>
        <x:v>3 61-90</x:v>
      </x:c>
      <x:c r="O310" s="9" t="n">
        <x:f>IF(J310&gt;0,1,0)</x:f>
        <x:v>1</x:v>
      </x:c>
    </x:row>
    <x:row r="311">
      <x:c r="A311" s="15" t="str">
        <x:v>307</x:v>
      </x:c>
      <x:c r="B311" s="9" t="str">
        <x:v>Taylor</x:v>
      </x:c>
      <x:c r="C311" s="9" t="str">
        <x:v>Medical</x:v>
      </x:c>
      <x:c r="D311" s="9" t="str">
        <x:v>West</x:v>
      </x:c>
      <x:c r="E311" s="9" t="n">
        <x:v>668</x:v>
      </x:c>
      <x:c r="F311" s="11" t="n">
        <x:v>46133</x:v>
      </x:c>
      <x:c r="G311" s="13" t="n">
        <x:v>13506.59</x:v>
      </x:c>
      <x:c r="H311" s="9" t="n">
        <x:v>91</x:v>
      </x:c>
      <x:c r="I311" s="9" t="n">
        <x:v>5</x:v>
      </x:c>
      <x:c r="J311" s="9" t="n">
        <x:v>2</x:v>
      </x:c>
      <x:c r="K311" s="9" t="n">
        <x:v>0</x:v>
      </x:c>
      <x:c r="L311" s="13" t="n">
        <x:f>SUMIFS('Payments'!$D$5:$D$3014,'Payments'!$B$5:$B$3014,A311)</x:f>
        <x:v>0</x:v>
      </x:c>
      <x:c r="M311" s="13" t="n">
        <x:f>G311-L311</x:f>
        <x:v>13506.59</x:v>
      </x:c>
      <x:c r="N311" s="9" t="str">
        <x:f>IF(H311=0,"0 Current",IF(H311&lt;=30,"1 1-30",IF(H311&lt;=60,"2 31-60",IF(H311&lt;=90,"3 61-90",IF(H311&lt;=120,"4 91-120","5 121+")))))</x:f>
        <x:v>4 91-120</x:v>
      </x:c>
      <x:c r="O311" s="9" t="n">
        <x:f>IF(J311&gt;0,1,0)</x:f>
        <x:v>1</x:v>
      </x:c>
    </x:row>
    <x:row r="312">
      <x:c r="A312" s="15" t="str">
        <x:v>308</x:v>
      </x:c>
      <x:c r="B312" s="9" t="str">
        <x:v>Taylor</x:v>
      </x:c>
      <x:c r="C312" s="9" t="str">
        <x:v>Auto</x:v>
      </x:c>
      <x:c r="D312" s="9" t="str">
        <x:v>Northeast</x:v>
      </x:c>
      <x:c r="E312" s="9" t="n">
        <x:v>619</x:v>
      </x:c>
      <x:c r="F312" s="11" t="n">
        <x:v>46070</x:v>
      </x:c>
      <x:c r="G312" s="13" t="n">
        <x:v>18707.72</x:v>
      </x:c>
      <x:c r="H312" s="9" t="n">
        <x:v>23</x:v>
      </x:c>
      <x:c r="I312" s="9" t="n">
        <x:v>8</x:v>
      </x:c>
      <x:c r="J312" s="9" t="n">
        <x:v>5</x:v>
      </x:c>
      <x:c r="K312" s="9" t="n">
        <x:v>1</x:v>
      </x:c>
      <x:c r="L312" s="13" t="n">
        <x:f>SUMIFS('Payments'!$D$5:$D$3014,'Payments'!$B$5:$B$3014,A312)</x:f>
        <x:v>0</x:v>
      </x:c>
      <x:c r="M312" s="13" t="n">
        <x:f>G312-L312</x:f>
        <x:v>18707.72</x:v>
      </x:c>
      <x:c r="N312" s="9" t="str">
        <x:f>IF(H312=0,"0 Current",IF(H312&lt;=30,"1 1-30",IF(H312&lt;=60,"2 31-60",IF(H312&lt;=90,"3 61-90",IF(H312&lt;=120,"4 91-120","5 121+")))))</x:f>
        <x:v>1 1-30</x:v>
      </x:c>
      <x:c r="O312" s="9" t="n">
        <x:f>IF(J312&gt;0,1,0)</x:f>
        <x:v>1</x:v>
      </x:c>
    </x:row>
    <x:row r="313">
      <x:c r="A313" s="15" t="str">
        <x:v>309</x:v>
      </x:c>
      <x:c r="B313" s="9" t="str">
        <x:v>Jordan</x:v>
      </x:c>
      <x:c r="C313" s="9" t="str">
        <x:v>Credit Card</x:v>
      </x:c>
      <x:c r="D313" s="9" t="str">
        <x:v>Midwest</x:v>
      </x:c>
      <x:c r="E313" s="9" t="n">
        <x:v>762</x:v>
      </x:c>
      <x:c r="F313" s="11" t="n">
        <x:v>46156</x:v>
      </x:c>
      <x:c r="G313" s="13" t="n">
        <x:v>18440.37</x:v>
      </x:c>
      <x:c r="H313" s="9" t="n">
        <x:v>141</x:v>
      </x:c>
      <x:c r="I313" s="9" t="n">
        <x:v>0</x:v>
      </x:c>
      <x:c r="J313" s="9" t="n">
        <x:v>0</x:v>
      </x:c>
      <x:c r="K313" s="9" t="n">
        <x:v>0</x:v>
      </x:c>
      <x:c r="L313" s="13" t="n">
        <x:f>SUMIFS('Payments'!$D$5:$D$3014,'Payments'!$B$5:$B$3014,A313)</x:f>
        <x:v>0</x:v>
      </x:c>
      <x:c r="M313" s="13" t="n">
        <x:f>G313-L313</x:f>
        <x:v>18440.37</x:v>
      </x:c>
      <x:c r="N313" s="9" t="str">
        <x:f>IF(H313=0,"0 Current",IF(H313&lt;=30,"1 1-30",IF(H313&lt;=60,"2 31-60",IF(H313&lt;=90,"3 61-90",IF(H313&lt;=120,"4 91-120","5 121+")))))</x:f>
        <x:v>5 121+</x:v>
      </x:c>
      <x:c r="O313" s="9" t="n">
        <x:f>IF(J313&gt;0,1,0)</x:f>
        <x:v>0</x:v>
      </x:c>
    </x:row>
    <x:row r="314">
      <x:c r="A314" s="15" t="str">
        <x:v>310</x:v>
      </x:c>
      <x:c r="B314" s="9" t="str">
        <x:v>Riley</x:v>
      </x:c>
      <x:c r="C314" s="9" t="str">
        <x:v>Auto</x:v>
      </x:c>
      <x:c r="D314" s="9" t="str">
        <x:v>West</x:v>
      </x:c>
      <x:c r="E314" s="9" t="n">
        <x:v>790</x:v>
      </x:c>
      <x:c r="F314" s="11" t="n">
        <x:v>46154</x:v>
      </x:c>
      <x:c r="G314" s="13" t="n">
        <x:v>5014.42</x:v>
      </x:c>
      <x:c r="H314" s="9" t="n">
        <x:v>105</x:v>
      </x:c>
      <x:c r="I314" s="9" t="n">
        <x:v>7</x:v>
      </x:c>
      <x:c r="J314" s="9" t="n">
        <x:v>3</x:v>
      </x:c>
      <x:c r="K314" s="9" t="n">
        <x:v>0</x:v>
      </x:c>
      <x:c r="L314" s="13" t="n">
        <x:f>SUMIFS('Payments'!$D$5:$D$3014,'Payments'!$B$5:$B$3014,A314)</x:f>
        <x:v>0</x:v>
      </x:c>
      <x:c r="M314" s="13" t="n">
        <x:f>G314-L314</x:f>
        <x:v>5014.42</x:v>
      </x:c>
      <x:c r="N314" s="9" t="str">
        <x:f>IF(H314=0,"0 Current",IF(H314&lt;=30,"1 1-30",IF(H314&lt;=60,"2 31-60",IF(H314&lt;=90,"3 61-90",IF(H314&lt;=120,"4 91-120","5 121+")))))</x:f>
        <x:v>4 91-120</x:v>
      </x:c>
      <x:c r="O314" s="9" t="n">
        <x:f>IF(J314&gt;0,1,0)</x:f>
        <x:v>1</x:v>
      </x:c>
    </x:row>
    <x:row r="315">
      <x:c r="A315" s="15" t="str">
        <x:v>311</x:v>
      </x:c>
      <x:c r="B315" s="9" t="str">
        <x:v>Jordan</x:v>
      </x:c>
      <x:c r="C315" s="9" t="str">
        <x:v>Auto</x:v>
      </x:c>
      <x:c r="D315" s="9" t="str">
        <x:v>South</x:v>
      </x:c>
      <x:c r="E315" s="9" t="n">
        <x:v>659</x:v>
      </x:c>
      <x:c r="F315" s="11" t="n">
        <x:v>46129</x:v>
      </x:c>
      <x:c r="G315" s="13" t="n">
        <x:v>12984.24</x:v>
      </x:c>
      <x:c r="H315" s="9" t="n">
        <x:v>193</x:v>
      </x:c>
      <x:c r="I315" s="9" t="n">
        <x:v>4</x:v>
      </x:c>
      <x:c r="J315" s="9" t="n">
        <x:v>0</x:v>
      </x:c>
      <x:c r="K315" s="9" t="n">
        <x:v>0</x:v>
      </x:c>
      <x:c r="L315" s="13" t="n">
        <x:f>SUMIFS('Payments'!$D$5:$D$3014,'Payments'!$B$5:$B$3014,A315)</x:f>
        <x:v>1700.77</x:v>
      </x:c>
      <x:c r="M315" s="13" t="n">
        <x:f>G315-L315</x:f>
        <x:v>11283.47</x:v>
      </x:c>
      <x:c r="N315" s="9" t="str">
        <x:f>IF(H315=0,"0 Current",IF(H315&lt;=30,"1 1-30",IF(H315&lt;=60,"2 31-60",IF(H315&lt;=90,"3 61-90",IF(H315&lt;=120,"4 91-120","5 121+")))))</x:f>
        <x:v>5 121+</x:v>
      </x:c>
      <x:c r="O315" s="9" t="n">
        <x:f>IF(J315&gt;0,1,0)</x:f>
        <x:v>0</x:v>
      </x:c>
    </x:row>
    <x:row r="316">
      <x:c r="A316" s="15" t="str">
        <x:v>312</x:v>
      </x:c>
      <x:c r="B316" s="9" t="str">
        <x:v>Jordan</x:v>
      </x:c>
      <x:c r="C316" s="9" t="str">
        <x:v>Personal Loan</x:v>
      </x:c>
      <x:c r="D316" s="9" t="str">
        <x:v>South</x:v>
      </x:c>
      <x:c r="E316" s="9" t="n">
        <x:v>738</x:v>
      </x:c>
      <x:c r="F316" s="11" t="n">
        <x:v>46126</x:v>
      </x:c>
      <x:c r="G316" s="13" t="n">
        <x:v>20914.62</x:v>
      </x:c>
      <x:c r="H316" s="9" t="n">
        <x:v>176</x:v>
      </x:c>
      <x:c r="I316" s="9" t="n">
        <x:v>3</x:v>
      </x:c>
      <x:c r="J316" s="9" t="n">
        <x:v>2</x:v>
      </x:c>
      <x:c r="K316" s="9" t="n">
        <x:v>0</x:v>
      </x:c>
      <x:c r="L316" s="13" t="n">
        <x:f>SUMIFS('Payments'!$D$5:$D$3014,'Payments'!$B$5:$B$3014,A316)</x:f>
        <x:v>2723.23</x:v>
      </x:c>
      <x:c r="M316" s="13" t="n">
        <x:f>G316-L316</x:f>
        <x:v>18191.39</x:v>
      </x:c>
      <x:c r="N316" s="9" t="str">
        <x:f>IF(H316=0,"0 Current",IF(H316&lt;=30,"1 1-30",IF(H316&lt;=60,"2 31-60",IF(H316&lt;=90,"3 61-90",IF(H316&lt;=120,"4 91-120","5 121+")))))</x:f>
        <x:v>5 121+</x:v>
      </x:c>
      <x:c r="O316" s="9" t="n">
        <x:f>IF(J316&gt;0,1,0)</x:f>
        <x:v>1</x:v>
      </x:c>
    </x:row>
    <x:row r="317">
      <x:c r="A317" s="15" t="str">
        <x:v>313</x:v>
      </x:c>
      <x:c r="B317" s="9" t="str">
        <x:v>Morgan</x:v>
      </x:c>
      <x:c r="C317" s="9" t="str">
        <x:v>Medical</x:v>
      </x:c>
      <x:c r="D317" s="9" t="str">
        <x:v>Northeast</x:v>
      </x:c>
      <x:c r="E317" s="9" t="n">
        <x:v>621</x:v>
      </x:c>
      <x:c r="F317" s="11" t="n">
        <x:v>46060</x:v>
      </x:c>
      <x:c r="G317" s="13" t="n">
        <x:v>10640.99</x:v>
      </x:c>
      <x:c r="H317" s="9" t="n">
        <x:v>22</x:v>
      </x:c>
      <x:c r="I317" s="9" t="n">
        <x:v>0</x:v>
      </x:c>
      <x:c r="J317" s="9" t="n">
        <x:v>0</x:v>
      </x:c>
      <x:c r="K317" s="9" t="n">
        <x:v>0</x:v>
      </x:c>
      <x:c r="L317" s="13" t="n">
        <x:f>SUMIFS('Payments'!$D$5:$D$3014,'Payments'!$B$5:$B$3014,A317)</x:f>
        <x:v>2477.37</x:v>
      </x:c>
      <x:c r="M317" s="13" t="n">
        <x:f>G317-L317</x:f>
        <x:v>8163.62</x:v>
      </x:c>
      <x:c r="N317" s="9" t="str">
        <x:f>IF(H317=0,"0 Current",IF(H317&lt;=30,"1 1-30",IF(H317&lt;=60,"2 31-60",IF(H317&lt;=90,"3 61-90",IF(H317&lt;=120,"4 91-120","5 121+")))))</x:f>
        <x:v>1 1-30</x:v>
      </x:c>
      <x:c r="O317" s="9" t="n">
        <x:f>IF(J317&gt;0,1,0)</x:f>
        <x:v>0</x:v>
      </x:c>
    </x:row>
    <x:row r="318">
      <x:c r="A318" s="15" t="str">
        <x:v>314</x:v>
      </x:c>
      <x:c r="B318" s="9" t="str">
        <x:v>Casey</x:v>
      </x:c>
      <x:c r="C318" s="9" t="str">
        <x:v>Auto</x:v>
      </x:c>
      <x:c r="D318" s="9" t="str">
        <x:v>Northeast</x:v>
      </x:c>
      <x:c r="E318" s="9" t="n">
        <x:v>462</x:v>
      </x:c>
      <x:c r="F318" s="11" t="n">
        <x:v>46052</x:v>
      </x:c>
      <x:c r="G318" s="13" t="n">
        <x:v>7466.96</x:v>
      </x:c>
      <x:c r="H318" s="9" t="n">
        <x:v>124</x:v>
      </x:c>
      <x:c r="I318" s="9" t="n">
        <x:v>6</x:v>
      </x:c>
      <x:c r="J318" s="9" t="n">
        <x:v>4</x:v>
      </x:c>
      <x:c r="K318" s="9" t="n">
        <x:v>1</x:v>
      </x:c>
      <x:c r="L318" s="13" t="n">
        <x:f>SUMIFS('Payments'!$D$5:$D$3014,'Payments'!$B$5:$B$3014,A318)</x:f>
        <x:v>1086.67</x:v>
      </x:c>
      <x:c r="M318" s="13" t="n">
        <x:f>G318-L318</x:f>
        <x:v>6380.29</x:v>
      </x:c>
      <x:c r="N318" s="9" t="str">
        <x:f>IF(H318=0,"0 Current",IF(H318&lt;=30,"1 1-30",IF(H318&lt;=60,"2 31-60",IF(H318&lt;=90,"3 61-90",IF(H318&lt;=120,"4 91-120","5 121+")))))</x:f>
        <x:v>5 121+</x:v>
      </x:c>
      <x:c r="O318" s="9" t="n">
        <x:f>IF(J318&gt;0,1,0)</x:f>
        <x:v>1</x:v>
      </x:c>
    </x:row>
    <x:row r="319">
      <x:c r="A319" s="15" t="str">
        <x:v>315</x:v>
      </x:c>
      <x:c r="B319" s="9" t="str">
        <x:v>Riley</x:v>
      </x:c>
      <x:c r="C319" s="9" t="str">
        <x:v>Auto</x:v>
      </x:c>
      <x:c r="D319" s="9" t="str">
        <x:v>West</x:v>
      </x:c>
      <x:c r="E319" s="9" t="n">
        <x:v>489</x:v>
      </x:c>
      <x:c r="F319" s="11" t="n">
        <x:v>46147</x:v>
      </x:c>
      <x:c r="G319" s="13" t="n">
        <x:v>22031.69</x:v>
      </x:c>
      <x:c r="H319" s="9" t="n">
        <x:v>59</x:v>
      </x:c>
      <x:c r="I319" s="9" t="n">
        <x:v>8</x:v>
      </x:c>
      <x:c r="J319" s="9" t="n">
        <x:v>2</x:v>
      </x:c>
      <x:c r="K319" s="9" t="n">
        <x:v>0</x:v>
      </x:c>
      <x:c r="L319" s="13" t="n">
        <x:f>SUMIFS('Payments'!$D$5:$D$3014,'Payments'!$B$5:$B$3014,A319)</x:f>
        <x:v>0</x:v>
      </x:c>
      <x:c r="M319" s="13" t="n">
        <x:f>G319-L319</x:f>
        <x:v>22031.69</x:v>
      </x:c>
      <x:c r="N319" s="9" t="str">
        <x:f>IF(H319=0,"0 Current",IF(H319&lt;=30,"1 1-30",IF(H319&lt;=60,"2 31-60",IF(H319&lt;=90,"3 61-90",IF(H319&lt;=120,"4 91-120","5 121+")))))</x:f>
        <x:v>2 31-60</x:v>
      </x:c>
      <x:c r="O319" s="9" t="n">
        <x:f>IF(J319&gt;0,1,0)</x:f>
        <x:v>1</x:v>
      </x:c>
    </x:row>
    <x:row r="320">
      <x:c r="A320" s="15" t="str">
        <x:v>316</x:v>
      </x:c>
      <x:c r="B320" s="9" t="str">
        <x:v>Jordan</x:v>
      </x:c>
      <x:c r="C320" s="9" t="str">
        <x:v>Auto</x:v>
      </x:c>
      <x:c r="D320" s="9" t="str">
        <x:v>West</x:v>
      </x:c>
      <x:c r="E320" s="9" t="n">
        <x:v>513</x:v>
      </x:c>
      <x:c r="F320" s="11" t="n">
        <x:v>46072</x:v>
      </x:c>
      <x:c r="G320" s="13" t="n">
        <x:v>20181.37</x:v>
      </x:c>
      <x:c r="H320" s="9" t="n">
        <x:v>59</x:v>
      </x:c>
      <x:c r="I320" s="9" t="n">
        <x:v>6</x:v>
      </x:c>
      <x:c r="J320" s="9" t="n">
        <x:v>5</x:v>
      </x:c>
      <x:c r="K320" s="9" t="n">
        <x:v>0</x:v>
      </x:c>
      <x:c r="L320" s="13" t="n">
        <x:f>SUMIFS('Payments'!$D$5:$D$3014,'Payments'!$B$5:$B$3014,A320)</x:f>
        <x:v>5271.3</x:v>
      </x:c>
      <x:c r="M320" s="13" t="n">
        <x:f>G320-L320</x:f>
        <x:v>14910.07</x:v>
      </x:c>
      <x:c r="N320" s="9" t="str">
        <x:f>IF(H320=0,"0 Current",IF(H320&lt;=30,"1 1-30",IF(H320&lt;=60,"2 31-60",IF(H320&lt;=90,"3 61-90",IF(H320&lt;=120,"4 91-120","5 121+")))))</x:f>
        <x:v>2 31-60</x:v>
      </x:c>
      <x:c r="O320" s="9" t="n">
        <x:f>IF(J320&gt;0,1,0)</x:f>
        <x:v>1</x:v>
      </x:c>
    </x:row>
    <x:row r="321">
      <x:c r="A321" s="15" t="str">
        <x:v>317</x:v>
      </x:c>
      <x:c r="B321" s="9" t="str">
        <x:v>Morgan</x:v>
      </x:c>
      <x:c r="C321" s="9" t="str">
        <x:v>Personal Loan</x:v>
      </x:c>
      <x:c r="D321" s="9" t="str">
        <x:v>Northeast</x:v>
      </x:c>
      <x:c r="E321" s="9" t="n">
        <x:v>553</x:v>
      </x:c>
      <x:c r="F321" s="11" t="n">
        <x:v>46048</x:v>
      </x:c>
      <x:c r="G321" s="13" t="n">
        <x:v>17947.64</x:v>
      </x:c>
      <x:c r="H321" s="9" t="n">
        <x:v>60</x:v>
      </x:c>
      <x:c r="I321" s="9" t="n">
        <x:v>0</x:v>
      </x:c>
      <x:c r="J321" s="9" t="n">
        <x:v>0</x:v>
      </x:c>
      <x:c r="K321" s="9" t="n">
        <x:v>0</x:v>
      </x:c>
      <x:c r="L321" s="13" t="n">
        <x:f>SUMIFS('Payments'!$D$5:$D$3014,'Payments'!$B$5:$B$3014,A321)</x:f>
        <x:v>1469.69</x:v>
      </x:c>
      <x:c r="M321" s="13" t="n">
        <x:f>G321-L321</x:f>
        <x:v>16477.95</x:v>
      </x:c>
      <x:c r="N321" s="9" t="str">
        <x:f>IF(H321=0,"0 Current",IF(H321&lt;=30,"1 1-30",IF(H321&lt;=60,"2 31-60",IF(H321&lt;=90,"3 61-90",IF(H321&lt;=120,"4 91-120","5 121+")))))</x:f>
        <x:v>2 31-60</x:v>
      </x:c>
      <x:c r="O321" s="9" t="n">
        <x:f>IF(J321&gt;0,1,0)</x:f>
        <x:v>0</x:v>
      </x:c>
    </x:row>
    <x:row r="322">
      <x:c r="A322" s="15" t="str">
        <x:v>318</x:v>
      </x:c>
      <x:c r="B322" s="9" t="str">
        <x:v>Jordan</x:v>
      </x:c>
      <x:c r="C322" s="9" t="str">
        <x:v>Medical</x:v>
      </x:c>
      <x:c r="D322" s="9" t="str">
        <x:v>West</x:v>
      </x:c>
      <x:c r="E322" s="9" t="n">
        <x:v>587</x:v>
      </x:c>
      <x:c r="F322" s="11" t="n">
        <x:v>46114</x:v>
      </x:c>
      <x:c r="G322" s="13" t="n">
        <x:v>11439.08</x:v>
      </x:c>
      <x:c r="H322" s="9" t="n">
        <x:v>44</x:v>
      </x:c>
      <x:c r="I322" s="9" t="n">
        <x:v>8</x:v>
      </x:c>
      <x:c r="J322" s="9" t="n">
        <x:v>6</x:v>
      </x:c>
      <x:c r="K322" s="9" t="n">
        <x:v>0</x:v>
      </x:c>
      <x:c r="L322" s="13" t="n">
        <x:f>SUMIFS('Payments'!$D$5:$D$3014,'Payments'!$B$5:$B$3014,A322)</x:f>
        <x:v>1902.1599999999999</x:v>
      </x:c>
      <x:c r="M322" s="13" t="n">
        <x:f>G322-L322</x:f>
        <x:v>9536.92</x:v>
      </x:c>
      <x:c r="N322" s="9" t="str">
        <x:f>IF(H322=0,"0 Current",IF(H322&lt;=30,"1 1-30",IF(H322&lt;=60,"2 31-60",IF(H322&lt;=90,"3 61-90",IF(H322&lt;=120,"4 91-120","5 121+")))))</x:f>
        <x:v>2 31-60</x:v>
      </x:c>
      <x:c r="O322" s="9" t="n">
        <x:f>IF(J322&gt;0,1,0)</x:f>
        <x:v>1</x:v>
      </x:c>
    </x:row>
    <x:row r="323">
      <x:c r="A323" s="15" t="str">
        <x:v>319</x:v>
      </x:c>
      <x:c r="B323" s="9" t="str">
        <x:v>Riley</x:v>
      </x:c>
      <x:c r="C323" s="9" t="str">
        <x:v>Credit Card</x:v>
      </x:c>
      <x:c r="D323" s="9" t="str">
        <x:v>South</x:v>
      </x:c>
      <x:c r="E323" s="9" t="n">
        <x:v>652</x:v>
      </x:c>
      <x:c r="F323" s="11" t="n">
        <x:v>46051</x:v>
      </x:c>
      <x:c r="G323" s="13" t="n">
        <x:v>4941.42</x:v>
      </x:c>
      <x:c r="H323" s="9" t="n">
        <x:v>210</x:v>
      </x:c>
      <x:c r="I323" s="9" t="n">
        <x:v>5</x:v>
      </x:c>
      <x:c r="J323" s="9" t="n">
        <x:v>3</x:v>
      </x:c>
      <x:c r="K323" s="9" t="n">
        <x:v>0</x:v>
      </x:c>
      <x:c r="L323" s="13" t="n">
        <x:f>SUMIFS('Payments'!$D$5:$D$3014,'Payments'!$B$5:$B$3014,A323)</x:f>
        <x:v>1120.13</x:v>
      </x:c>
      <x:c r="M323" s="13" t="n">
        <x:f>G323-L323</x:f>
        <x:v>3821.29</x:v>
      </x:c>
      <x:c r="N323" s="9" t="str">
        <x:f>IF(H323=0,"0 Current",IF(H323&lt;=30,"1 1-30",IF(H323&lt;=60,"2 31-60",IF(H323&lt;=90,"3 61-90",IF(H323&lt;=120,"4 91-120","5 121+")))))</x:f>
        <x:v>5 121+</x:v>
      </x:c>
      <x:c r="O323" s="9" t="n">
        <x:f>IF(J323&gt;0,1,0)</x:f>
        <x:v>1</x:v>
      </x:c>
    </x:row>
    <x:row r="324">
      <x:c r="A324" s="15" t="str">
        <x:v>320</x:v>
      </x:c>
      <x:c r="B324" s="9" t="str">
        <x:v>Casey</x:v>
      </x:c>
      <x:c r="C324" s="9" t="str">
        <x:v>Auto</x:v>
      </x:c>
      <x:c r="D324" s="9" t="str">
        <x:v>Midwest</x:v>
      </x:c>
      <x:c r="E324" s="9" t="n">
        <x:v>592</x:v>
      </x:c>
      <x:c r="F324" s="11" t="n">
        <x:v>46058</x:v>
      </x:c>
      <x:c r="G324" s="13" t="n">
        <x:v>5658.3</x:v>
      </x:c>
      <x:c r="H324" s="9" t="n">
        <x:v>106</x:v>
      </x:c>
      <x:c r="I324" s="9" t="n">
        <x:v>3</x:v>
      </x:c>
      <x:c r="J324" s="9" t="n">
        <x:v>0</x:v>
      </x:c>
      <x:c r="K324" s="9" t="n">
        <x:v>0</x:v>
      </x:c>
      <x:c r="L324" s="13" t="n">
        <x:f>SUMIFS('Payments'!$D$5:$D$3014,'Payments'!$B$5:$B$3014,A324)</x:f>
        <x:v>0</x:v>
      </x:c>
      <x:c r="M324" s="13" t="n">
        <x:f>G324-L324</x:f>
        <x:v>5658.3</x:v>
      </x:c>
      <x:c r="N324" s="9" t="str">
        <x:f>IF(H324=0,"0 Current",IF(H324&lt;=30,"1 1-30",IF(H324&lt;=60,"2 31-60",IF(H324&lt;=90,"3 61-90",IF(H324&lt;=120,"4 91-120","5 121+")))))</x:f>
        <x:v>4 91-120</x:v>
      </x:c>
      <x:c r="O324" s="9" t="n">
        <x:f>IF(J324&gt;0,1,0)</x:f>
        <x:v>0</x:v>
      </x:c>
    </x:row>
    <x:row r="325">
      <x:c r="A325" s="15" t="str">
        <x:v>321</x:v>
      </x:c>
      <x:c r="B325" s="9" t="str">
        <x:v>Taylor</x:v>
      </x:c>
      <x:c r="C325" s="9" t="str">
        <x:v>Medical</x:v>
      </x:c>
      <x:c r="D325" s="9" t="str">
        <x:v>West</x:v>
      </x:c>
      <x:c r="E325" s="9" t="n">
        <x:v>562</x:v>
      </x:c>
      <x:c r="F325" s="11" t="n">
        <x:v>46129</x:v>
      </x:c>
      <x:c r="G325" s="13" t="n">
        <x:v>15626.48</x:v>
      </x:c>
      <x:c r="H325" s="9" t="n">
        <x:v>38</x:v>
      </x:c>
      <x:c r="I325" s="9" t="n">
        <x:v>5</x:v>
      </x:c>
      <x:c r="J325" s="9" t="n">
        <x:v>3</x:v>
      </x:c>
      <x:c r="K325" s="9" t="n">
        <x:v>1</x:v>
      </x:c>
      <x:c r="L325" s="13" t="n">
        <x:f>SUMIFS('Payments'!$D$5:$D$3014,'Payments'!$B$5:$B$3014,A325)</x:f>
        <x:v>3793.5600000000004</x:v>
      </x:c>
      <x:c r="M325" s="13" t="n">
        <x:f>G325-L325</x:f>
        <x:v>11832.919999999998</x:v>
      </x:c>
      <x:c r="N325" s="9" t="str">
        <x:f>IF(H325=0,"0 Current",IF(H325&lt;=30,"1 1-30",IF(H325&lt;=60,"2 31-60",IF(H325&lt;=90,"3 61-90",IF(H325&lt;=120,"4 91-120","5 121+")))))</x:f>
        <x:v>2 31-60</x:v>
      </x:c>
      <x:c r="O325" s="9" t="n">
        <x:f>IF(J325&gt;0,1,0)</x:f>
        <x:v>1</x:v>
      </x:c>
    </x:row>
    <x:row r="326">
      <x:c r="A326" s="15" t="str">
        <x:v>322</x:v>
      </x:c>
      <x:c r="B326" s="9" t="str">
        <x:v>Alex</x:v>
      </x:c>
      <x:c r="C326" s="9" t="str">
        <x:v>Auto</x:v>
      </x:c>
      <x:c r="D326" s="9" t="str">
        <x:v>West</x:v>
      </x:c>
      <x:c r="E326" s="9" t="n">
        <x:v>549</x:v>
      </x:c>
      <x:c r="F326" s="11" t="n">
        <x:v>46065</x:v>
      </x:c>
      <x:c r="G326" s="13" t="n">
        <x:v>18706.31</x:v>
      </x:c>
      <x:c r="H326" s="9" t="n">
        <x:v>194</x:v>
      </x:c>
      <x:c r="I326" s="9" t="n">
        <x:v>2</x:v>
      </x:c>
      <x:c r="J326" s="9" t="n">
        <x:v>2</x:v>
      </x:c>
      <x:c r="K326" s="9" t="n">
        <x:v>1</x:v>
      </x:c>
      <x:c r="L326" s="13" t="n">
        <x:f>SUMIFS('Payments'!$D$5:$D$3014,'Payments'!$B$5:$B$3014,A326)</x:f>
        <x:v>0</x:v>
      </x:c>
      <x:c r="M326" s="13" t="n">
        <x:f>G326-L326</x:f>
        <x:v>18706.31</x:v>
      </x:c>
      <x:c r="N326" s="9" t="str">
        <x:f>IF(H326=0,"0 Current",IF(H326&lt;=30,"1 1-30",IF(H326&lt;=60,"2 31-60",IF(H326&lt;=90,"3 61-90",IF(H326&lt;=120,"4 91-120","5 121+")))))</x:f>
        <x:v>5 121+</x:v>
      </x:c>
      <x:c r="O326" s="9" t="n">
        <x:f>IF(J326&gt;0,1,0)</x:f>
        <x:v>1</x:v>
      </x:c>
    </x:row>
    <x:row r="327">
      <x:c r="A327" s="15" t="str">
        <x:v>323</x:v>
      </x:c>
      <x:c r="B327" s="9" t="str">
        <x:v>Taylor</x:v>
      </x:c>
      <x:c r="C327" s="9" t="str">
        <x:v>Personal Loan</x:v>
      </x:c>
      <x:c r="D327" s="9" t="str">
        <x:v>Northeast</x:v>
      </x:c>
      <x:c r="E327" s="9" t="n">
        <x:v>660</x:v>
      </x:c>
      <x:c r="F327" s="11" t="n">
        <x:v>46130</x:v>
      </x:c>
      <x:c r="G327" s="13" t="n">
        <x:v>17361.22</x:v>
      </x:c>
      <x:c r="H327" s="9" t="n">
        <x:v>184</x:v>
      </x:c>
      <x:c r="I327" s="9" t="n">
        <x:v>2</x:v>
      </x:c>
      <x:c r="J327" s="9" t="n">
        <x:v>1</x:v>
      </x:c>
      <x:c r="K327" s="9" t="n">
        <x:v>0</x:v>
      </x:c>
      <x:c r="L327" s="13" t="n">
        <x:f>SUMIFS('Payments'!$D$5:$D$3014,'Payments'!$B$5:$B$3014,A327)</x:f>
        <x:v>1655.6</x:v>
      </x:c>
      <x:c r="M327" s="13" t="n">
        <x:f>G327-L327</x:f>
        <x:v>15705.62</x:v>
      </x:c>
      <x:c r="N327" s="9" t="str">
        <x:f>IF(H327=0,"0 Current",IF(H327&lt;=30,"1 1-30",IF(H327&lt;=60,"2 31-60",IF(H327&lt;=90,"3 61-90",IF(H327&lt;=120,"4 91-120","5 121+")))))</x:f>
        <x:v>5 121+</x:v>
      </x:c>
      <x:c r="O327" s="9" t="n">
        <x:f>IF(J327&gt;0,1,0)</x:f>
        <x:v>1</x:v>
      </x:c>
    </x:row>
    <x:row r="328">
      <x:c r="A328" s="15" t="str">
        <x:v>324</x:v>
      </x:c>
      <x:c r="B328" s="9" t="str">
        <x:v>Taylor</x:v>
      </x:c>
      <x:c r="C328" s="9" t="str">
        <x:v>Auto</x:v>
      </x:c>
      <x:c r="D328" s="9" t="str">
        <x:v>Northeast</x:v>
      </x:c>
      <x:c r="E328" s="9" t="n">
        <x:v>803</x:v>
      </x:c>
      <x:c r="F328" s="11" t="n">
        <x:v>46136</x:v>
      </x:c>
      <x:c r="G328" s="13" t="n">
        <x:v>14980.86</x:v>
      </x:c>
      <x:c r="H328" s="9" t="n">
        <x:v>198</x:v>
      </x:c>
      <x:c r="I328" s="9" t="n">
        <x:v>0</x:v>
      </x:c>
      <x:c r="J328" s="9" t="n">
        <x:v>0</x:v>
      </x:c>
      <x:c r="K328" s="9" t="n">
        <x:v>0</x:v>
      </x:c>
      <x:c r="L328" s="13" t="n">
        <x:f>SUMIFS('Payments'!$D$5:$D$3014,'Payments'!$B$5:$B$3014,A328)</x:f>
        <x:v>800.44</x:v>
      </x:c>
      <x:c r="M328" s="13" t="n">
        <x:f>G328-L328</x:f>
        <x:v>14180.42</x:v>
      </x:c>
      <x:c r="N328" s="9" t="str">
        <x:f>IF(H328=0,"0 Current",IF(H328&lt;=30,"1 1-30",IF(H328&lt;=60,"2 31-60",IF(H328&lt;=90,"3 61-90",IF(H328&lt;=120,"4 91-120","5 121+")))))</x:f>
        <x:v>5 121+</x:v>
      </x:c>
      <x:c r="O328" s="9" t="n">
        <x:f>IF(J328&gt;0,1,0)</x:f>
        <x:v>0</x:v>
      </x:c>
    </x:row>
    <x:row r="329">
      <x:c r="A329" s="15" t="str">
        <x:v>325</x:v>
      </x:c>
      <x:c r="B329" s="9" t="str">
        <x:v>Morgan</x:v>
      </x:c>
      <x:c r="C329" s="9" t="str">
        <x:v>Medical</x:v>
      </x:c>
      <x:c r="D329" s="9" t="str">
        <x:v>Northeast</x:v>
      </x:c>
      <x:c r="E329" s="9" t="n">
        <x:v>599</x:v>
      </x:c>
      <x:c r="F329" s="11" t="n">
        <x:v>46160</x:v>
      </x:c>
      <x:c r="G329" s="13" t="n">
        <x:v>14529.65</x:v>
      </x:c>
      <x:c r="H329" s="9" t="n">
        <x:v>133</x:v>
      </x:c>
      <x:c r="I329" s="9" t="n">
        <x:v>2</x:v>
      </x:c>
      <x:c r="J329" s="9" t="n">
        <x:v>0</x:v>
      </x:c>
      <x:c r="K329" s="9" t="n">
        <x:v>0</x:v>
      </x:c>
      <x:c r="L329" s="13" t="n">
        <x:f>SUMIFS('Payments'!$D$5:$D$3014,'Payments'!$B$5:$B$3014,A329)</x:f>
        <x:v>3840.73</x:v>
      </x:c>
      <x:c r="M329" s="13" t="n">
        <x:f>G329-L329</x:f>
        <x:v>10688.92</x:v>
      </x:c>
      <x:c r="N329" s="9" t="str">
        <x:f>IF(H329=0,"0 Current",IF(H329&lt;=30,"1 1-30",IF(H329&lt;=60,"2 31-60",IF(H329&lt;=90,"3 61-90",IF(H329&lt;=120,"4 91-120","5 121+")))))</x:f>
        <x:v>5 121+</x:v>
      </x:c>
      <x:c r="O329" s="9" t="n">
        <x:f>IF(J329&gt;0,1,0)</x:f>
        <x:v>0</x:v>
      </x:c>
    </x:row>
    <x:row r="330">
      <x:c r="A330" s="15" t="str">
        <x:v>326</x:v>
      </x:c>
      <x:c r="B330" s="9" t="str">
        <x:v>Taylor</x:v>
      </x:c>
      <x:c r="C330" s="9" t="str">
        <x:v>Auto</x:v>
      </x:c>
      <x:c r="D330" s="9" t="str">
        <x:v>South</x:v>
      </x:c>
      <x:c r="E330" s="9" t="n">
        <x:v>752</x:v>
      </x:c>
      <x:c r="F330" s="11" t="n">
        <x:v>46084</x:v>
      </x:c>
      <x:c r="G330" s="13" t="n">
        <x:v>13248.25</x:v>
      </x:c>
      <x:c r="H330" s="9" t="n">
        <x:v>129</x:v>
      </x:c>
      <x:c r="I330" s="9" t="n">
        <x:v>0</x:v>
      </x:c>
      <x:c r="J330" s="9" t="n">
        <x:v>0</x:v>
      </x:c>
      <x:c r="K330" s="9" t="n">
        <x:v>0</x:v>
      </x:c>
      <x:c r="L330" s="13" t="n">
        <x:f>SUMIFS('Payments'!$D$5:$D$3014,'Payments'!$B$5:$B$3014,A330)</x:f>
        <x:v>0</x:v>
      </x:c>
      <x:c r="M330" s="13" t="n">
        <x:f>G330-L330</x:f>
        <x:v>13248.25</x:v>
      </x:c>
      <x:c r="N330" s="9" t="str">
        <x:f>IF(H330=0,"0 Current",IF(H330&lt;=30,"1 1-30",IF(H330&lt;=60,"2 31-60",IF(H330&lt;=90,"3 61-90",IF(H330&lt;=120,"4 91-120","5 121+")))))</x:f>
        <x:v>5 121+</x:v>
      </x:c>
      <x:c r="O330" s="9" t="n">
        <x:f>IF(J330&gt;0,1,0)</x:f>
        <x:v>0</x:v>
      </x:c>
    </x:row>
    <x:row r="331">
      <x:c r="A331" s="15" t="str">
        <x:v>327</x:v>
      </x:c>
      <x:c r="B331" s="9" t="str">
        <x:v>Taylor</x:v>
      </x:c>
      <x:c r="C331" s="9" t="str">
        <x:v>Personal Loan</x:v>
      </x:c>
      <x:c r="D331" s="9" t="str">
        <x:v>Northeast</x:v>
      </x:c>
      <x:c r="E331" s="9" t="n">
        <x:v>819</x:v>
      </x:c>
      <x:c r="F331" s="11" t="n">
        <x:v>46118</x:v>
      </x:c>
      <x:c r="G331" s="13" t="n">
        <x:v>11394.97</x:v>
      </x:c>
      <x:c r="H331" s="9" t="n">
        <x:v>31</x:v>
      </x:c>
      <x:c r="I331" s="9" t="n">
        <x:v>1</x:v>
      </x:c>
      <x:c r="J331" s="9" t="n">
        <x:v>0</x:v>
      </x:c>
      <x:c r="K331" s="9" t="n">
        <x:v>0</x:v>
      </x:c>
      <x:c r="L331" s="13" t="n">
        <x:f>SUMIFS('Payments'!$D$5:$D$3014,'Payments'!$B$5:$B$3014,A331)</x:f>
        <x:v>0</x:v>
      </x:c>
      <x:c r="M331" s="13" t="n">
        <x:f>G331-L331</x:f>
        <x:v>11394.97</x:v>
      </x:c>
      <x:c r="N331" s="9" t="str">
        <x:f>IF(H331=0,"0 Current",IF(H331&lt;=30,"1 1-30",IF(H331&lt;=60,"2 31-60",IF(H331&lt;=90,"3 61-90",IF(H331&lt;=120,"4 91-120","5 121+")))))</x:f>
        <x:v>2 31-60</x:v>
      </x:c>
      <x:c r="O331" s="9" t="n">
        <x:f>IF(J331&gt;0,1,0)</x:f>
        <x:v>0</x:v>
      </x:c>
    </x:row>
    <x:row r="332">
      <x:c r="A332" s="15" t="str">
        <x:v>328</x:v>
      </x:c>
      <x:c r="B332" s="9" t="str">
        <x:v>Jordan</x:v>
      </x:c>
      <x:c r="C332" s="9" t="str">
        <x:v>Medical</x:v>
      </x:c>
      <x:c r="D332" s="9" t="str">
        <x:v>Northeast</x:v>
      </x:c>
      <x:c r="E332" s="9" t="n">
        <x:v>806</x:v>
      </x:c>
      <x:c r="F332" s="11" t="n">
        <x:v>46024</x:v>
      </x:c>
      <x:c r="G332" s="13" t="n">
        <x:v>19506.36</x:v>
      </x:c>
      <x:c r="H332" s="9" t="n">
        <x:v>206</x:v>
      </x:c>
      <x:c r="I332" s="9" t="n">
        <x:v>4</x:v>
      </x:c>
      <x:c r="J332" s="9" t="n">
        <x:v>2</x:v>
      </x:c>
      <x:c r="K332" s="9" t="n">
        <x:v>0</x:v>
      </x:c>
      <x:c r="L332" s="13" t="n">
        <x:f>SUMIFS('Payments'!$D$5:$D$3014,'Payments'!$B$5:$B$3014,A332)</x:f>
        <x:v>6094.07</x:v>
      </x:c>
      <x:c r="M332" s="13" t="n">
        <x:f>G332-L332</x:f>
        <x:v>13412.29</x:v>
      </x:c>
      <x:c r="N332" s="9" t="str">
        <x:f>IF(H332=0,"0 Current",IF(H332&lt;=30,"1 1-30",IF(H332&lt;=60,"2 31-60",IF(H332&lt;=90,"3 61-90",IF(H332&lt;=120,"4 91-120","5 121+")))))</x:f>
        <x:v>5 121+</x:v>
      </x:c>
      <x:c r="O332" s="9" t="n">
        <x:f>IF(J332&gt;0,1,0)</x:f>
        <x:v>1</x:v>
      </x:c>
    </x:row>
    <x:row r="333">
      <x:c r="A333" s="15" t="str">
        <x:v>329</x:v>
      </x:c>
      <x:c r="B333" s="9" t="str">
        <x:v>Casey</x:v>
      </x:c>
      <x:c r="C333" s="9" t="str">
        <x:v>Personal Loan</x:v>
      </x:c>
      <x:c r="D333" s="9" t="str">
        <x:v>Northeast</x:v>
      </x:c>
      <x:c r="E333" s="9" t="n">
        <x:v>546</x:v>
      </x:c>
      <x:c r="F333" s="11" t="n">
        <x:v>46155</x:v>
      </x:c>
      <x:c r="G333" s="13" t="n">
        <x:v>24926.32</x:v>
      </x:c>
      <x:c r="H333" s="9" t="n">
        <x:v>116</x:v>
      </x:c>
      <x:c r="I333" s="9" t="n">
        <x:v>2</x:v>
      </x:c>
      <x:c r="J333" s="9" t="n">
        <x:v>0</x:v>
      </x:c>
      <x:c r="K333" s="9" t="n">
        <x:v>0</x:v>
      </x:c>
      <x:c r="L333" s="13" t="n">
        <x:f>SUMIFS('Payments'!$D$5:$D$3014,'Payments'!$B$5:$B$3014,A333)</x:f>
        <x:v>0</x:v>
      </x:c>
      <x:c r="M333" s="13" t="n">
        <x:f>G333-L333</x:f>
        <x:v>24926.32</x:v>
      </x:c>
      <x:c r="N333" s="9" t="str">
        <x:f>IF(H333=0,"0 Current",IF(H333&lt;=30,"1 1-30",IF(H333&lt;=60,"2 31-60",IF(H333&lt;=90,"3 61-90",IF(H333&lt;=120,"4 91-120","5 121+")))))</x:f>
        <x:v>4 91-120</x:v>
      </x:c>
      <x:c r="O333" s="9" t="n">
        <x:f>IF(J333&gt;0,1,0)</x:f>
        <x:v>0</x:v>
      </x:c>
    </x:row>
    <x:row r="334">
      <x:c r="A334" s="15" t="str">
        <x:v>330</x:v>
      </x:c>
      <x:c r="B334" s="9" t="str">
        <x:v>Casey</x:v>
      </x:c>
      <x:c r="C334" s="9" t="str">
        <x:v>Auto</x:v>
      </x:c>
      <x:c r="D334" s="9" t="str">
        <x:v>South</x:v>
      </x:c>
      <x:c r="E334" s="9" t="n">
        <x:v>430</x:v>
      </x:c>
      <x:c r="F334" s="11" t="n">
        <x:v>46038</x:v>
      </x:c>
      <x:c r="G334" s="13" t="n">
        <x:v>18321.04</x:v>
      </x:c>
      <x:c r="H334" s="9" t="n">
        <x:v>54</x:v>
      </x:c>
      <x:c r="I334" s="9" t="n">
        <x:v>8</x:v>
      </x:c>
      <x:c r="J334" s="9" t="n">
        <x:v>5</x:v>
      </x:c>
      <x:c r="K334" s="9" t="n">
        <x:v>0</x:v>
      </x:c>
      <x:c r="L334" s="13" t="n">
        <x:f>SUMIFS('Payments'!$D$5:$D$3014,'Payments'!$B$5:$B$3014,A334)</x:f>
        <x:v>3064.69</x:v>
      </x:c>
      <x:c r="M334" s="13" t="n">
        <x:f>G334-L334</x:f>
        <x:v>15256.35</x:v>
      </x:c>
      <x:c r="N334" s="9" t="str">
        <x:f>IF(H334=0,"0 Current",IF(H334&lt;=30,"1 1-30",IF(H334&lt;=60,"2 31-60",IF(H334&lt;=90,"3 61-90",IF(H334&lt;=120,"4 91-120","5 121+")))))</x:f>
        <x:v>2 31-60</x:v>
      </x:c>
      <x:c r="O334" s="9" t="n">
        <x:f>IF(J334&gt;0,1,0)</x:f>
        <x:v>1</x:v>
      </x:c>
    </x:row>
    <x:row r="335">
      <x:c r="A335" s="15" t="str">
        <x:v>331</x:v>
      </x:c>
      <x:c r="B335" s="9" t="str">
        <x:v>Riley</x:v>
      </x:c>
      <x:c r="C335" s="9" t="str">
        <x:v>Credit Card</x:v>
      </x:c>
      <x:c r="D335" s="9" t="str">
        <x:v>South</x:v>
      </x:c>
      <x:c r="E335" s="9" t="n">
        <x:v>542</x:v>
      </x:c>
      <x:c r="F335" s="11" t="n">
        <x:v>46056</x:v>
      </x:c>
      <x:c r="G335" s="13" t="n">
        <x:v>22024.55</x:v>
      </x:c>
      <x:c r="H335" s="9" t="n">
        <x:v>177</x:v>
      </x:c>
      <x:c r="I335" s="9" t="n">
        <x:v>0</x:v>
      </x:c>
      <x:c r="J335" s="9" t="n">
        <x:v>0</x:v>
      </x:c>
      <x:c r="K335" s="9" t="n">
        <x:v>0</x:v>
      </x:c>
      <x:c r="L335" s="13" t="n">
        <x:f>SUMIFS('Payments'!$D$5:$D$3014,'Payments'!$B$5:$B$3014,A335)</x:f>
        <x:v>2397.77</x:v>
      </x:c>
      <x:c r="M335" s="13" t="n">
        <x:f>G335-L335</x:f>
        <x:v>19626.78</x:v>
      </x:c>
      <x:c r="N335" s="9" t="str">
        <x:f>IF(H335=0,"0 Current",IF(H335&lt;=30,"1 1-30",IF(H335&lt;=60,"2 31-60",IF(H335&lt;=90,"3 61-90",IF(H335&lt;=120,"4 91-120","5 121+")))))</x:f>
        <x:v>5 121+</x:v>
      </x:c>
      <x:c r="O335" s="9" t="n">
        <x:f>IF(J335&gt;0,1,0)</x:f>
        <x:v>0</x:v>
      </x:c>
    </x:row>
    <x:row r="336">
      <x:c r="A336" s="15" t="str">
        <x:v>332</x:v>
      </x:c>
      <x:c r="B336" s="9" t="str">
        <x:v>Jordan</x:v>
      </x:c>
      <x:c r="C336" s="9" t="str">
        <x:v>Credit Card</x:v>
      </x:c>
      <x:c r="D336" s="9" t="str">
        <x:v>South</x:v>
      </x:c>
      <x:c r="E336" s="9" t="n">
        <x:v>662</x:v>
      </x:c>
      <x:c r="F336" s="11" t="n">
        <x:v>46063</x:v>
      </x:c>
      <x:c r="G336" s="13" t="n">
        <x:v>23947.27</x:v>
      </x:c>
      <x:c r="H336" s="9" t="n">
        <x:v>154</x:v>
      </x:c>
      <x:c r="I336" s="9" t="n">
        <x:v>2</x:v>
      </x:c>
      <x:c r="J336" s="9" t="n">
        <x:v>0</x:v>
      </x:c>
      <x:c r="K336" s="9" t="n">
        <x:v>0</x:v>
      </x:c>
      <x:c r="L336" s="13" t="n">
        <x:f>SUMIFS('Payments'!$D$5:$D$3014,'Payments'!$B$5:$B$3014,A336)</x:f>
        <x:v>2757.35</x:v>
      </x:c>
      <x:c r="M336" s="13" t="n">
        <x:f>G336-L336</x:f>
        <x:v>21189.920000000002</x:v>
      </x:c>
      <x:c r="N336" s="9" t="str">
        <x:f>IF(H336=0,"0 Current",IF(H336&lt;=30,"1 1-30",IF(H336&lt;=60,"2 31-60",IF(H336&lt;=90,"3 61-90",IF(H336&lt;=120,"4 91-120","5 121+")))))</x:f>
        <x:v>5 121+</x:v>
      </x:c>
      <x:c r="O336" s="9" t="n">
        <x:f>IF(J336&gt;0,1,0)</x:f>
        <x:v>0</x:v>
      </x:c>
    </x:row>
    <x:row r="337">
      <x:c r="A337" s="15" t="str">
        <x:v>333</x:v>
      </x:c>
      <x:c r="B337" s="9" t="str">
        <x:v>Casey</x:v>
      </x:c>
      <x:c r="C337" s="9" t="str">
        <x:v>Medical</x:v>
      </x:c>
      <x:c r="D337" s="9" t="str">
        <x:v>Northeast</x:v>
      </x:c>
      <x:c r="E337" s="9" t="n">
        <x:v>708</x:v>
      </x:c>
      <x:c r="F337" s="11" t="n">
        <x:v>46147</x:v>
      </x:c>
      <x:c r="G337" s="13" t="n">
        <x:v>1673.47</x:v>
      </x:c>
      <x:c r="H337" s="9" t="n">
        <x:v>200</x:v>
      </x:c>
      <x:c r="I337" s="9" t="n">
        <x:v>7</x:v>
      </x:c>
      <x:c r="J337" s="9" t="n">
        <x:v>2</x:v>
      </x:c>
      <x:c r="K337" s="9" t="n">
        <x:v>1</x:v>
      </x:c>
      <x:c r="L337" s="13" t="n">
        <x:f>SUMIFS('Payments'!$D$5:$D$3014,'Payments'!$B$5:$B$3014,A337)</x:f>
        <x:v>431.07</x:v>
      </x:c>
      <x:c r="M337" s="13" t="n">
        <x:f>G337-L337</x:f>
        <x:v>1242.4</x:v>
      </x:c>
      <x:c r="N337" s="9" t="str">
        <x:f>IF(H337=0,"0 Current",IF(H337&lt;=30,"1 1-30",IF(H337&lt;=60,"2 31-60",IF(H337&lt;=90,"3 61-90",IF(H337&lt;=120,"4 91-120","5 121+")))))</x:f>
        <x:v>5 121+</x:v>
      </x:c>
      <x:c r="O337" s="9" t="n">
        <x:f>IF(J337&gt;0,1,0)</x:f>
        <x:v>1</x:v>
      </x:c>
    </x:row>
    <x:row r="338">
      <x:c r="A338" s="15" t="str">
        <x:v>334</x:v>
      </x:c>
      <x:c r="B338" s="9" t="str">
        <x:v>Riley</x:v>
      </x:c>
      <x:c r="C338" s="9" t="str">
        <x:v>Auto</x:v>
      </x:c>
      <x:c r="D338" s="9" t="str">
        <x:v>South</x:v>
      </x:c>
      <x:c r="E338" s="9" t="n">
        <x:v>658</x:v>
      </x:c>
      <x:c r="F338" s="11" t="n">
        <x:v>46056</x:v>
      </x:c>
      <x:c r="G338" s="13" t="n">
        <x:v>6310.04</x:v>
      </x:c>
      <x:c r="H338" s="9" t="n">
        <x:v>194</x:v>
      </x:c>
      <x:c r="I338" s="9" t="n">
        <x:v>3</x:v>
      </x:c>
      <x:c r="J338" s="9" t="n">
        <x:v>2</x:v>
      </x:c>
      <x:c r="K338" s="9" t="n">
        <x:v>1</x:v>
      </x:c>
      <x:c r="L338" s="13" t="n">
        <x:f>SUMIFS('Payments'!$D$5:$D$3014,'Payments'!$B$5:$B$3014,A338)</x:f>
        <x:v>1581.77</x:v>
      </x:c>
      <x:c r="M338" s="13" t="n">
        <x:f>G338-L338</x:f>
        <x:v>4728.27</x:v>
      </x:c>
      <x:c r="N338" s="9" t="str">
        <x:f>IF(H338=0,"0 Current",IF(H338&lt;=30,"1 1-30",IF(H338&lt;=60,"2 31-60",IF(H338&lt;=90,"3 61-90",IF(H338&lt;=120,"4 91-120","5 121+")))))</x:f>
        <x:v>5 121+</x:v>
      </x:c>
      <x:c r="O338" s="9" t="n">
        <x:f>IF(J338&gt;0,1,0)</x:f>
        <x:v>1</x:v>
      </x:c>
    </x:row>
    <x:row r="339">
      <x:c r="A339" s="15" t="str">
        <x:v>335</x:v>
      </x:c>
      <x:c r="B339" s="9" t="str">
        <x:v>Taylor</x:v>
      </x:c>
      <x:c r="C339" s="9" t="str">
        <x:v>Credit Card</x:v>
      </x:c>
      <x:c r="D339" s="9" t="str">
        <x:v>Midwest</x:v>
      </x:c>
      <x:c r="E339" s="9" t="n">
        <x:v>812</x:v>
      </x:c>
      <x:c r="F339" s="11" t="n">
        <x:v>46045</x:v>
      </x:c>
      <x:c r="G339" s="13" t="n">
        <x:v>7446.38</x:v>
      </x:c>
      <x:c r="H339" s="9" t="n">
        <x:v>146</x:v>
      </x:c>
      <x:c r="I339" s="9" t="n">
        <x:v>1</x:v>
      </x:c>
      <x:c r="J339" s="9" t="n">
        <x:v>1</x:v>
      </x:c>
      <x:c r="K339" s="9" t="n">
        <x:v>1</x:v>
      </x:c>
      <x:c r="L339" s="13" t="n">
        <x:f>SUMIFS('Payments'!$D$5:$D$3014,'Payments'!$B$5:$B$3014,A339)</x:f>
        <x:v>1599.3600000000001</x:v>
      </x:c>
      <x:c r="M339" s="13" t="n">
        <x:f>G339-L339</x:f>
        <x:v>5847.02</x:v>
      </x:c>
      <x:c r="N339" s="9" t="str">
        <x:f>IF(H339=0,"0 Current",IF(H339&lt;=30,"1 1-30",IF(H339&lt;=60,"2 31-60",IF(H339&lt;=90,"3 61-90",IF(H339&lt;=120,"4 91-120","5 121+")))))</x:f>
        <x:v>5 121+</x:v>
      </x:c>
      <x:c r="O339" s="9" t="n">
        <x:f>IF(J339&gt;0,1,0)</x:f>
        <x:v>1</x:v>
      </x:c>
    </x:row>
    <x:row r="340">
      <x:c r="A340" s="15" t="str">
        <x:v>336</x:v>
      </x:c>
      <x:c r="B340" s="9" t="str">
        <x:v>Alex</x:v>
      </x:c>
      <x:c r="C340" s="9" t="str">
        <x:v>Medical</x:v>
      </x:c>
      <x:c r="D340" s="9" t="str">
        <x:v>Midwest</x:v>
      </x:c>
      <x:c r="E340" s="9" t="n">
        <x:v>505</x:v>
      </x:c>
      <x:c r="F340" s="11" t="n">
        <x:v>46161</x:v>
      </x:c>
      <x:c r="G340" s="13" t="n">
        <x:v>24695.07</x:v>
      </x:c>
      <x:c r="H340" s="9" t="n">
        <x:v>192</x:v>
      </x:c>
      <x:c r="I340" s="9" t="n">
        <x:v>0</x:v>
      </x:c>
      <x:c r="J340" s="9" t="n">
        <x:v>0</x:v>
      </x:c>
      <x:c r="K340" s="9" t="n">
        <x:v>0</x:v>
      </x:c>
      <x:c r="L340" s="13" t="n">
        <x:f>SUMIFS('Payments'!$D$5:$D$3014,'Payments'!$B$5:$B$3014,A340)</x:f>
        <x:v>6084.37</x:v>
      </x:c>
      <x:c r="M340" s="13" t="n">
        <x:f>G340-L340</x:f>
        <x:v>18610.7</x:v>
      </x:c>
      <x:c r="N340" s="9" t="str">
        <x:f>IF(H340=0,"0 Current",IF(H340&lt;=30,"1 1-30",IF(H340&lt;=60,"2 31-60",IF(H340&lt;=90,"3 61-90",IF(H340&lt;=120,"4 91-120","5 121+")))))</x:f>
        <x:v>5 121+</x:v>
      </x:c>
      <x:c r="O340" s="9" t="n">
        <x:f>IF(J340&gt;0,1,0)</x:f>
        <x:v>0</x:v>
      </x:c>
    </x:row>
    <x:row r="341">
      <x:c r="A341" s="15" t="str">
        <x:v>337</x:v>
      </x:c>
      <x:c r="B341" s="9" t="str">
        <x:v>Casey</x:v>
      </x:c>
      <x:c r="C341" s="9" t="str">
        <x:v>Auto</x:v>
      </x:c>
      <x:c r="D341" s="9" t="str">
        <x:v>Northeast</x:v>
      </x:c>
      <x:c r="E341" s="9" t="n">
        <x:v>818</x:v>
      </x:c>
      <x:c r="F341" s="11" t="n">
        <x:v>46093</x:v>
      </x:c>
      <x:c r="G341" s="13" t="n">
        <x:v>9132.08</x:v>
      </x:c>
      <x:c r="H341" s="9" t="n">
        <x:v>21</x:v>
      </x:c>
      <x:c r="I341" s="9" t="n">
        <x:v>5</x:v>
      </x:c>
      <x:c r="J341" s="9" t="n">
        <x:v>1</x:v>
      </x:c>
      <x:c r="K341" s="9" t="n">
        <x:v>0</x:v>
      </x:c>
      <x:c r="L341" s="13" t="n">
        <x:f>SUMIFS('Payments'!$D$5:$D$3014,'Payments'!$B$5:$B$3014,A341)</x:f>
        <x:v>2550.81</x:v>
      </x:c>
      <x:c r="M341" s="13" t="n">
        <x:f>G341-L341</x:f>
        <x:v>6581.27</x:v>
      </x:c>
      <x:c r="N341" s="9" t="str">
        <x:f>IF(H341=0,"0 Current",IF(H341&lt;=30,"1 1-30",IF(H341&lt;=60,"2 31-60",IF(H341&lt;=90,"3 61-90",IF(H341&lt;=120,"4 91-120","5 121+")))))</x:f>
        <x:v>1 1-30</x:v>
      </x:c>
      <x:c r="O341" s="9" t="n">
        <x:f>IF(J341&gt;0,1,0)</x:f>
        <x:v>1</x:v>
      </x:c>
    </x:row>
    <x:row r="342">
      <x:c r="A342" s="15" t="str">
        <x:v>338</x:v>
      </x:c>
      <x:c r="B342" s="9" t="str">
        <x:v>Casey</x:v>
      </x:c>
      <x:c r="C342" s="9" t="str">
        <x:v>Personal Loan</x:v>
      </x:c>
      <x:c r="D342" s="9" t="str">
        <x:v>South</x:v>
      </x:c>
      <x:c r="E342" s="9" t="n">
        <x:v>579</x:v>
      </x:c>
      <x:c r="F342" s="11" t="n">
        <x:v>46096</x:v>
      </x:c>
      <x:c r="G342" s="13" t="n">
        <x:v>6541.23</x:v>
      </x:c>
      <x:c r="H342" s="9" t="n">
        <x:v>196</x:v>
      </x:c>
      <x:c r="I342" s="9" t="n">
        <x:v>2</x:v>
      </x:c>
      <x:c r="J342" s="9" t="n">
        <x:v>1</x:v>
      </x:c>
      <x:c r="K342" s="9" t="n">
        <x:v>1</x:v>
      </x:c>
      <x:c r="L342" s="13" t="n">
        <x:f>SUMIFS('Payments'!$D$5:$D$3014,'Payments'!$B$5:$B$3014,A342)</x:f>
        <x:v>0</x:v>
      </x:c>
      <x:c r="M342" s="13" t="n">
        <x:f>G342-L342</x:f>
        <x:v>6541.23</x:v>
      </x:c>
      <x:c r="N342" s="9" t="str">
        <x:f>IF(H342=0,"0 Current",IF(H342&lt;=30,"1 1-30",IF(H342&lt;=60,"2 31-60",IF(H342&lt;=90,"3 61-90",IF(H342&lt;=120,"4 91-120","5 121+")))))</x:f>
        <x:v>5 121+</x:v>
      </x:c>
      <x:c r="O342" s="9" t="n">
        <x:f>IF(J342&gt;0,1,0)</x:f>
        <x:v>1</x:v>
      </x:c>
    </x:row>
    <x:row r="343">
      <x:c r="A343" s="15" t="str">
        <x:v>339</x:v>
      </x:c>
      <x:c r="B343" s="9" t="str">
        <x:v>Alex</x:v>
      </x:c>
      <x:c r="C343" s="9" t="str">
        <x:v>Credit Card</x:v>
      </x:c>
      <x:c r="D343" s="9" t="str">
        <x:v>Northeast</x:v>
      </x:c>
      <x:c r="E343" s="9" t="n">
        <x:v>716</x:v>
      </x:c>
      <x:c r="F343" s="11" t="n">
        <x:v>46106</x:v>
      </x:c>
      <x:c r="G343" s="13" t="n">
        <x:v>8110.89</x:v>
      </x:c>
      <x:c r="H343" s="9" t="n">
        <x:v>76</x:v>
      </x:c>
      <x:c r="I343" s="9" t="n">
        <x:v>6</x:v>
      </x:c>
      <x:c r="J343" s="9" t="n">
        <x:v>3</x:v>
      </x:c>
      <x:c r="K343" s="9" t="n">
        <x:v>1</x:v>
      </x:c>
      <x:c r="L343" s="13" t="n">
        <x:f>SUMIFS('Payments'!$D$5:$D$3014,'Payments'!$B$5:$B$3014,A343)</x:f>
        <x:v>771.0899999999999</x:v>
      </x:c>
      <x:c r="M343" s="13" t="n">
        <x:f>G343-L343</x:f>
        <x:v>7339.8</x:v>
      </x:c>
      <x:c r="N343" s="9" t="str">
        <x:f>IF(H343=0,"0 Current",IF(H343&lt;=30,"1 1-30",IF(H343&lt;=60,"2 31-60",IF(H343&lt;=90,"3 61-90",IF(H343&lt;=120,"4 91-120","5 121+")))))</x:f>
        <x:v>3 61-90</x:v>
      </x:c>
      <x:c r="O343" s="9" t="n">
        <x:f>IF(J343&gt;0,1,0)</x:f>
        <x:v>1</x:v>
      </x:c>
    </x:row>
    <x:row r="344">
      <x:c r="A344" s="15" t="str">
        <x:v>340</x:v>
      </x:c>
      <x:c r="B344" s="9" t="str">
        <x:v>Morgan</x:v>
      </x:c>
      <x:c r="C344" s="9" t="str">
        <x:v>Credit Card</x:v>
      </x:c>
      <x:c r="D344" s="9" t="str">
        <x:v>Northeast</x:v>
      </x:c>
      <x:c r="E344" s="9" t="n">
        <x:v>579</x:v>
      </x:c>
      <x:c r="F344" s="11" t="n">
        <x:v>46141</x:v>
      </x:c>
      <x:c r="G344" s="13" t="n">
        <x:v>23699.57</x:v>
      </x:c>
      <x:c r="H344" s="9" t="n">
        <x:v>123</x:v>
      </x:c>
      <x:c r="I344" s="9" t="n">
        <x:v>6</x:v>
      </x:c>
      <x:c r="J344" s="9" t="n">
        <x:v>1</x:v>
      </x:c>
      <x:c r="K344" s="9" t="n">
        <x:v>1</x:v>
      </x:c>
      <x:c r="L344" s="13" t="n">
        <x:f>SUMIFS('Payments'!$D$5:$D$3014,'Payments'!$B$5:$B$3014,A344)</x:f>
        <x:v>0</x:v>
      </x:c>
      <x:c r="M344" s="13" t="n">
        <x:f>G344-L344</x:f>
        <x:v>23699.57</x:v>
      </x:c>
      <x:c r="N344" s="9" t="str">
        <x:f>IF(H344=0,"0 Current",IF(H344&lt;=30,"1 1-30",IF(H344&lt;=60,"2 31-60",IF(H344&lt;=90,"3 61-90",IF(H344&lt;=120,"4 91-120","5 121+")))))</x:f>
        <x:v>5 121+</x:v>
      </x:c>
      <x:c r="O344" s="9" t="n">
        <x:f>IF(J344&gt;0,1,0)</x:f>
        <x:v>1</x:v>
      </x:c>
    </x:row>
    <x:row r="345">
      <x:c r="A345" s="15" t="str">
        <x:v>341</x:v>
      </x:c>
      <x:c r="B345" s="9" t="str">
        <x:v>Morgan</x:v>
      </x:c>
      <x:c r="C345" s="9" t="str">
        <x:v>Credit Card</x:v>
      </x:c>
      <x:c r="D345" s="9" t="str">
        <x:v>West</x:v>
      </x:c>
      <x:c r="E345" s="9" t="n">
        <x:v>623</x:v>
      </x:c>
      <x:c r="F345" s="11" t="n">
        <x:v>46168</x:v>
      </x:c>
      <x:c r="G345" s="13" t="n">
        <x:v>17560.16</x:v>
      </x:c>
      <x:c r="H345" s="9" t="n">
        <x:v>216</x:v>
      </x:c>
      <x:c r="I345" s="9" t="n">
        <x:v>8</x:v>
      </x:c>
      <x:c r="J345" s="9" t="n">
        <x:v>4</x:v>
      </x:c>
      <x:c r="K345" s="9" t="n">
        <x:v>1</x:v>
      </x:c>
      <x:c r="L345" s="13" t="n">
        <x:f>SUMIFS('Payments'!$D$5:$D$3014,'Payments'!$B$5:$B$3014,A345)</x:f>
        <x:v>3401.9399999999996</x:v>
      </x:c>
      <x:c r="M345" s="13" t="n">
        <x:f>G345-L345</x:f>
        <x:v>14158.220000000001</x:v>
      </x:c>
      <x:c r="N345" s="9" t="str">
        <x:f>IF(H345=0,"0 Current",IF(H345&lt;=30,"1 1-30",IF(H345&lt;=60,"2 31-60",IF(H345&lt;=90,"3 61-90",IF(H345&lt;=120,"4 91-120","5 121+")))))</x:f>
        <x:v>5 121+</x:v>
      </x:c>
      <x:c r="O345" s="9" t="n">
        <x:f>IF(J345&gt;0,1,0)</x:f>
        <x:v>1</x:v>
      </x:c>
    </x:row>
    <x:row r="346">
      <x:c r="A346" s="15" t="str">
        <x:v>342</x:v>
      </x:c>
      <x:c r="B346" s="9" t="str">
        <x:v>Alex</x:v>
      </x:c>
      <x:c r="C346" s="9" t="str">
        <x:v>Medical</x:v>
      </x:c>
      <x:c r="D346" s="9" t="str">
        <x:v>South</x:v>
      </x:c>
      <x:c r="E346" s="9" t="n">
        <x:v>458</x:v>
      </x:c>
      <x:c r="F346" s="11" t="n">
        <x:v>46153</x:v>
      </x:c>
      <x:c r="G346" s="13" t="n">
        <x:v>12299.05</x:v>
      </x:c>
      <x:c r="H346" s="9" t="n">
        <x:v>189</x:v>
      </x:c>
      <x:c r="I346" s="9" t="n">
        <x:v>8</x:v>
      </x:c>
      <x:c r="J346" s="9" t="n">
        <x:v>6</x:v>
      </x:c>
      <x:c r="K346" s="9" t="n">
        <x:v>1</x:v>
      </x:c>
      <x:c r="L346" s="13" t="n">
        <x:f>SUMIFS('Payments'!$D$5:$D$3014,'Payments'!$B$5:$B$3014,A346)</x:f>
        <x:v>3662.8099999999995</x:v>
      </x:c>
      <x:c r="M346" s="13" t="n">
        <x:f>G346-L346</x:f>
        <x:v>8636.24</x:v>
      </x:c>
      <x:c r="N346" s="9" t="str">
        <x:f>IF(H346=0,"0 Current",IF(H346&lt;=30,"1 1-30",IF(H346&lt;=60,"2 31-60",IF(H346&lt;=90,"3 61-90",IF(H346&lt;=120,"4 91-120","5 121+")))))</x:f>
        <x:v>5 121+</x:v>
      </x:c>
      <x:c r="O346" s="9" t="n">
        <x:f>IF(J346&gt;0,1,0)</x:f>
        <x:v>1</x:v>
      </x:c>
    </x:row>
    <x:row r="347">
      <x:c r="A347" s="15" t="str">
        <x:v>343</x:v>
      </x:c>
      <x:c r="B347" s="9" t="str">
        <x:v>Taylor</x:v>
      </x:c>
      <x:c r="C347" s="9" t="str">
        <x:v>Medical</x:v>
      </x:c>
      <x:c r="D347" s="9" t="str">
        <x:v>South</x:v>
      </x:c>
      <x:c r="E347" s="9" t="n">
        <x:v>472</x:v>
      </x:c>
      <x:c r="F347" s="11" t="n">
        <x:v>46107</x:v>
      </x:c>
      <x:c r="G347" s="13" t="n">
        <x:v>1165.82</x:v>
      </x:c>
      <x:c r="H347" s="9" t="n">
        <x:v>165</x:v>
      </x:c>
      <x:c r="I347" s="9" t="n">
        <x:v>7</x:v>
      </x:c>
      <x:c r="J347" s="9" t="n">
        <x:v>3</x:v>
      </x:c>
      <x:c r="K347" s="9" t="n">
        <x:v>1</x:v>
      </x:c>
      <x:c r="L347" s="13" t="n">
        <x:f>SUMIFS('Payments'!$D$5:$D$3014,'Payments'!$B$5:$B$3014,A347)</x:f>
        <x:v>0</x:v>
      </x:c>
      <x:c r="M347" s="13" t="n">
        <x:f>G347-L347</x:f>
        <x:v>1165.82</x:v>
      </x:c>
      <x:c r="N347" s="9" t="str">
        <x:f>IF(H347=0,"0 Current",IF(H347&lt;=30,"1 1-30",IF(H347&lt;=60,"2 31-60",IF(H347&lt;=90,"3 61-90",IF(H347&lt;=120,"4 91-120","5 121+")))))</x:f>
        <x:v>5 121+</x:v>
      </x:c>
      <x:c r="O347" s="9" t="n">
        <x:f>IF(J347&gt;0,1,0)</x:f>
        <x:v>1</x:v>
      </x:c>
    </x:row>
    <x:row r="348">
      <x:c r="A348" s="15" t="str">
        <x:v>344</x:v>
      </x:c>
      <x:c r="B348" s="9" t="str">
        <x:v>Jordan</x:v>
      </x:c>
      <x:c r="C348" s="9" t="str">
        <x:v>Auto</x:v>
      </x:c>
      <x:c r="D348" s="9" t="str">
        <x:v>Midwest</x:v>
      </x:c>
      <x:c r="E348" s="9" t="n">
        <x:v>770</x:v>
      </x:c>
      <x:c r="F348" s="11" t="n">
        <x:v>46136</x:v>
      </x:c>
      <x:c r="G348" s="13" t="n">
        <x:v>5676.42</x:v>
      </x:c>
      <x:c r="H348" s="9" t="n">
        <x:v>211</x:v>
      </x:c>
      <x:c r="I348" s="9" t="n">
        <x:v>7</x:v>
      </x:c>
      <x:c r="J348" s="9" t="n">
        <x:v>3</x:v>
      </x:c>
      <x:c r="K348" s="9" t="n">
        <x:v>1</x:v>
      </x:c>
      <x:c r="L348" s="13" t="n">
        <x:f>SUMIFS('Payments'!$D$5:$D$3014,'Payments'!$B$5:$B$3014,A348)</x:f>
        <x:v>1390.55</x:v>
      </x:c>
      <x:c r="M348" s="13" t="n">
        <x:f>G348-L348</x:f>
        <x:v>4285.87</x:v>
      </x:c>
      <x:c r="N348" s="9" t="str">
        <x:f>IF(H348=0,"0 Current",IF(H348&lt;=30,"1 1-30",IF(H348&lt;=60,"2 31-60",IF(H348&lt;=90,"3 61-90",IF(H348&lt;=120,"4 91-120","5 121+")))))</x:f>
        <x:v>5 121+</x:v>
      </x:c>
      <x:c r="O348" s="9" t="n">
        <x:f>IF(J348&gt;0,1,0)</x:f>
        <x:v>1</x:v>
      </x:c>
    </x:row>
    <x:row r="349">
      <x:c r="A349" s="15" t="str">
        <x:v>345</x:v>
      </x:c>
      <x:c r="B349" s="9" t="str">
        <x:v>Casey</x:v>
      </x:c>
      <x:c r="C349" s="9" t="str">
        <x:v>Auto</x:v>
      </x:c>
      <x:c r="D349" s="9" t="str">
        <x:v>Northeast</x:v>
      </x:c>
      <x:c r="E349" s="9" t="n">
        <x:v>709</x:v>
      </x:c>
      <x:c r="F349" s="11" t="n">
        <x:v>46076</x:v>
      </x:c>
      <x:c r="G349" s="13" t="n">
        <x:v>799.28</x:v>
      </x:c>
      <x:c r="H349" s="9" t="n">
        <x:v>28</x:v>
      </x:c>
      <x:c r="I349" s="9" t="n">
        <x:v>2</x:v>
      </x:c>
      <x:c r="J349" s="9" t="n">
        <x:v>0</x:v>
      </x:c>
      <x:c r="K349" s="9" t="n">
        <x:v>0</x:v>
      </x:c>
      <x:c r="L349" s="13" t="n">
        <x:f>SUMIFS('Payments'!$D$5:$D$3014,'Payments'!$B$5:$B$3014,A349)</x:f>
        <x:v>129.9</x:v>
      </x:c>
      <x:c r="M349" s="13" t="n">
        <x:f>G349-L349</x:f>
        <x:v>669.38</x:v>
      </x:c>
      <x:c r="N349" s="9" t="str">
        <x:f>IF(H349=0,"0 Current",IF(H349&lt;=30,"1 1-30",IF(H349&lt;=60,"2 31-60",IF(H349&lt;=90,"3 61-90",IF(H349&lt;=120,"4 91-120","5 121+")))))</x:f>
        <x:v>1 1-30</x:v>
      </x:c>
      <x:c r="O349" s="9" t="n">
        <x:f>IF(J349&gt;0,1,0)</x:f>
        <x:v>0</x:v>
      </x:c>
    </x:row>
    <x:row r="350">
      <x:c r="A350" s="15" t="str">
        <x:v>346</x:v>
      </x:c>
      <x:c r="B350" s="9" t="str">
        <x:v>Riley</x:v>
      </x:c>
      <x:c r="C350" s="9" t="str">
        <x:v>Personal Loan</x:v>
      </x:c>
      <x:c r="D350" s="9" t="str">
        <x:v>Northeast</x:v>
      </x:c>
      <x:c r="E350" s="9" t="n">
        <x:v>597</x:v>
      </x:c>
      <x:c r="F350" s="11" t="n">
        <x:v>46168</x:v>
      </x:c>
      <x:c r="G350" s="13" t="n">
        <x:v>10061.55</x:v>
      </x:c>
      <x:c r="H350" s="9" t="n">
        <x:v>49</x:v>
      </x:c>
      <x:c r="I350" s="9" t="n">
        <x:v>8</x:v>
      </x:c>
      <x:c r="J350" s="9" t="n">
        <x:v>3</x:v>
      </x:c>
      <x:c r="K350" s="9" t="n">
        <x:v>0</x:v>
      </x:c>
      <x:c r="L350" s="13" t="n">
        <x:f>SUMIFS('Payments'!$D$5:$D$3014,'Payments'!$B$5:$B$3014,A350)</x:f>
        <x:v>0</x:v>
      </x:c>
      <x:c r="M350" s="13" t="n">
        <x:f>G350-L350</x:f>
        <x:v>10061.55</x:v>
      </x:c>
      <x:c r="N350" s="9" t="str">
        <x:f>IF(H350=0,"0 Current",IF(H350&lt;=30,"1 1-30",IF(H350&lt;=60,"2 31-60",IF(H350&lt;=90,"3 61-90",IF(H350&lt;=120,"4 91-120","5 121+")))))</x:f>
        <x:v>2 31-60</x:v>
      </x:c>
      <x:c r="O350" s="9" t="n">
        <x:f>IF(J350&gt;0,1,0)</x:f>
        <x:v>1</x:v>
      </x:c>
    </x:row>
    <x:row r="351">
      <x:c r="A351" s="15" t="str">
        <x:v>347</x:v>
      </x:c>
      <x:c r="B351" s="9" t="str">
        <x:v>Alex</x:v>
      </x:c>
      <x:c r="C351" s="9" t="str">
        <x:v>Personal Loan</x:v>
      </x:c>
      <x:c r="D351" s="9" t="str">
        <x:v>West</x:v>
      </x:c>
      <x:c r="E351" s="9" t="n">
        <x:v>758</x:v>
      </x:c>
      <x:c r="F351" s="11" t="n">
        <x:v>46034</x:v>
      </x:c>
      <x:c r="G351" s="13" t="n">
        <x:v>9918.23</x:v>
      </x:c>
      <x:c r="H351" s="9" t="n">
        <x:v>235</x:v>
      </x:c>
      <x:c r="I351" s="9" t="n">
        <x:v>5</x:v>
      </x:c>
      <x:c r="J351" s="9" t="n">
        <x:v>4</x:v>
      </x:c>
      <x:c r="K351" s="9" t="n">
        <x:v>1</x:v>
      </x:c>
      <x:c r="L351" s="13" t="n">
        <x:f>SUMIFS('Payments'!$D$5:$D$3014,'Payments'!$B$5:$B$3014,A351)</x:f>
        <x:v>1655.9500000000003</x:v>
      </x:c>
      <x:c r="M351" s="13" t="n">
        <x:f>G351-L351</x:f>
        <x:v>8262.279999999999</x:v>
      </x:c>
      <x:c r="N351" s="9" t="str">
        <x:f>IF(H351=0,"0 Current",IF(H351&lt;=30,"1 1-30",IF(H351&lt;=60,"2 31-60",IF(H351&lt;=90,"3 61-90",IF(H351&lt;=120,"4 91-120","5 121+")))))</x:f>
        <x:v>5 121+</x:v>
      </x:c>
      <x:c r="O351" s="9" t="n">
        <x:f>IF(J351&gt;0,1,0)</x:f>
        <x:v>1</x:v>
      </x:c>
    </x:row>
    <x:row r="352">
      <x:c r="A352" s="15" t="str">
        <x:v>348</x:v>
      </x:c>
      <x:c r="B352" s="9" t="str">
        <x:v>Alex</x:v>
      </x:c>
      <x:c r="C352" s="9" t="str">
        <x:v>Credit Card</x:v>
      </x:c>
      <x:c r="D352" s="9" t="str">
        <x:v>Midwest</x:v>
      </x:c>
      <x:c r="E352" s="9" t="n">
        <x:v>455</x:v>
      </x:c>
      <x:c r="F352" s="11" t="n">
        <x:v>46107</x:v>
      </x:c>
      <x:c r="G352" s="13" t="n">
        <x:v>13536.14</x:v>
      </x:c>
      <x:c r="H352" s="9" t="n">
        <x:v>7</x:v>
      </x:c>
      <x:c r="I352" s="9" t="n">
        <x:v>3</x:v>
      </x:c>
      <x:c r="J352" s="9" t="n">
        <x:v>1</x:v>
      </x:c>
      <x:c r="K352" s="9" t="n">
        <x:v>0</x:v>
      </x:c>
      <x:c r="L352" s="13" t="n">
        <x:f>SUMIFS('Payments'!$D$5:$D$3014,'Payments'!$B$5:$B$3014,A352)</x:f>
        <x:v>3591.95</x:v>
      </x:c>
      <x:c r="M352" s="13" t="n">
        <x:f>G352-L352</x:f>
        <x:v>9944.189999999999</x:v>
      </x:c>
      <x:c r="N352" s="9" t="str">
        <x:f>IF(H352=0,"0 Current",IF(H352&lt;=30,"1 1-30",IF(H352&lt;=60,"2 31-60",IF(H352&lt;=90,"3 61-90",IF(H352&lt;=120,"4 91-120","5 121+")))))</x:f>
        <x:v>1 1-30</x:v>
      </x:c>
      <x:c r="O352" s="9" t="n">
        <x:f>IF(J352&gt;0,1,0)</x:f>
        <x:v>1</x:v>
      </x:c>
    </x:row>
    <x:row r="353">
      <x:c r="A353" s="15" t="str">
        <x:v>349</x:v>
      </x:c>
      <x:c r="B353" s="9" t="str">
        <x:v>Riley</x:v>
      </x:c>
      <x:c r="C353" s="9" t="str">
        <x:v>Auto</x:v>
      </x:c>
      <x:c r="D353" s="9" t="str">
        <x:v>Midwest</x:v>
      </x:c>
      <x:c r="E353" s="9" t="n">
        <x:v>426</x:v>
      </x:c>
      <x:c r="F353" s="11" t="n">
        <x:v>46083</x:v>
      </x:c>
      <x:c r="G353" s="13" t="n">
        <x:v>3558.1</x:v>
      </x:c>
      <x:c r="H353" s="9" t="n">
        <x:v>195</x:v>
      </x:c>
      <x:c r="I353" s="9" t="n">
        <x:v>7</x:v>
      </x:c>
      <x:c r="J353" s="9" t="n">
        <x:v>3</x:v>
      </x:c>
      <x:c r="K353" s="9" t="n">
        <x:v>1</x:v>
      </x:c>
      <x:c r="L353" s="13" t="n">
        <x:f>SUMIFS('Payments'!$D$5:$D$3014,'Payments'!$B$5:$B$3014,A353)</x:f>
        <x:v>0</x:v>
      </x:c>
      <x:c r="M353" s="13" t="n">
        <x:f>G353-L353</x:f>
        <x:v>3558.1</x:v>
      </x:c>
      <x:c r="N353" s="9" t="str">
        <x:f>IF(H353=0,"0 Current",IF(H353&lt;=30,"1 1-30",IF(H353&lt;=60,"2 31-60",IF(H353&lt;=90,"3 61-90",IF(H353&lt;=120,"4 91-120","5 121+")))))</x:f>
        <x:v>5 121+</x:v>
      </x:c>
      <x:c r="O353" s="9" t="n">
        <x:f>IF(J353&gt;0,1,0)</x:f>
        <x:v>1</x:v>
      </x:c>
    </x:row>
    <x:row r="354">
      <x:c r="A354" s="15" t="str">
        <x:v>350</x:v>
      </x:c>
      <x:c r="B354" s="9" t="str">
        <x:v>Alex</x:v>
      </x:c>
      <x:c r="C354" s="9" t="str">
        <x:v>Credit Card</x:v>
      </x:c>
      <x:c r="D354" s="9" t="str">
        <x:v>West</x:v>
      </x:c>
      <x:c r="E354" s="9" t="n">
        <x:v>670</x:v>
      </x:c>
      <x:c r="F354" s="11" t="n">
        <x:v>46133</x:v>
      </x:c>
      <x:c r="G354" s="13" t="n">
        <x:v>3259.44</x:v>
      </x:c>
      <x:c r="H354" s="9" t="n">
        <x:v>143</x:v>
      </x:c>
      <x:c r="I354" s="9" t="n">
        <x:v>4</x:v>
      </x:c>
      <x:c r="J354" s="9" t="n">
        <x:v>1</x:v>
      </x:c>
      <x:c r="K354" s="9" t="n">
        <x:v>0</x:v>
      </x:c>
      <x:c r="L354" s="13" t="n">
        <x:f>SUMIFS('Payments'!$D$5:$D$3014,'Payments'!$B$5:$B$3014,A354)</x:f>
        <x:v>0</x:v>
      </x:c>
      <x:c r="M354" s="13" t="n">
        <x:f>G354-L354</x:f>
        <x:v>3259.44</x:v>
      </x:c>
      <x:c r="N354" s="9" t="str">
        <x:f>IF(H354=0,"0 Current",IF(H354&lt;=30,"1 1-30",IF(H354&lt;=60,"2 31-60",IF(H354&lt;=90,"3 61-90",IF(H354&lt;=120,"4 91-120","5 121+")))))</x:f>
        <x:v>5 121+</x:v>
      </x:c>
      <x:c r="O354" s="9" t="n">
        <x:f>IF(J354&gt;0,1,0)</x:f>
        <x:v>1</x:v>
      </x:c>
    </x:row>
    <x:row r="355">
      <x:c r="A355" s="15" t="str">
        <x:v>351</x:v>
      </x:c>
      <x:c r="B355" s="9" t="str">
        <x:v>Taylor</x:v>
      </x:c>
      <x:c r="C355" s="9" t="str">
        <x:v>Credit Card</x:v>
      </x:c>
      <x:c r="D355" s="9" t="str">
        <x:v>Northeast</x:v>
      </x:c>
      <x:c r="E355" s="9" t="n">
        <x:v>641</x:v>
      </x:c>
      <x:c r="F355" s="11" t="n">
        <x:v>46048</x:v>
      </x:c>
      <x:c r="G355" s="13" t="n">
        <x:v>14744.54</x:v>
      </x:c>
      <x:c r="H355" s="9" t="n">
        <x:v>116</x:v>
      </x:c>
      <x:c r="I355" s="9" t="n">
        <x:v>3</x:v>
      </x:c>
      <x:c r="J355" s="9" t="n">
        <x:v>0</x:v>
      </x:c>
      <x:c r="K355" s="9" t="n">
        <x:v>0</x:v>
      </x:c>
      <x:c r="L355" s="13" t="n">
        <x:f>SUMIFS('Payments'!$D$5:$D$3014,'Payments'!$B$5:$B$3014,A355)</x:f>
        <x:v>3234.3100000000004</x:v>
      </x:c>
      <x:c r="M355" s="13" t="n">
        <x:f>G355-L355</x:f>
        <x:v>11510.23</x:v>
      </x:c>
      <x:c r="N355" s="9" t="str">
        <x:f>IF(H355=0,"0 Current",IF(H355&lt;=30,"1 1-30",IF(H355&lt;=60,"2 31-60",IF(H355&lt;=90,"3 61-90",IF(H355&lt;=120,"4 91-120","5 121+")))))</x:f>
        <x:v>4 91-120</x:v>
      </x:c>
      <x:c r="O355" s="9" t="n">
        <x:f>IF(J355&gt;0,1,0)</x:f>
        <x:v>0</x:v>
      </x:c>
    </x:row>
    <x:row r="356">
      <x:c r="A356" s="15" t="str">
        <x:v>352</x:v>
      </x:c>
      <x:c r="B356" s="9" t="str">
        <x:v>Casey</x:v>
      </x:c>
      <x:c r="C356" s="9" t="str">
        <x:v>Medical</x:v>
      </x:c>
      <x:c r="D356" s="9" t="str">
        <x:v>Midwest</x:v>
      </x:c>
      <x:c r="E356" s="9" t="n">
        <x:v>745</x:v>
      </x:c>
      <x:c r="F356" s="11" t="n">
        <x:v>46136</x:v>
      </x:c>
      <x:c r="G356" s="13" t="n">
        <x:v>8298.19</x:v>
      </x:c>
      <x:c r="H356" s="9" t="n">
        <x:v>204</x:v>
      </x:c>
      <x:c r="I356" s="9" t="n">
        <x:v>0</x:v>
      </x:c>
      <x:c r="J356" s="9" t="n">
        <x:v>0</x:v>
      </x:c>
      <x:c r="K356" s="9" t="n">
        <x:v>0</x:v>
      </x:c>
      <x:c r="L356" s="13" t="n">
        <x:f>SUMIFS('Payments'!$D$5:$D$3014,'Payments'!$B$5:$B$3014,A356)</x:f>
        <x:v>0</x:v>
      </x:c>
      <x:c r="M356" s="13" t="n">
        <x:f>G356-L356</x:f>
        <x:v>8298.19</x:v>
      </x:c>
      <x:c r="N356" s="9" t="str">
        <x:f>IF(H356=0,"0 Current",IF(H356&lt;=30,"1 1-30",IF(H356&lt;=60,"2 31-60",IF(H356&lt;=90,"3 61-90",IF(H356&lt;=120,"4 91-120","5 121+")))))</x:f>
        <x:v>5 121+</x:v>
      </x:c>
      <x:c r="O356" s="9" t="n">
        <x:f>IF(J356&gt;0,1,0)</x:f>
        <x:v>0</x:v>
      </x:c>
    </x:row>
    <x:row r="357">
      <x:c r="A357" s="15" t="str">
        <x:v>353</x:v>
      </x:c>
      <x:c r="B357" s="9" t="str">
        <x:v>Riley</x:v>
      </x:c>
      <x:c r="C357" s="9" t="str">
        <x:v>Auto</x:v>
      </x:c>
      <x:c r="D357" s="9" t="str">
        <x:v>West</x:v>
      </x:c>
      <x:c r="E357" s="9" t="n">
        <x:v>782</x:v>
      </x:c>
      <x:c r="F357" s="11" t="n">
        <x:v>46055</x:v>
      </x:c>
      <x:c r="G357" s="13" t="n">
        <x:v>13572.25</x:v>
      </x:c>
      <x:c r="H357" s="9" t="n">
        <x:v>131</x:v>
      </x:c>
      <x:c r="I357" s="9" t="n">
        <x:v>7</x:v>
      </x:c>
      <x:c r="J357" s="9" t="n">
        <x:v>3</x:v>
      </x:c>
      <x:c r="K357" s="9" t="n">
        <x:v>0</x:v>
      </x:c>
      <x:c r="L357" s="13" t="n">
        <x:f>SUMIFS('Payments'!$D$5:$D$3014,'Payments'!$B$5:$B$3014,A357)</x:f>
        <x:v>1217.5</x:v>
      </x:c>
      <x:c r="M357" s="13" t="n">
        <x:f>G357-L357</x:f>
        <x:v>12354.75</x:v>
      </x:c>
      <x:c r="N357" s="9" t="str">
        <x:f>IF(H357=0,"0 Current",IF(H357&lt;=30,"1 1-30",IF(H357&lt;=60,"2 31-60",IF(H357&lt;=90,"3 61-90",IF(H357&lt;=120,"4 91-120","5 121+")))))</x:f>
        <x:v>5 121+</x:v>
      </x:c>
      <x:c r="O357" s="9" t="n">
        <x:f>IF(J357&gt;0,1,0)</x:f>
        <x:v>1</x:v>
      </x:c>
    </x:row>
    <x:row r="358">
      <x:c r="A358" s="15" t="str">
        <x:v>354</x:v>
      </x:c>
      <x:c r="B358" s="9" t="str">
        <x:v>Alex</x:v>
      </x:c>
      <x:c r="C358" s="9" t="str">
        <x:v>Personal Loan</x:v>
      </x:c>
      <x:c r="D358" s="9" t="str">
        <x:v>South</x:v>
      </x:c>
      <x:c r="E358" s="9" t="n">
        <x:v>642</x:v>
      </x:c>
      <x:c r="F358" s="11" t="n">
        <x:v>46074</x:v>
      </x:c>
      <x:c r="G358" s="13" t="n">
        <x:v>8941.5</x:v>
      </x:c>
      <x:c r="H358" s="9" t="n">
        <x:v>48</x:v>
      </x:c>
      <x:c r="I358" s="9" t="n">
        <x:v>4</x:v>
      </x:c>
      <x:c r="J358" s="9" t="n">
        <x:v>1</x:v>
      </x:c>
      <x:c r="K358" s="9" t="n">
        <x:v>0</x:v>
      </x:c>
      <x:c r="L358" s="13" t="n">
        <x:f>SUMIFS('Payments'!$D$5:$D$3014,'Payments'!$B$5:$B$3014,A358)</x:f>
        <x:v>2484.91</x:v>
      </x:c>
      <x:c r="M358" s="13" t="n">
        <x:f>G358-L358</x:f>
        <x:v>6456.59</x:v>
      </x:c>
      <x:c r="N358" s="9" t="str">
        <x:f>IF(H358=0,"0 Current",IF(H358&lt;=30,"1 1-30",IF(H358&lt;=60,"2 31-60",IF(H358&lt;=90,"3 61-90",IF(H358&lt;=120,"4 91-120","5 121+")))))</x:f>
        <x:v>2 31-60</x:v>
      </x:c>
      <x:c r="O358" s="9" t="n">
        <x:f>IF(J358&gt;0,1,0)</x:f>
        <x:v>1</x:v>
      </x:c>
    </x:row>
    <x:row r="359">
      <x:c r="A359" s="15" t="str">
        <x:v>355</x:v>
      </x:c>
      <x:c r="B359" s="9" t="str">
        <x:v>Riley</x:v>
      </x:c>
      <x:c r="C359" s="9" t="str">
        <x:v>Medical</x:v>
      </x:c>
      <x:c r="D359" s="9" t="str">
        <x:v>South</x:v>
      </x:c>
      <x:c r="E359" s="9" t="n">
        <x:v>795</x:v>
      </x:c>
      <x:c r="F359" s="11" t="n">
        <x:v>46081</x:v>
      </x:c>
      <x:c r="G359" s="13" t="n">
        <x:v>20067.96</x:v>
      </x:c>
      <x:c r="H359" s="9" t="n">
        <x:v>61</x:v>
      </x:c>
      <x:c r="I359" s="9" t="n">
        <x:v>6</x:v>
      </x:c>
      <x:c r="J359" s="9" t="n">
        <x:v>1</x:v>
      </x:c>
      <x:c r="K359" s="9" t="n">
        <x:v>1</x:v>
      </x:c>
      <x:c r="L359" s="13" t="n">
        <x:f>SUMIFS('Payments'!$D$5:$D$3014,'Payments'!$B$5:$B$3014,A359)</x:f>
        <x:v>5321.86</x:v>
      </x:c>
      <x:c r="M359" s="13" t="n">
        <x:f>G359-L359</x:f>
        <x:v>14746.099999999999</x:v>
      </x:c>
      <x:c r="N359" s="9" t="str">
        <x:f>IF(H359=0,"0 Current",IF(H359&lt;=30,"1 1-30",IF(H359&lt;=60,"2 31-60",IF(H359&lt;=90,"3 61-90",IF(H359&lt;=120,"4 91-120","5 121+")))))</x:f>
        <x:v>3 61-90</x:v>
      </x:c>
      <x:c r="O359" s="9" t="n">
        <x:f>IF(J359&gt;0,1,0)</x:f>
        <x:v>1</x:v>
      </x:c>
    </x:row>
    <x:row r="360">
      <x:c r="A360" s="15" t="str">
        <x:v>356</x:v>
      </x:c>
      <x:c r="B360" s="9" t="str">
        <x:v>Alex</x:v>
      </x:c>
      <x:c r="C360" s="9" t="str">
        <x:v>Credit Card</x:v>
      </x:c>
      <x:c r="D360" s="9" t="str">
        <x:v>Midwest</x:v>
      </x:c>
      <x:c r="E360" s="9" t="n">
        <x:v>735</x:v>
      </x:c>
      <x:c r="F360" s="11" t="n">
        <x:v>46172</x:v>
      </x:c>
      <x:c r="G360" s="13" t="n">
        <x:v>15595.68</x:v>
      </x:c>
      <x:c r="H360" s="9" t="n">
        <x:v>50</x:v>
      </x:c>
      <x:c r="I360" s="9" t="n">
        <x:v>3</x:v>
      </x:c>
      <x:c r="J360" s="9" t="n">
        <x:v>2</x:v>
      </x:c>
      <x:c r="K360" s="9" t="n">
        <x:v>0</x:v>
      </x:c>
      <x:c r="L360" s="13" t="n">
        <x:f>SUMIFS('Payments'!$D$5:$D$3014,'Payments'!$B$5:$B$3014,A360)</x:f>
        <x:v>754.75</x:v>
      </x:c>
      <x:c r="M360" s="13" t="n">
        <x:f>G360-L360</x:f>
        <x:v>14840.93</x:v>
      </x:c>
      <x:c r="N360" s="9" t="str">
        <x:f>IF(H360=0,"0 Current",IF(H360&lt;=30,"1 1-30",IF(H360&lt;=60,"2 31-60",IF(H360&lt;=90,"3 61-90",IF(H360&lt;=120,"4 91-120","5 121+")))))</x:f>
        <x:v>2 31-60</x:v>
      </x:c>
      <x:c r="O360" s="9" t="n">
        <x:f>IF(J360&gt;0,1,0)</x:f>
        <x:v>1</x:v>
      </x:c>
    </x:row>
    <x:row r="361">
      <x:c r="A361" s="15" t="str">
        <x:v>357</x:v>
      </x:c>
      <x:c r="B361" s="9" t="str">
        <x:v>Jordan</x:v>
      </x:c>
      <x:c r="C361" s="9" t="str">
        <x:v>Credit Card</x:v>
      </x:c>
      <x:c r="D361" s="9" t="str">
        <x:v>West</x:v>
      </x:c>
      <x:c r="E361" s="9" t="n">
        <x:v>658</x:v>
      </x:c>
      <x:c r="F361" s="11" t="n">
        <x:v>46028</x:v>
      </x:c>
      <x:c r="G361" s="13" t="n">
        <x:v>7885.22</x:v>
      </x:c>
      <x:c r="H361" s="9" t="n">
        <x:v>5</x:v>
      </x:c>
      <x:c r="I361" s="9" t="n">
        <x:v>1</x:v>
      </x:c>
      <x:c r="J361" s="9" t="n">
        <x:v>1</x:v>
      </x:c>
      <x:c r="K361" s="9" t="n">
        <x:v>1</x:v>
      </x:c>
      <x:c r="L361" s="13" t="n">
        <x:f>SUMIFS('Payments'!$D$5:$D$3014,'Payments'!$B$5:$B$3014,A361)</x:f>
        <x:v>506.66</x:v>
      </x:c>
      <x:c r="M361" s="13" t="n">
        <x:f>G361-L361</x:f>
        <x:v>7378.56</x:v>
      </x:c>
      <x:c r="N361" s="9" t="str">
        <x:f>IF(H361=0,"0 Current",IF(H361&lt;=30,"1 1-30",IF(H361&lt;=60,"2 31-60",IF(H361&lt;=90,"3 61-90",IF(H361&lt;=120,"4 91-120","5 121+")))))</x:f>
        <x:v>1 1-30</x:v>
      </x:c>
      <x:c r="O361" s="9" t="n">
        <x:f>IF(J361&gt;0,1,0)</x:f>
        <x:v>1</x:v>
      </x:c>
    </x:row>
    <x:row r="362">
      <x:c r="A362" s="15" t="str">
        <x:v>358</x:v>
      </x:c>
      <x:c r="B362" s="9" t="str">
        <x:v>Casey</x:v>
      </x:c>
      <x:c r="C362" s="9" t="str">
        <x:v>Personal Loan</x:v>
      </x:c>
      <x:c r="D362" s="9" t="str">
        <x:v>West</x:v>
      </x:c>
      <x:c r="E362" s="9" t="n">
        <x:v>794</x:v>
      </x:c>
      <x:c r="F362" s="11" t="n">
        <x:v>46101</x:v>
      </x:c>
      <x:c r="G362" s="13" t="n">
        <x:v>19634.56</x:v>
      </x:c>
      <x:c r="H362" s="9" t="n">
        <x:v>207</x:v>
      </x:c>
      <x:c r="I362" s="9" t="n">
        <x:v>6</x:v>
      </x:c>
      <x:c r="J362" s="9" t="n">
        <x:v>2</x:v>
      </x:c>
      <x:c r="K362" s="9" t="n">
        <x:v>0</x:v>
      </x:c>
      <x:c r="L362" s="13" t="n">
        <x:f>SUMIFS('Payments'!$D$5:$D$3014,'Payments'!$B$5:$B$3014,A362)</x:f>
        <x:v>3133.83</x:v>
      </x:c>
      <x:c r="M362" s="13" t="n">
        <x:f>G362-L362</x:f>
        <x:v>16500.730000000003</x:v>
      </x:c>
      <x:c r="N362" s="9" t="str">
        <x:f>IF(H362=0,"0 Current",IF(H362&lt;=30,"1 1-30",IF(H362&lt;=60,"2 31-60",IF(H362&lt;=90,"3 61-90",IF(H362&lt;=120,"4 91-120","5 121+")))))</x:f>
        <x:v>5 121+</x:v>
      </x:c>
      <x:c r="O362" s="9" t="n">
        <x:f>IF(J362&gt;0,1,0)</x:f>
        <x:v>1</x:v>
      </x:c>
    </x:row>
    <x:row r="363">
      <x:c r="A363" s="15" t="str">
        <x:v>359</x:v>
      </x:c>
      <x:c r="B363" s="9" t="str">
        <x:v>Riley</x:v>
      </x:c>
      <x:c r="C363" s="9" t="str">
        <x:v>Medical</x:v>
      </x:c>
      <x:c r="D363" s="9" t="str">
        <x:v>Midwest</x:v>
      </x:c>
      <x:c r="E363" s="9" t="n">
        <x:v>585</x:v>
      </x:c>
      <x:c r="F363" s="11" t="n">
        <x:v>46085</x:v>
      </x:c>
      <x:c r="G363" s="13" t="n">
        <x:v>2437.56</x:v>
      </x:c>
      <x:c r="H363" s="9" t="n">
        <x:v>218</x:v>
      </x:c>
      <x:c r="I363" s="9" t="n">
        <x:v>4</x:v>
      </x:c>
      <x:c r="J363" s="9" t="n">
        <x:v>1</x:v>
      </x:c>
      <x:c r="K363" s="9" t="n">
        <x:v>1</x:v>
      </x:c>
      <x:c r="L363" s="13" t="n">
        <x:f>SUMIFS('Payments'!$D$5:$D$3014,'Payments'!$B$5:$B$3014,A363)</x:f>
        <x:v>472.32</x:v>
      </x:c>
      <x:c r="M363" s="13" t="n">
        <x:f>G363-L363</x:f>
        <x:v>1965.24</x:v>
      </x:c>
      <x:c r="N363" s="9" t="str">
        <x:f>IF(H363=0,"0 Current",IF(H363&lt;=30,"1 1-30",IF(H363&lt;=60,"2 31-60",IF(H363&lt;=90,"3 61-90",IF(H363&lt;=120,"4 91-120","5 121+")))))</x:f>
        <x:v>5 121+</x:v>
      </x:c>
      <x:c r="O363" s="9" t="n">
        <x:f>IF(J363&gt;0,1,0)</x:f>
        <x:v>1</x:v>
      </x:c>
    </x:row>
    <x:row r="364">
      <x:c r="A364" s="15" t="str">
        <x:v>360</x:v>
      </x:c>
      <x:c r="B364" s="9" t="str">
        <x:v>Casey</x:v>
      </x:c>
      <x:c r="C364" s="9" t="str">
        <x:v>Auto</x:v>
      </x:c>
      <x:c r="D364" s="9" t="str">
        <x:v>South</x:v>
      </x:c>
      <x:c r="E364" s="9" t="n">
        <x:v>464</x:v>
      </x:c>
      <x:c r="F364" s="11" t="n">
        <x:v>46143</x:v>
      </x:c>
      <x:c r="G364" s="13" t="n">
        <x:v>3220.97</x:v>
      </x:c>
      <x:c r="H364" s="9" t="n">
        <x:v>192</x:v>
      </x:c>
      <x:c r="I364" s="9" t="n">
        <x:v>7</x:v>
      </x:c>
      <x:c r="J364" s="9" t="n">
        <x:v>2</x:v>
      </x:c>
      <x:c r="K364" s="9" t="n">
        <x:v>1</x:v>
      </x:c>
      <x:c r="L364" s="13" t="n">
        <x:f>SUMIFS('Payments'!$D$5:$D$3014,'Payments'!$B$5:$B$3014,A364)</x:f>
        <x:v>987.65</x:v>
      </x:c>
      <x:c r="M364" s="13" t="n">
        <x:f>G364-L364</x:f>
        <x:v>2233.3199999999997</x:v>
      </x:c>
      <x:c r="N364" s="9" t="str">
        <x:f>IF(H364=0,"0 Current",IF(H364&lt;=30,"1 1-30",IF(H364&lt;=60,"2 31-60",IF(H364&lt;=90,"3 61-90",IF(H364&lt;=120,"4 91-120","5 121+")))))</x:f>
        <x:v>5 121+</x:v>
      </x:c>
      <x:c r="O364" s="9" t="n">
        <x:f>IF(J364&gt;0,1,0)</x:f>
        <x:v>1</x:v>
      </x:c>
    </x:row>
    <x:row r="365">
      <x:c r="A365" s="15" t="str">
        <x:v>361</x:v>
      </x:c>
      <x:c r="B365" s="9" t="str">
        <x:v>Morgan</x:v>
      </x:c>
      <x:c r="C365" s="9" t="str">
        <x:v>Auto</x:v>
      </x:c>
      <x:c r="D365" s="9" t="str">
        <x:v>Midwest</x:v>
      </x:c>
      <x:c r="E365" s="9" t="n">
        <x:v>650</x:v>
      </x:c>
      <x:c r="F365" s="11" t="n">
        <x:v>46078</x:v>
      </x:c>
      <x:c r="G365" s="13" t="n">
        <x:v>13334.52</x:v>
      </x:c>
      <x:c r="H365" s="9" t="n">
        <x:v>146</x:v>
      </x:c>
      <x:c r="I365" s="9" t="n">
        <x:v>8</x:v>
      </x:c>
      <x:c r="J365" s="9" t="n">
        <x:v>1</x:v>
      </x:c>
      <x:c r="K365" s="9" t="n">
        <x:v>0</x:v>
      </x:c>
      <x:c r="L365" s="13" t="n">
        <x:f>SUMIFS('Payments'!$D$5:$D$3014,'Payments'!$B$5:$B$3014,A365)</x:f>
        <x:v>990.69</x:v>
      </x:c>
      <x:c r="M365" s="13" t="n">
        <x:f>G365-L365</x:f>
        <x:v>12343.83</x:v>
      </x:c>
      <x:c r="N365" s="9" t="str">
        <x:f>IF(H365=0,"0 Current",IF(H365&lt;=30,"1 1-30",IF(H365&lt;=60,"2 31-60",IF(H365&lt;=90,"3 61-90",IF(H365&lt;=120,"4 91-120","5 121+")))))</x:f>
        <x:v>5 121+</x:v>
      </x:c>
      <x:c r="O365" s="9" t="n">
        <x:f>IF(J365&gt;0,1,0)</x:f>
        <x:v>1</x:v>
      </x:c>
    </x:row>
    <x:row r="366">
      <x:c r="A366" s="15" t="str">
        <x:v>362</x:v>
      </x:c>
      <x:c r="B366" s="9" t="str">
        <x:v>Alex</x:v>
      </x:c>
      <x:c r="C366" s="9" t="str">
        <x:v>Medical</x:v>
      </x:c>
      <x:c r="D366" s="9" t="str">
        <x:v>South</x:v>
      </x:c>
      <x:c r="E366" s="9" t="n">
        <x:v>804</x:v>
      </x:c>
      <x:c r="F366" s="11" t="n">
        <x:v>46092</x:v>
      </x:c>
      <x:c r="G366" s="13" t="n">
        <x:v>16537.79</x:v>
      </x:c>
      <x:c r="H366" s="9" t="n">
        <x:v>113</x:v>
      </x:c>
      <x:c r="I366" s="9" t="n">
        <x:v>1</x:v>
      </x:c>
      <x:c r="J366" s="9" t="n">
        <x:v>1</x:v>
      </x:c>
      <x:c r="K366" s="9" t="n">
        <x:v>1</x:v>
      </x:c>
      <x:c r="L366" s="13" t="n">
        <x:f>SUMIFS('Payments'!$D$5:$D$3014,'Payments'!$B$5:$B$3014,A366)</x:f>
        <x:v>706.31</x:v>
      </x:c>
      <x:c r="M366" s="13" t="n">
        <x:f>G366-L366</x:f>
        <x:v>15831.480000000001</x:v>
      </x:c>
      <x:c r="N366" s="9" t="str">
        <x:f>IF(H366=0,"0 Current",IF(H366&lt;=30,"1 1-30",IF(H366&lt;=60,"2 31-60",IF(H366&lt;=90,"3 61-90",IF(H366&lt;=120,"4 91-120","5 121+")))))</x:f>
        <x:v>4 91-120</x:v>
      </x:c>
      <x:c r="O366" s="9" t="n">
        <x:f>IF(J366&gt;0,1,0)</x:f>
        <x:v>1</x:v>
      </x:c>
    </x:row>
    <x:row r="367">
      <x:c r="A367" s="15" t="str">
        <x:v>363</x:v>
      </x:c>
      <x:c r="B367" s="9" t="str">
        <x:v>Riley</x:v>
      </x:c>
      <x:c r="C367" s="9" t="str">
        <x:v>Credit Card</x:v>
      </x:c>
      <x:c r="D367" s="9" t="str">
        <x:v>West</x:v>
      </x:c>
      <x:c r="E367" s="9" t="n">
        <x:v>711</x:v>
      </x:c>
      <x:c r="F367" s="11" t="n">
        <x:v>46098</x:v>
      </x:c>
      <x:c r="G367" s="13" t="n">
        <x:v>21545.54</x:v>
      </x:c>
      <x:c r="H367" s="9" t="n">
        <x:v>201</x:v>
      </x:c>
      <x:c r="I367" s="9" t="n">
        <x:v>5</x:v>
      </x:c>
      <x:c r="J367" s="9" t="n">
        <x:v>2</x:v>
      </x:c>
      <x:c r="K367" s="9" t="n">
        <x:v>0</x:v>
      </x:c>
      <x:c r="L367" s="13" t="n">
        <x:f>SUMIFS('Payments'!$D$5:$D$3014,'Payments'!$B$5:$B$3014,A367)</x:f>
        <x:v>1835.76</x:v>
      </x:c>
      <x:c r="M367" s="13" t="n">
        <x:f>G367-L367</x:f>
        <x:v>19709.780000000002</x:v>
      </x:c>
      <x:c r="N367" s="9" t="str">
        <x:f>IF(H367=0,"0 Current",IF(H367&lt;=30,"1 1-30",IF(H367&lt;=60,"2 31-60",IF(H367&lt;=90,"3 61-90",IF(H367&lt;=120,"4 91-120","5 121+")))))</x:f>
        <x:v>5 121+</x:v>
      </x:c>
      <x:c r="O367" s="9" t="n">
        <x:f>IF(J367&gt;0,1,0)</x:f>
        <x:v>1</x:v>
      </x:c>
    </x:row>
    <x:row r="368">
      <x:c r="A368" s="15" t="str">
        <x:v>364</x:v>
      </x:c>
      <x:c r="B368" s="9" t="str">
        <x:v>Taylor</x:v>
      </x:c>
      <x:c r="C368" s="9" t="str">
        <x:v>Personal Loan</x:v>
      </x:c>
      <x:c r="D368" s="9" t="str">
        <x:v>West</x:v>
      </x:c>
      <x:c r="E368" s="9" t="n">
        <x:v>592</x:v>
      </x:c>
      <x:c r="F368" s="11" t="n">
        <x:v>46071</x:v>
      </x:c>
      <x:c r="G368" s="13" t="n">
        <x:v>6282.48</x:v>
      </x:c>
      <x:c r="H368" s="9" t="n">
        <x:v>2</x:v>
      </x:c>
      <x:c r="I368" s="9" t="n">
        <x:v>0</x:v>
      </x:c>
      <x:c r="J368" s="9" t="n">
        <x:v>0</x:v>
      </x:c>
      <x:c r="K368" s="9" t="n">
        <x:v>0</x:v>
      </x:c>
      <x:c r="L368" s="13" t="n">
        <x:f>SUMIFS('Payments'!$D$5:$D$3014,'Payments'!$B$5:$B$3014,A368)</x:f>
        <x:v>918.7</x:v>
      </x:c>
      <x:c r="M368" s="13" t="n">
        <x:f>G368-L368</x:f>
        <x:v>5363.78</x:v>
      </x:c>
      <x:c r="N368" s="9" t="str">
        <x:f>IF(H368=0,"0 Current",IF(H368&lt;=30,"1 1-30",IF(H368&lt;=60,"2 31-60",IF(H368&lt;=90,"3 61-90",IF(H368&lt;=120,"4 91-120","5 121+")))))</x:f>
        <x:v>1 1-30</x:v>
      </x:c>
      <x:c r="O368" s="9" t="n">
        <x:f>IF(J368&gt;0,1,0)</x:f>
        <x:v>0</x:v>
      </x:c>
    </x:row>
    <x:row r="369">
      <x:c r="A369" s="15" t="str">
        <x:v>365</x:v>
      </x:c>
      <x:c r="B369" s="9" t="str">
        <x:v>Casey</x:v>
      </x:c>
      <x:c r="C369" s="9" t="str">
        <x:v>Auto</x:v>
      </x:c>
      <x:c r="D369" s="9" t="str">
        <x:v>Northeast</x:v>
      </x:c>
      <x:c r="E369" s="9" t="n">
        <x:v>673</x:v>
      </x:c>
      <x:c r="F369" s="11" t="n">
        <x:v>46143</x:v>
      </x:c>
      <x:c r="G369" s="13" t="n">
        <x:v>22001.97</x:v>
      </x:c>
      <x:c r="H369" s="9" t="n">
        <x:v>58</x:v>
      </x:c>
      <x:c r="I369" s="9" t="n">
        <x:v>3</x:v>
      </x:c>
      <x:c r="J369" s="9" t="n">
        <x:v>2</x:v>
      </x:c>
      <x:c r="K369" s="9" t="n">
        <x:v>0</x:v>
      </x:c>
      <x:c r="L369" s="13" t="n">
        <x:f>SUMIFS('Payments'!$D$5:$D$3014,'Payments'!$B$5:$B$3014,A369)</x:f>
        <x:v>1110.34</x:v>
      </x:c>
      <x:c r="M369" s="13" t="n">
        <x:f>G369-L369</x:f>
        <x:v>20891.63</x:v>
      </x:c>
      <x:c r="N369" s="9" t="str">
        <x:f>IF(H369=0,"0 Current",IF(H369&lt;=30,"1 1-30",IF(H369&lt;=60,"2 31-60",IF(H369&lt;=90,"3 61-90",IF(H369&lt;=120,"4 91-120","5 121+")))))</x:f>
        <x:v>2 31-60</x:v>
      </x:c>
      <x:c r="O369" s="9" t="n">
        <x:f>IF(J369&gt;0,1,0)</x:f>
        <x:v>1</x:v>
      </x:c>
    </x:row>
    <x:row r="370">
      <x:c r="A370" s="15" t="str">
        <x:v>366</x:v>
      </x:c>
      <x:c r="B370" s="9" t="str">
        <x:v>Jordan</x:v>
      </x:c>
      <x:c r="C370" s="9" t="str">
        <x:v>Medical</x:v>
      </x:c>
      <x:c r="D370" s="9" t="str">
        <x:v>Midwest</x:v>
      </x:c>
      <x:c r="E370" s="9" t="n">
        <x:v>513</x:v>
      </x:c>
      <x:c r="F370" s="11" t="n">
        <x:v>46110</x:v>
      </x:c>
      <x:c r="G370" s="13" t="n">
        <x:v>4101.89</x:v>
      </x:c>
      <x:c r="H370" s="9" t="n">
        <x:v>109</x:v>
      </x:c>
      <x:c r="I370" s="9" t="n">
        <x:v>2</x:v>
      </x:c>
      <x:c r="J370" s="9" t="n">
        <x:v>2</x:v>
      </x:c>
      <x:c r="K370" s="9" t="n">
        <x:v>1</x:v>
      </x:c>
      <x:c r="L370" s="13" t="n">
        <x:f>SUMIFS('Payments'!$D$5:$D$3014,'Payments'!$B$5:$B$3014,A370)</x:f>
        <x:v>481.96000000000004</x:v>
      </x:c>
      <x:c r="M370" s="13" t="n">
        <x:f>G370-L370</x:f>
        <x:v>3619.9300000000003</x:v>
      </x:c>
      <x:c r="N370" s="9" t="str">
        <x:f>IF(H370=0,"0 Current",IF(H370&lt;=30,"1 1-30",IF(H370&lt;=60,"2 31-60",IF(H370&lt;=90,"3 61-90",IF(H370&lt;=120,"4 91-120","5 121+")))))</x:f>
        <x:v>4 91-120</x:v>
      </x:c>
      <x:c r="O370" s="9" t="n">
        <x:f>IF(J370&gt;0,1,0)</x:f>
        <x:v>1</x:v>
      </x:c>
    </x:row>
    <x:row r="371">
      <x:c r="A371" s="15" t="str">
        <x:v>367</x:v>
      </x:c>
      <x:c r="B371" s="9" t="str">
        <x:v>Taylor</x:v>
      </x:c>
      <x:c r="C371" s="9" t="str">
        <x:v>Personal Loan</x:v>
      </x:c>
      <x:c r="D371" s="9" t="str">
        <x:v>West</x:v>
      </x:c>
      <x:c r="E371" s="9" t="n">
        <x:v>528</x:v>
      </x:c>
      <x:c r="F371" s="11" t="n">
        <x:v>46025</x:v>
      </x:c>
      <x:c r="G371" s="13" t="n">
        <x:v>21463.14</x:v>
      </x:c>
      <x:c r="H371" s="9" t="n">
        <x:v>86</x:v>
      </x:c>
      <x:c r="I371" s="9" t="n">
        <x:v>6</x:v>
      </x:c>
      <x:c r="J371" s="9" t="n">
        <x:v>2</x:v>
      </x:c>
      <x:c r="K371" s="9" t="n">
        <x:v>1</x:v>
      </x:c>
      <x:c r="L371" s="13" t="n">
        <x:f>SUMIFS('Payments'!$D$5:$D$3014,'Payments'!$B$5:$B$3014,A371)</x:f>
        <x:v>2207.53</x:v>
      </x:c>
      <x:c r="M371" s="13" t="n">
        <x:f>G371-L371</x:f>
        <x:v>19255.61</x:v>
      </x:c>
      <x:c r="N371" s="9" t="str">
        <x:f>IF(H371=0,"0 Current",IF(H371&lt;=30,"1 1-30",IF(H371&lt;=60,"2 31-60",IF(H371&lt;=90,"3 61-90",IF(H371&lt;=120,"4 91-120","5 121+")))))</x:f>
        <x:v>3 61-90</x:v>
      </x:c>
      <x:c r="O371" s="9" t="n">
        <x:f>IF(J371&gt;0,1,0)</x:f>
        <x:v>1</x:v>
      </x:c>
    </x:row>
    <x:row r="372">
      <x:c r="A372" s="15" t="str">
        <x:v>368</x:v>
      </x:c>
      <x:c r="B372" s="9" t="str">
        <x:v>Morgan</x:v>
      </x:c>
      <x:c r="C372" s="9" t="str">
        <x:v>Medical</x:v>
      </x:c>
      <x:c r="D372" s="9" t="str">
        <x:v>Midwest</x:v>
      </x:c>
      <x:c r="E372" s="9" t="n">
        <x:v>552</x:v>
      </x:c>
      <x:c r="F372" s="11" t="n">
        <x:v>46169</x:v>
      </x:c>
      <x:c r="G372" s="13" t="n">
        <x:v>16894.94</x:v>
      </x:c>
      <x:c r="H372" s="9" t="n">
        <x:v>100</x:v>
      </x:c>
      <x:c r="I372" s="9" t="n">
        <x:v>8</x:v>
      </x:c>
      <x:c r="J372" s="9" t="n">
        <x:v>2</x:v>
      </x:c>
      <x:c r="K372" s="9" t="n">
        <x:v>0</x:v>
      </x:c>
      <x:c r="L372" s="13" t="n">
        <x:f>SUMIFS('Payments'!$D$5:$D$3014,'Payments'!$B$5:$B$3014,A372)</x:f>
        <x:v>0</x:v>
      </x:c>
      <x:c r="M372" s="13" t="n">
        <x:f>G372-L372</x:f>
        <x:v>16894.94</x:v>
      </x:c>
      <x:c r="N372" s="9" t="str">
        <x:f>IF(H372=0,"0 Current",IF(H372&lt;=30,"1 1-30",IF(H372&lt;=60,"2 31-60",IF(H372&lt;=90,"3 61-90",IF(H372&lt;=120,"4 91-120","5 121+")))))</x:f>
        <x:v>4 91-120</x:v>
      </x:c>
      <x:c r="O372" s="9" t="n">
        <x:f>IF(J372&gt;0,1,0)</x:f>
        <x:v>1</x:v>
      </x:c>
    </x:row>
    <x:row r="373">
      <x:c r="A373" s="15" t="str">
        <x:v>369</x:v>
      </x:c>
      <x:c r="B373" s="9" t="str">
        <x:v>Casey</x:v>
      </x:c>
      <x:c r="C373" s="9" t="str">
        <x:v>Medical</x:v>
      </x:c>
      <x:c r="D373" s="9" t="str">
        <x:v>Midwest</x:v>
      </x:c>
      <x:c r="E373" s="9" t="n">
        <x:v>563</x:v>
      </x:c>
      <x:c r="F373" s="11" t="n">
        <x:v>46121</x:v>
      </x:c>
      <x:c r="G373" s="13" t="n">
        <x:v>12404.17</x:v>
      </x:c>
      <x:c r="H373" s="9" t="n">
        <x:v>74</x:v>
      </x:c>
      <x:c r="I373" s="9" t="n">
        <x:v>6</x:v>
      </x:c>
      <x:c r="J373" s="9" t="n">
        <x:v>0</x:v>
      </x:c>
      <x:c r="K373" s="9" t="n">
        <x:v>0</x:v>
      </x:c>
      <x:c r="L373" s="13" t="n">
        <x:f>SUMIFS('Payments'!$D$5:$D$3014,'Payments'!$B$5:$B$3014,A373)</x:f>
        <x:v>2183.77</x:v>
      </x:c>
      <x:c r="M373" s="13" t="n">
        <x:f>G373-L373</x:f>
        <x:v>10220.4</x:v>
      </x:c>
      <x:c r="N373" s="9" t="str">
        <x:f>IF(H373=0,"0 Current",IF(H373&lt;=30,"1 1-30",IF(H373&lt;=60,"2 31-60",IF(H373&lt;=90,"3 61-90",IF(H373&lt;=120,"4 91-120","5 121+")))))</x:f>
        <x:v>3 61-90</x:v>
      </x:c>
      <x:c r="O373" s="9" t="n">
        <x:f>IF(J373&gt;0,1,0)</x:f>
        <x:v>0</x:v>
      </x:c>
    </x:row>
    <x:row r="374">
      <x:c r="A374" s="15" t="str">
        <x:v>370</x:v>
      </x:c>
      <x:c r="B374" s="9" t="str">
        <x:v>Riley</x:v>
      </x:c>
      <x:c r="C374" s="9" t="str">
        <x:v>Personal Loan</x:v>
      </x:c>
      <x:c r="D374" s="9" t="str">
        <x:v>Midwest</x:v>
      </x:c>
      <x:c r="E374" s="9" t="n">
        <x:v>704</x:v>
      </x:c>
      <x:c r="F374" s="11" t="n">
        <x:v>46144</x:v>
      </x:c>
      <x:c r="G374" s="13" t="n">
        <x:v>7159.76</x:v>
      </x:c>
      <x:c r="H374" s="9" t="n">
        <x:v>150</x:v>
      </x:c>
      <x:c r="I374" s="9" t="n">
        <x:v>7</x:v>
      </x:c>
      <x:c r="J374" s="9" t="n">
        <x:v>1</x:v>
      </x:c>
      <x:c r="K374" s="9" t="n">
        <x:v>1</x:v>
      </x:c>
      <x:c r="L374" s="13" t="n">
        <x:f>SUMIFS('Payments'!$D$5:$D$3014,'Payments'!$B$5:$B$3014,A374)</x:f>
        <x:v>668.6</x:v>
      </x:c>
      <x:c r="M374" s="13" t="n">
        <x:f>G374-L374</x:f>
        <x:v>6491.16</x:v>
      </x:c>
      <x:c r="N374" s="9" t="str">
        <x:f>IF(H374=0,"0 Current",IF(H374&lt;=30,"1 1-30",IF(H374&lt;=60,"2 31-60",IF(H374&lt;=90,"3 61-90",IF(H374&lt;=120,"4 91-120","5 121+")))))</x:f>
        <x:v>5 121+</x:v>
      </x:c>
      <x:c r="O374" s="9" t="n">
        <x:f>IF(J374&gt;0,1,0)</x:f>
        <x:v>1</x:v>
      </x:c>
    </x:row>
    <x:row r="375">
      <x:c r="A375" s="15" t="str">
        <x:v>371</x:v>
      </x:c>
      <x:c r="B375" s="9" t="str">
        <x:v>Taylor</x:v>
      </x:c>
      <x:c r="C375" s="9" t="str">
        <x:v>Auto</x:v>
      </x:c>
      <x:c r="D375" s="9" t="str">
        <x:v>Northeast</x:v>
      </x:c>
      <x:c r="E375" s="9" t="n">
        <x:v>684</x:v>
      </x:c>
      <x:c r="F375" s="11" t="n">
        <x:v>46046</x:v>
      </x:c>
      <x:c r="G375" s="13" t="n">
        <x:v>12575.89</x:v>
      </x:c>
      <x:c r="H375" s="9" t="n">
        <x:v>88</x:v>
      </x:c>
      <x:c r="I375" s="9" t="n">
        <x:v>3</x:v>
      </x:c>
      <x:c r="J375" s="9" t="n">
        <x:v>2</x:v>
      </x:c>
      <x:c r="K375" s="9" t="n">
        <x:v>0</x:v>
      </x:c>
      <x:c r="L375" s="13" t="n">
        <x:f>SUMIFS('Payments'!$D$5:$D$3014,'Payments'!$B$5:$B$3014,A375)</x:f>
        <x:v>1504.29</x:v>
      </x:c>
      <x:c r="M375" s="13" t="n">
        <x:f>G375-L375</x:f>
        <x:v>11071.599999999999</x:v>
      </x:c>
      <x:c r="N375" s="9" t="str">
        <x:f>IF(H375=0,"0 Current",IF(H375&lt;=30,"1 1-30",IF(H375&lt;=60,"2 31-60",IF(H375&lt;=90,"3 61-90",IF(H375&lt;=120,"4 91-120","5 121+")))))</x:f>
        <x:v>3 61-90</x:v>
      </x:c>
      <x:c r="O375" s="9" t="n">
        <x:f>IF(J375&gt;0,1,0)</x:f>
        <x:v>1</x:v>
      </x:c>
    </x:row>
    <x:row r="376">
      <x:c r="A376" s="15" t="str">
        <x:v>372</x:v>
      </x:c>
      <x:c r="B376" s="9" t="str">
        <x:v>Taylor</x:v>
      </x:c>
      <x:c r="C376" s="9" t="str">
        <x:v>Credit Card</x:v>
      </x:c>
      <x:c r="D376" s="9" t="str">
        <x:v>South</x:v>
      </x:c>
      <x:c r="E376" s="9" t="n">
        <x:v>463</x:v>
      </x:c>
      <x:c r="F376" s="11" t="n">
        <x:v>46047</x:v>
      </x:c>
      <x:c r="G376" s="13" t="n">
        <x:v>17006.73</x:v>
      </x:c>
      <x:c r="H376" s="9" t="n">
        <x:v>61</x:v>
      </x:c>
      <x:c r="I376" s="9" t="n">
        <x:v>4</x:v>
      </x:c>
      <x:c r="J376" s="9" t="n">
        <x:v>3</x:v>
      </x:c>
      <x:c r="K376" s="9" t="n">
        <x:v>1</x:v>
      </x:c>
      <x:c r="L376" s="13" t="n">
        <x:f>SUMIFS('Payments'!$D$5:$D$3014,'Payments'!$B$5:$B$3014,A376)</x:f>
        <x:v>727.68</x:v>
      </x:c>
      <x:c r="M376" s="13" t="n">
        <x:f>G376-L376</x:f>
        <x:v>16279.05</x:v>
      </x:c>
      <x:c r="N376" s="9" t="str">
        <x:f>IF(H376=0,"0 Current",IF(H376&lt;=30,"1 1-30",IF(H376&lt;=60,"2 31-60",IF(H376&lt;=90,"3 61-90",IF(H376&lt;=120,"4 91-120","5 121+")))))</x:f>
        <x:v>3 61-90</x:v>
      </x:c>
      <x:c r="O376" s="9" t="n">
        <x:f>IF(J376&gt;0,1,0)</x:f>
        <x:v>1</x:v>
      </x:c>
    </x:row>
    <x:row r="377">
      <x:c r="A377" s="15" t="str">
        <x:v>373</x:v>
      </x:c>
      <x:c r="B377" s="9" t="str">
        <x:v>Alex</x:v>
      </x:c>
      <x:c r="C377" s="9" t="str">
        <x:v>Personal Loan</x:v>
      </x:c>
      <x:c r="D377" s="9" t="str">
        <x:v>South</x:v>
      </x:c>
      <x:c r="E377" s="9" t="n">
        <x:v>788</x:v>
      </x:c>
      <x:c r="F377" s="11" t="n">
        <x:v>46117</x:v>
      </x:c>
      <x:c r="G377" s="13" t="n">
        <x:v>3710.05</x:v>
      </x:c>
      <x:c r="H377" s="9" t="n">
        <x:v>104</x:v>
      </x:c>
      <x:c r="I377" s="9" t="n">
        <x:v>0</x:v>
      </x:c>
      <x:c r="J377" s="9" t="n">
        <x:v>0</x:v>
      </x:c>
      <x:c r="K377" s="9" t="n">
        <x:v>0</x:v>
      </x:c>
      <x:c r="L377" s="13" t="n">
        <x:f>SUMIFS('Payments'!$D$5:$D$3014,'Payments'!$B$5:$B$3014,A377)</x:f>
        <x:v>303.17</x:v>
      </x:c>
      <x:c r="M377" s="13" t="n">
        <x:f>G377-L377</x:f>
        <x:v>3406.88</x:v>
      </x:c>
      <x:c r="N377" s="9" t="str">
        <x:f>IF(H377=0,"0 Current",IF(H377&lt;=30,"1 1-30",IF(H377&lt;=60,"2 31-60",IF(H377&lt;=90,"3 61-90",IF(H377&lt;=120,"4 91-120","5 121+")))))</x:f>
        <x:v>4 91-120</x:v>
      </x:c>
      <x:c r="O377" s="9" t="n">
        <x:f>IF(J377&gt;0,1,0)</x:f>
        <x:v>0</x:v>
      </x:c>
    </x:row>
    <x:row r="378">
      <x:c r="A378" s="15" t="str">
        <x:v>374</x:v>
      </x:c>
      <x:c r="B378" s="9" t="str">
        <x:v>Morgan</x:v>
      </x:c>
      <x:c r="C378" s="9" t="str">
        <x:v>Personal Loan</x:v>
      </x:c>
      <x:c r="D378" s="9" t="str">
        <x:v>West</x:v>
      </x:c>
      <x:c r="E378" s="9" t="n">
        <x:v>670</x:v>
      </x:c>
      <x:c r="F378" s="11" t="n">
        <x:v>46041</x:v>
      </x:c>
      <x:c r="G378" s="13" t="n">
        <x:v>19873.65</x:v>
      </x:c>
      <x:c r="H378" s="9" t="n">
        <x:v>190</x:v>
      </x:c>
      <x:c r="I378" s="9" t="n">
        <x:v>1</x:v>
      </x:c>
      <x:c r="J378" s="9" t="n">
        <x:v>0</x:v>
      </x:c>
      <x:c r="K378" s="9" t="n">
        <x:v>0</x:v>
      </x:c>
      <x:c r="L378" s="13" t="n">
        <x:f>SUMIFS('Payments'!$D$5:$D$3014,'Payments'!$B$5:$B$3014,A378)</x:f>
        <x:v>3341.3399999999997</x:v>
      </x:c>
      <x:c r="M378" s="13" t="n">
        <x:f>G378-L378</x:f>
        <x:v>16532.31</x:v>
      </x:c>
      <x:c r="N378" s="9" t="str">
        <x:f>IF(H378=0,"0 Current",IF(H378&lt;=30,"1 1-30",IF(H378&lt;=60,"2 31-60",IF(H378&lt;=90,"3 61-90",IF(H378&lt;=120,"4 91-120","5 121+")))))</x:f>
        <x:v>5 121+</x:v>
      </x:c>
      <x:c r="O378" s="9" t="n">
        <x:f>IF(J378&gt;0,1,0)</x:f>
        <x:v>0</x:v>
      </x:c>
    </x:row>
    <x:row r="379">
      <x:c r="A379" s="15" t="str">
        <x:v>375</x:v>
      </x:c>
      <x:c r="B379" s="9" t="str">
        <x:v>Morgan</x:v>
      </x:c>
      <x:c r="C379" s="9" t="str">
        <x:v>Credit Card</x:v>
      </x:c>
      <x:c r="D379" s="9" t="str">
        <x:v>South</x:v>
      </x:c>
      <x:c r="E379" s="9" t="n">
        <x:v>773</x:v>
      </x:c>
      <x:c r="F379" s="11" t="n">
        <x:v>46141</x:v>
      </x:c>
      <x:c r="G379" s="13" t="n">
        <x:v>20832.27</x:v>
      </x:c>
      <x:c r="H379" s="9" t="n">
        <x:v>21</x:v>
      </x:c>
      <x:c r="I379" s="9" t="n">
        <x:v>4</x:v>
      </x:c>
      <x:c r="J379" s="9" t="n">
        <x:v>0</x:v>
      </x:c>
      <x:c r="K379" s="9" t="n">
        <x:v>0</x:v>
      </x:c>
      <x:c r="L379" s="13" t="n">
        <x:f>SUMIFS('Payments'!$D$5:$D$3014,'Payments'!$B$5:$B$3014,A379)</x:f>
        <x:v>6014.55</x:v>
      </x:c>
      <x:c r="M379" s="13" t="n">
        <x:f>G379-L379</x:f>
        <x:v>14817.720000000001</x:v>
      </x:c>
      <x:c r="N379" s="9" t="str">
        <x:f>IF(H379=0,"0 Current",IF(H379&lt;=30,"1 1-30",IF(H379&lt;=60,"2 31-60",IF(H379&lt;=90,"3 61-90",IF(H379&lt;=120,"4 91-120","5 121+")))))</x:f>
        <x:v>1 1-30</x:v>
      </x:c>
      <x:c r="O379" s="9" t="n">
        <x:f>IF(J379&gt;0,1,0)</x:f>
        <x:v>0</x:v>
      </x:c>
    </x:row>
    <x:row r="380">
      <x:c r="A380" s="15" t="str">
        <x:v>376</x:v>
      </x:c>
      <x:c r="B380" s="9" t="str">
        <x:v>Alex</x:v>
      </x:c>
      <x:c r="C380" s="9" t="str">
        <x:v>Credit Card</x:v>
      </x:c>
      <x:c r="D380" s="9" t="str">
        <x:v>West</x:v>
      </x:c>
      <x:c r="E380" s="9" t="n">
        <x:v>750</x:v>
      </x:c>
      <x:c r="F380" s="11" t="n">
        <x:v>46123</x:v>
      </x:c>
      <x:c r="G380" s="13" t="n">
        <x:v>7565.44</x:v>
      </x:c>
      <x:c r="H380" s="9" t="n">
        <x:v>173</x:v>
      </x:c>
      <x:c r="I380" s="9" t="n">
        <x:v>3</x:v>
      </x:c>
      <x:c r="J380" s="9" t="n">
        <x:v>2</x:v>
      </x:c>
      <x:c r="K380" s="9" t="n">
        <x:v>0</x:v>
      </x:c>
      <x:c r="L380" s="13" t="n">
        <x:f>SUMIFS('Payments'!$D$5:$D$3014,'Payments'!$B$5:$B$3014,A380)</x:f>
        <x:v>690.54</x:v>
      </x:c>
      <x:c r="M380" s="13" t="n">
        <x:f>G380-L380</x:f>
        <x:v>6874.9</x:v>
      </x:c>
      <x:c r="N380" s="9" t="str">
        <x:f>IF(H380=0,"0 Current",IF(H380&lt;=30,"1 1-30",IF(H380&lt;=60,"2 31-60",IF(H380&lt;=90,"3 61-90",IF(H380&lt;=120,"4 91-120","5 121+")))))</x:f>
        <x:v>5 121+</x:v>
      </x:c>
      <x:c r="O380" s="9" t="n">
        <x:f>IF(J380&gt;0,1,0)</x:f>
        <x:v>1</x:v>
      </x:c>
    </x:row>
    <x:row r="381">
      <x:c r="A381" s="15" t="str">
        <x:v>377</x:v>
      </x:c>
      <x:c r="B381" s="9" t="str">
        <x:v>Morgan</x:v>
      </x:c>
      <x:c r="C381" s="9" t="str">
        <x:v>Personal Loan</x:v>
      </x:c>
      <x:c r="D381" s="9" t="str">
        <x:v>West</x:v>
      </x:c>
      <x:c r="E381" s="9" t="n">
        <x:v>649</x:v>
      </x:c>
      <x:c r="F381" s="11" t="n">
        <x:v>46156</x:v>
      </x:c>
      <x:c r="G381" s="13" t="n">
        <x:v>4811.46</x:v>
      </x:c>
      <x:c r="H381" s="9" t="n">
        <x:v>113</x:v>
      </x:c>
      <x:c r="I381" s="9" t="n">
        <x:v>0</x:v>
      </x:c>
      <x:c r="J381" s="9" t="n">
        <x:v>0</x:v>
      </x:c>
      <x:c r="K381" s="9" t="n">
        <x:v>0</x:v>
      </x:c>
      <x:c r="L381" s="13" t="n">
        <x:f>SUMIFS('Payments'!$D$5:$D$3014,'Payments'!$B$5:$B$3014,A381)</x:f>
        <x:v>0</x:v>
      </x:c>
      <x:c r="M381" s="13" t="n">
        <x:f>G381-L381</x:f>
        <x:v>4811.46</x:v>
      </x:c>
      <x:c r="N381" s="9" t="str">
        <x:f>IF(H381=0,"0 Current",IF(H381&lt;=30,"1 1-30",IF(H381&lt;=60,"2 31-60",IF(H381&lt;=90,"3 61-90",IF(H381&lt;=120,"4 91-120","5 121+")))))</x:f>
        <x:v>4 91-120</x:v>
      </x:c>
      <x:c r="O381" s="9" t="n">
        <x:f>IF(J381&gt;0,1,0)</x:f>
        <x:v>0</x:v>
      </x:c>
    </x:row>
    <x:row r="382">
      <x:c r="A382" s="15" t="str">
        <x:v>378</x:v>
      </x:c>
      <x:c r="B382" s="9" t="str">
        <x:v>Casey</x:v>
      </x:c>
      <x:c r="C382" s="9" t="str">
        <x:v>Medical</x:v>
      </x:c>
      <x:c r="D382" s="9" t="str">
        <x:v>Northeast</x:v>
      </x:c>
      <x:c r="E382" s="9" t="n">
        <x:v>467</x:v>
      </x:c>
      <x:c r="F382" s="11" t="n">
        <x:v>46035</x:v>
      </x:c>
      <x:c r="G382" s="13" t="n">
        <x:v>16329.11</x:v>
      </x:c>
      <x:c r="H382" s="9" t="n">
        <x:v>95</x:v>
      </x:c>
      <x:c r="I382" s="9" t="n">
        <x:v>0</x:v>
      </x:c>
      <x:c r="J382" s="9" t="n">
        <x:v>0</x:v>
      </x:c>
      <x:c r="K382" s="9" t="n">
        <x:v>0</x:v>
      </x:c>
      <x:c r="L382" s="13" t="n">
        <x:f>SUMIFS('Payments'!$D$5:$D$3014,'Payments'!$B$5:$B$3014,A382)</x:f>
        <x:v>534.25</x:v>
      </x:c>
      <x:c r="M382" s="13" t="n">
        <x:f>G382-L382</x:f>
        <x:v>15794.86</x:v>
      </x:c>
      <x:c r="N382" s="9" t="str">
        <x:f>IF(H382=0,"0 Current",IF(H382&lt;=30,"1 1-30",IF(H382&lt;=60,"2 31-60",IF(H382&lt;=90,"3 61-90",IF(H382&lt;=120,"4 91-120","5 121+")))))</x:f>
        <x:v>4 91-120</x:v>
      </x:c>
      <x:c r="O382" s="9" t="n">
        <x:f>IF(J382&gt;0,1,0)</x:f>
        <x:v>0</x:v>
      </x:c>
    </x:row>
    <x:row r="383">
      <x:c r="A383" s="15" t="str">
        <x:v>379</x:v>
      </x:c>
      <x:c r="B383" s="9" t="str">
        <x:v>Alex</x:v>
      </x:c>
      <x:c r="C383" s="9" t="str">
        <x:v>Personal Loan</x:v>
      </x:c>
      <x:c r="D383" s="9" t="str">
        <x:v>Midwest</x:v>
      </x:c>
      <x:c r="E383" s="9" t="n">
        <x:v>533</x:v>
      </x:c>
      <x:c r="F383" s="11" t="n">
        <x:v>46130</x:v>
      </x:c>
      <x:c r="G383" s="13" t="n">
        <x:v>1672.06</x:v>
      </x:c>
      <x:c r="H383" s="9" t="n">
        <x:v>210</x:v>
      </x:c>
      <x:c r="I383" s="9" t="n">
        <x:v>1</x:v>
      </x:c>
      <x:c r="J383" s="9" t="n">
        <x:v>1</x:v>
      </x:c>
      <x:c r="K383" s="9" t="n">
        <x:v>0</x:v>
      </x:c>
      <x:c r="L383" s="13" t="n">
        <x:f>SUMIFS('Payments'!$D$5:$D$3014,'Payments'!$B$5:$B$3014,A383)</x:f>
        <x:v>30.7</x:v>
      </x:c>
      <x:c r="M383" s="13" t="n">
        <x:f>G383-L383</x:f>
        <x:v>1641.36</x:v>
      </x:c>
      <x:c r="N383" s="9" t="str">
        <x:f>IF(H383=0,"0 Current",IF(H383&lt;=30,"1 1-30",IF(H383&lt;=60,"2 31-60",IF(H383&lt;=90,"3 61-90",IF(H383&lt;=120,"4 91-120","5 121+")))))</x:f>
        <x:v>5 121+</x:v>
      </x:c>
      <x:c r="O383" s="9" t="n">
        <x:f>IF(J383&gt;0,1,0)</x:f>
        <x:v>1</x:v>
      </x:c>
    </x:row>
    <x:row r="384">
      <x:c r="A384" s="15" t="str">
        <x:v>380</x:v>
      </x:c>
      <x:c r="B384" s="9" t="str">
        <x:v>Riley</x:v>
      </x:c>
      <x:c r="C384" s="9" t="str">
        <x:v>Credit Card</x:v>
      </x:c>
      <x:c r="D384" s="9" t="str">
        <x:v>West</x:v>
      </x:c>
      <x:c r="E384" s="9" t="n">
        <x:v>774</x:v>
      </x:c>
      <x:c r="F384" s="11" t="n">
        <x:v>46034</x:v>
      </x:c>
      <x:c r="G384" s="13" t="n">
        <x:v>17934.88</x:v>
      </x:c>
      <x:c r="H384" s="9" t="n">
        <x:v>208</x:v>
      </x:c>
      <x:c r="I384" s="9" t="n">
        <x:v>3</x:v>
      </x:c>
      <x:c r="J384" s="9" t="n">
        <x:v>0</x:v>
      </x:c>
      <x:c r="K384" s="9" t="n">
        <x:v>0</x:v>
      </x:c>
      <x:c r="L384" s="13" t="n">
        <x:f>SUMIFS('Payments'!$D$5:$D$3014,'Payments'!$B$5:$B$3014,A384)</x:f>
        <x:v>2508.96</x:v>
      </x:c>
      <x:c r="M384" s="13" t="n">
        <x:f>G384-L384</x:f>
        <x:v>15425.920000000002</x:v>
      </x:c>
      <x:c r="N384" s="9" t="str">
        <x:f>IF(H384=0,"0 Current",IF(H384&lt;=30,"1 1-30",IF(H384&lt;=60,"2 31-60",IF(H384&lt;=90,"3 61-90",IF(H384&lt;=120,"4 91-120","5 121+")))))</x:f>
        <x:v>5 121+</x:v>
      </x:c>
      <x:c r="O384" s="9" t="n">
        <x:f>IF(J384&gt;0,1,0)</x:f>
        <x:v>0</x:v>
      </x:c>
    </x:row>
    <x:row r="385">
      <x:c r="A385" s="15" t="str">
        <x:v>381</x:v>
      </x:c>
      <x:c r="B385" s="9" t="str">
        <x:v>Alex</x:v>
      </x:c>
      <x:c r="C385" s="9" t="str">
        <x:v>Auto</x:v>
      </x:c>
      <x:c r="D385" s="9" t="str">
        <x:v>South</x:v>
      </x:c>
      <x:c r="E385" s="9" t="n">
        <x:v>576</x:v>
      </x:c>
      <x:c r="F385" s="11" t="n">
        <x:v>46105</x:v>
      </x:c>
      <x:c r="G385" s="13" t="n">
        <x:v>7782.21</x:v>
      </x:c>
      <x:c r="H385" s="9" t="n">
        <x:v>167</x:v>
      </x:c>
      <x:c r="I385" s="9" t="n">
        <x:v>3</x:v>
      </x:c>
      <x:c r="J385" s="9" t="n">
        <x:v>2</x:v>
      </x:c>
      <x:c r="K385" s="9" t="n">
        <x:v>0</x:v>
      </x:c>
      <x:c r="L385" s="13" t="n">
        <x:f>SUMIFS('Payments'!$D$5:$D$3014,'Payments'!$B$5:$B$3014,A385)</x:f>
        <x:v>314.57</x:v>
      </x:c>
      <x:c r="M385" s="13" t="n">
        <x:f>G385-L385</x:f>
        <x:v>7467.64</x:v>
      </x:c>
      <x:c r="N385" s="9" t="str">
        <x:f>IF(H385=0,"0 Current",IF(H385&lt;=30,"1 1-30",IF(H385&lt;=60,"2 31-60",IF(H385&lt;=90,"3 61-90",IF(H385&lt;=120,"4 91-120","5 121+")))))</x:f>
        <x:v>5 121+</x:v>
      </x:c>
      <x:c r="O385" s="9" t="n">
        <x:f>IF(J385&gt;0,1,0)</x:f>
        <x:v>1</x:v>
      </x:c>
    </x:row>
    <x:row r="386">
      <x:c r="A386" s="15" t="str">
        <x:v>382</x:v>
      </x:c>
      <x:c r="B386" s="9" t="str">
        <x:v>Jordan</x:v>
      </x:c>
      <x:c r="C386" s="9" t="str">
        <x:v>Auto</x:v>
      </x:c>
      <x:c r="D386" s="9" t="str">
        <x:v>Midwest</x:v>
      </x:c>
      <x:c r="E386" s="9" t="n">
        <x:v>662</x:v>
      </x:c>
      <x:c r="F386" s="11" t="n">
        <x:v>46078</x:v>
      </x:c>
      <x:c r="G386" s="13" t="n">
        <x:v>17742.65</x:v>
      </x:c>
      <x:c r="H386" s="9" t="n">
        <x:v>26</x:v>
      </x:c>
      <x:c r="I386" s="9" t="n">
        <x:v>5</x:v>
      </x:c>
      <x:c r="J386" s="9" t="n">
        <x:v>4</x:v>
      </x:c>
      <x:c r="K386" s="9" t="n">
        <x:v>0</x:v>
      </x:c>
      <x:c r="L386" s="13" t="n">
        <x:f>SUMIFS('Payments'!$D$5:$D$3014,'Payments'!$B$5:$B$3014,A386)</x:f>
        <x:v>4515.169999999999</x:v>
      </x:c>
      <x:c r="M386" s="13" t="n">
        <x:f>G386-L386</x:f>
        <x:v>13227.480000000003</x:v>
      </x:c>
      <x:c r="N386" s="9" t="str">
        <x:f>IF(H386=0,"0 Current",IF(H386&lt;=30,"1 1-30",IF(H386&lt;=60,"2 31-60",IF(H386&lt;=90,"3 61-90",IF(H386&lt;=120,"4 91-120","5 121+")))))</x:f>
        <x:v>1 1-30</x:v>
      </x:c>
      <x:c r="O386" s="9" t="n">
        <x:f>IF(J386&gt;0,1,0)</x:f>
        <x:v>1</x:v>
      </x:c>
    </x:row>
    <x:row r="387">
      <x:c r="A387" s="15" t="str">
        <x:v>383</x:v>
      </x:c>
      <x:c r="B387" s="9" t="str">
        <x:v>Alex</x:v>
      </x:c>
      <x:c r="C387" s="9" t="str">
        <x:v>Personal Loan</x:v>
      </x:c>
      <x:c r="D387" s="9" t="str">
        <x:v>Midwest</x:v>
      </x:c>
      <x:c r="E387" s="9" t="n">
        <x:v>637</x:v>
      </x:c>
      <x:c r="F387" s="11" t="n">
        <x:v>46104</x:v>
      </x:c>
      <x:c r="G387" s="13" t="n">
        <x:v>20722.01</x:v>
      </x:c>
      <x:c r="H387" s="9" t="n">
        <x:v>4</x:v>
      </x:c>
      <x:c r="I387" s="9" t="n">
        <x:v>8</x:v>
      </x:c>
      <x:c r="J387" s="9" t="n">
        <x:v>3</x:v>
      </x:c>
      <x:c r="K387" s="9" t="n">
        <x:v>0</x:v>
      </x:c>
      <x:c r="L387" s="13" t="n">
        <x:f>SUMIFS('Payments'!$D$5:$D$3014,'Payments'!$B$5:$B$3014,A387)</x:f>
        <x:v>6892.05</x:v>
      </x:c>
      <x:c r="M387" s="13" t="n">
        <x:f>G387-L387</x:f>
        <x:v>13829.96</x:v>
      </x:c>
      <x:c r="N387" s="9" t="str">
        <x:f>IF(H387=0,"0 Current",IF(H387&lt;=30,"1 1-30",IF(H387&lt;=60,"2 31-60",IF(H387&lt;=90,"3 61-90",IF(H387&lt;=120,"4 91-120","5 121+")))))</x:f>
        <x:v>1 1-30</x:v>
      </x:c>
      <x:c r="O387" s="9" t="n">
        <x:f>IF(J387&gt;0,1,0)</x:f>
        <x:v>1</x:v>
      </x:c>
    </x:row>
    <x:row r="388">
      <x:c r="A388" s="15" t="str">
        <x:v>384</x:v>
      </x:c>
      <x:c r="B388" s="9" t="str">
        <x:v>Casey</x:v>
      </x:c>
      <x:c r="C388" s="9" t="str">
        <x:v>Credit Card</x:v>
      </x:c>
      <x:c r="D388" s="9" t="str">
        <x:v>Midwest</x:v>
      </x:c>
      <x:c r="E388" s="9" t="n">
        <x:v>600</x:v>
      </x:c>
      <x:c r="F388" s="11" t="n">
        <x:v>46061</x:v>
      </x:c>
      <x:c r="G388" s="13" t="n">
        <x:v>16260.01</x:v>
      </x:c>
      <x:c r="H388" s="9" t="n">
        <x:v>60</x:v>
      </x:c>
      <x:c r="I388" s="9" t="n">
        <x:v>4</x:v>
      </x:c>
      <x:c r="J388" s="9" t="n">
        <x:v>1</x:v>
      </x:c>
      <x:c r="K388" s="9" t="n">
        <x:v>0</x:v>
      </x:c>
      <x:c r="L388" s="13" t="n">
        <x:f>SUMIFS('Payments'!$D$5:$D$3014,'Payments'!$B$5:$B$3014,A388)</x:f>
        <x:v>3753</x:v>
      </x:c>
      <x:c r="M388" s="13" t="n">
        <x:f>G388-L388</x:f>
        <x:v>12507.01</x:v>
      </x:c>
      <x:c r="N388" s="9" t="str">
        <x:f>IF(H388=0,"0 Current",IF(H388&lt;=30,"1 1-30",IF(H388&lt;=60,"2 31-60",IF(H388&lt;=90,"3 61-90",IF(H388&lt;=120,"4 91-120","5 121+")))))</x:f>
        <x:v>2 31-60</x:v>
      </x:c>
      <x:c r="O388" s="9" t="n">
        <x:f>IF(J388&gt;0,1,0)</x:f>
        <x:v>1</x:v>
      </x:c>
    </x:row>
    <x:row r="389">
      <x:c r="A389" s="15" t="str">
        <x:v>385</x:v>
      </x:c>
      <x:c r="B389" s="9" t="str">
        <x:v>Riley</x:v>
      </x:c>
      <x:c r="C389" s="9" t="str">
        <x:v>Personal Loan</x:v>
      </x:c>
      <x:c r="D389" s="9" t="str">
        <x:v>West</x:v>
      </x:c>
      <x:c r="E389" s="9" t="n">
        <x:v>558</x:v>
      </x:c>
      <x:c r="F389" s="11" t="n">
        <x:v>46079</x:v>
      </x:c>
      <x:c r="G389" s="13" t="n">
        <x:v>16500.67</x:v>
      </x:c>
      <x:c r="H389" s="9" t="n">
        <x:v>46</x:v>
      </x:c>
      <x:c r="I389" s="9" t="n">
        <x:v>3</x:v>
      </x:c>
      <x:c r="J389" s="9" t="n">
        <x:v>2</x:v>
      </x:c>
      <x:c r="K389" s="9" t="n">
        <x:v>1</x:v>
      </x:c>
      <x:c r="L389" s="13" t="n">
        <x:f>SUMIFS('Payments'!$D$5:$D$3014,'Payments'!$B$5:$B$3014,A389)</x:f>
        <x:v>3139.12</x:v>
      </x:c>
      <x:c r="M389" s="13" t="n">
        <x:f>G389-L389</x:f>
        <x:v>13361.55</x:v>
      </x:c>
      <x:c r="N389" s="9" t="str">
        <x:f>IF(H389=0,"0 Current",IF(H389&lt;=30,"1 1-30",IF(H389&lt;=60,"2 31-60",IF(H389&lt;=90,"3 61-90",IF(H389&lt;=120,"4 91-120","5 121+")))))</x:f>
        <x:v>2 31-60</x:v>
      </x:c>
      <x:c r="O389" s="9" t="n">
        <x:f>IF(J389&gt;0,1,0)</x:f>
        <x:v>1</x:v>
      </x:c>
    </x:row>
    <x:row r="390">
      <x:c r="A390" s="15" t="str">
        <x:v>386</x:v>
      </x:c>
      <x:c r="B390" s="9" t="str">
        <x:v>Casey</x:v>
      </x:c>
      <x:c r="C390" s="9" t="str">
        <x:v>Credit Card</x:v>
      </x:c>
      <x:c r="D390" s="9" t="str">
        <x:v>Midwest</x:v>
      </x:c>
      <x:c r="E390" s="9" t="n">
        <x:v>548</x:v>
      </x:c>
      <x:c r="F390" s="11" t="n">
        <x:v>46163</x:v>
      </x:c>
      <x:c r="G390" s="13" t="n">
        <x:v>9072.03</x:v>
      </x:c>
      <x:c r="H390" s="9" t="n">
        <x:v>109</x:v>
      </x:c>
      <x:c r="I390" s="9" t="n">
        <x:v>2</x:v>
      </x:c>
      <x:c r="J390" s="9" t="n">
        <x:v>0</x:v>
      </x:c>
      <x:c r="K390" s="9" t="n">
        <x:v>0</x:v>
      </x:c>
      <x:c r="L390" s="13" t="n">
        <x:f>SUMIFS('Payments'!$D$5:$D$3014,'Payments'!$B$5:$B$3014,A390)</x:f>
        <x:v>1705.17</x:v>
      </x:c>
      <x:c r="M390" s="13" t="n">
        <x:f>G390-L390</x:f>
        <x:v>7366.860000000001</x:v>
      </x:c>
      <x:c r="N390" s="9" t="str">
        <x:f>IF(H390=0,"0 Current",IF(H390&lt;=30,"1 1-30",IF(H390&lt;=60,"2 31-60",IF(H390&lt;=90,"3 61-90",IF(H390&lt;=120,"4 91-120","5 121+")))))</x:f>
        <x:v>4 91-120</x:v>
      </x:c>
      <x:c r="O390" s="9" t="n">
        <x:f>IF(J390&gt;0,1,0)</x:f>
        <x:v>0</x:v>
      </x:c>
    </x:row>
    <x:row r="391">
      <x:c r="A391" s="15" t="str">
        <x:v>387</x:v>
      </x:c>
      <x:c r="B391" s="9" t="str">
        <x:v>Morgan</x:v>
      </x:c>
      <x:c r="C391" s="9" t="str">
        <x:v>Credit Card</x:v>
      </x:c>
      <x:c r="D391" s="9" t="str">
        <x:v>South</x:v>
      </x:c>
      <x:c r="E391" s="9" t="n">
        <x:v>481</x:v>
      </x:c>
      <x:c r="F391" s="11" t="n">
        <x:v>46074</x:v>
      </x:c>
      <x:c r="G391" s="13" t="n">
        <x:v>11902.66</x:v>
      </x:c>
      <x:c r="H391" s="9" t="n">
        <x:v>92</x:v>
      </x:c>
      <x:c r="I391" s="9" t="n">
        <x:v>6</x:v>
      </x:c>
      <x:c r="J391" s="9" t="n">
        <x:v>2</x:v>
      </x:c>
      <x:c r="K391" s="9" t="n">
        <x:v>0</x:v>
      </x:c>
      <x:c r="L391" s="13" t="n">
        <x:f>SUMIFS('Payments'!$D$5:$D$3014,'Payments'!$B$5:$B$3014,A391)</x:f>
        <x:v>3362.17</x:v>
      </x:c>
      <x:c r="M391" s="13" t="n">
        <x:f>G391-L391</x:f>
        <x:v>8540.49</x:v>
      </x:c>
      <x:c r="N391" s="9" t="str">
        <x:f>IF(H391=0,"0 Current",IF(H391&lt;=30,"1 1-30",IF(H391&lt;=60,"2 31-60",IF(H391&lt;=90,"3 61-90",IF(H391&lt;=120,"4 91-120","5 121+")))))</x:f>
        <x:v>4 91-120</x:v>
      </x:c>
      <x:c r="O391" s="9" t="n">
        <x:f>IF(J391&gt;0,1,0)</x:f>
        <x:v>1</x:v>
      </x:c>
    </x:row>
    <x:row r="392">
      <x:c r="A392" s="15" t="str">
        <x:v>388</x:v>
      </x:c>
      <x:c r="B392" s="9" t="str">
        <x:v>Morgan</x:v>
      </x:c>
      <x:c r="C392" s="9" t="str">
        <x:v>Auto</x:v>
      </x:c>
      <x:c r="D392" s="9" t="str">
        <x:v>South</x:v>
      </x:c>
      <x:c r="E392" s="9" t="n">
        <x:v>581</x:v>
      </x:c>
      <x:c r="F392" s="11" t="n">
        <x:v>46067</x:v>
      </x:c>
      <x:c r="G392" s="13" t="n">
        <x:v>11291.59</x:v>
      </x:c>
      <x:c r="H392" s="9" t="n">
        <x:v>78</x:v>
      </x:c>
      <x:c r="I392" s="9" t="n">
        <x:v>7</x:v>
      </x:c>
      <x:c r="J392" s="9" t="n">
        <x:v>3</x:v>
      </x:c>
      <x:c r="K392" s="9" t="n">
        <x:v>1</x:v>
      </x:c>
      <x:c r="L392" s="13" t="n">
        <x:f>SUMIFS('Payments'!$D$5:$D$3014,'Payments'!$B$5:$B$3014,A392)</x:f>
        <x:v>2906.5</x:v>
      </x:c>
      <x:c r="M392" s="13" t="n">
        <x:f>G392-L392</x:f>
        <x:v>8385.09</x:v>
      </x:c>
      <x:c r="N392" s="9" t="str">
        <x:f>IF(H392=0,"0 Current",IF(H392&lt;=30,"1 1-30",IF(H392&lt;=60,"2 31-60",IF(H392&lt;=90,"3 61-90",IF(H392&lt;=120,"4 91-120","5 121+")))))</x:f>
        <x:v>3 61-90</x:v>
      </x:c>
      <x:c r="O392" s="9" t="n">
        <x:f>IF(J392&gt;0,1,0)</x:f>
        <x:v>1</x:v>
      </x:c>
    </x:row>
    <x:row r="393">
      <x:c r="A393" s="15" t="str">
        <x:v>389</x:v>
      </x:c>
      <x:c r="B393" s="9" t="str">
        <x:v>Alex</x:v>
      </x:c>
      <x:c r="C393" s="9" t="str">
        <x:v>Credit Card</x:v>
      </x:c>
      <x:c r="D393" s="9" t="str">
        <x:v>Northeast</x:v>
      </x:c>
      <x:c r="E393" s="9" t="n">
        <x:v>800</x:v>
      </x:c>
      <x:c r="F393" s="11" t="n">
        <x:v>46041</x:v>
      </x:c>
      <x:c r="G393" s="13" t="n">
        <x:v>17645.79</x:v>
      </x:c>
      <x:c r="H393" s="9" t="n">
        <x:v>98</x:v>
      </x:c>
      <x:c r="I393" s="9" t="n">
        <x:v>5</x:v>
      </x:c>
      <x:c r="J393" s="9" t="n">
        <x:v>4</x:v>
      </x:c>
      <x:c r="K393" s="9" t="n">
        <x:v>0</x:v>
      </x:c>
      <x:c r="L393" s="13" t="n">
        <x:f>SUMIFS('Payments'!$D$5:$D$3014,'Payments'!$B$5:$B$3014,A393)</x:f>
        <x:v>4470.68</x:v>
      </x:c>
      <x:c r="M393" s="13" t="n">
        <x:f>G393-L393</x:f>
        <x:v>13175.11</x:v>
      </x:c>
      <x:c r="N393" s="9" t="str">
        <x:f>IF(H393=0,"0 Current",IF(H393&lt;=30,"1 1-30",IF(H393&lt;=60,"2 31-60",IF(H393&lt;=90,"3 61-90",IF(H393&lt;=120,"4 91-120","5 121+")))))</x:f>
        <x:v>4 91-120</x:v>
      </x:c>
      <x:c r="O393" s="9" t="n">
        <x:f>IF(J393&gt;0,1,0)</x:f>
        <x:v>1</x:v>
      </x:c>
    </x:row>
    <x:row r="394">
      <x:c r="A394" s="15" t="str">
        <x:v>390</x:v>
      </x:c>
      <x:c r="B394" s="9" t="str">
        <x:v>Riley</x:v>
      </x:c>
      <x:c r="C394" s="9" t="str">
        <x:v>Auto</x:v>
      </x:c>
      <x:c r="D394" s="9" t="str">
        <x:v>South</x:v>
      </x:c>
      <x:c r="E394" s="9" t="n">
        <x:v>518</x:v>
      </x:c>
      <x:c r="F394" s="11" t="n">
        <x:v>46060</x:v>
      </x:c>
      <x:c r="G394" s="13" t="n">
        <x:v>11461</x:v>
      </x:c>
      <x:c r="H394" s="9" t="n">
        <x:v>174</x:v>
      </x:c>
      <x:c r="I394" s="9" t="n">
        <x:v>2</x:v>
      </x:c>
      <x:c r="J394" s="9" t="n">
        <x:v>1</x:v>
      </x:c>
      <x:c r="K394" s="9" t="n">
        <x:v>0</x:v>
      </x:c>
      <x:c r="L394" s="13" t="n">
        <x:f>SUMIFS('Payments'!$D$5:$D$3014,'Payments'!$B$5:$B$3014,A394)</x:f>
        <x:v>676.6</x:v>
      </x:c>
      <x:c r="M394" s="13" t="n">
        <x:f>G394-L394</x:f>
        <x:v>10784.4</x:v>
      </x:c>
      <x:c r="N394" s="9" t="str">
        <x:f>IF(H394=0,"0 Current",IF(H394&lt;=30,"1 1-30",IF(H394&lt;=60,"2 31-60",IF(H394&lt;=90,"3 61-90",IF(H394&lt;=120,"4 91-120","5 121+")))))</x:f>
        <x:v>5 121+</x:v>
      </x:c>
      <x:c r="O394" s="9" t="n">
        <x:f>IF(J394&gt;0,1,0)</x:f>
        <x:v>1</x:v>
      </x:c>
    </x:row>
    <x:row r="395">
      <x:c r="A395" s="15" t="str">
        <x:v>391</x:v>
      </x:c>
      <x:c r="B395" s="9" t="str">
        <x:v>Taylor</x:v>
      </x:c>
      <x:c r="C395" s="9" t="str">
        <x:v>Credit Card</x:v>
      </x:c>
      <x:c r="D395" s="9" t="str">
        <x:v>South</x:v>
      </x:c>
      <x:c r="E395" s="9" t="n">
        <x:v>798</x:v>
      </x:c>
      <x:c r="F395" s="11" t="n">
        <x:v>46121</x:v>
      </x:c>
      <x:c r="G395" s="13" t="n">
        <x:v>17179.35</x:v>
      </x:c>
      <x:c r="H395" s="9" t="n">
        <x:v>132</x:v>
      </x:c>
      <x:c r="I395" s="9" t="n">
        <x:v>6</x:v>
      </x:c>
      <x:c r="J395" s="9" t="n">
        <x:v>4</x:v>
      </x:c>
      <x:c r="K395" s="9" t="n">
        <x:v>1</x:v>
      </x:c>
      <x:c r="L395" s="13" t="n">
        <x:f>SUMIFS('Payments'!$D$5:$D$3014,'Payments'!$B$5:$B$3014,A395)</x:f>
        <x:v>1118.72</x:v>
      </x:c>
      <x:c r="M395" s="13" t="n">
        <x:f>G395-L395</x:f>
        <x:v>16060.63</x:v>
      </x:c>
      <x:c r="N395" s="9" t="str">
        <x:f>IF(H395=0,"0 Current",IF(H395&lt;=30,"1 1-30",IF(H395&lt;=60,"2 31-60",IF(H395&lt;=90,"3 61-90",IF(H395&lt;=120,"4 91-120","5 121+")))))</x:f>
        <x:v>5 121+</x:v>
      </x:c>
      <x:c r="O395" s="9" t="n">
        <x:f>IF(J395&gt;0,1,0)</x:f>
        <x:v>1</x:v>
      </x:c>
    </x:row>
    <x:row r="396">
      <x:c r="A396" s="15" t="str">
        <x:v>392</x:v>
      </x:c>
      <x:c r="B396" s="9" t="str">
        <x:v>Jordan</x:v>
      </x:c>
      <x:c r="C396" s="9" t="str">
        <x:v>Medical</x:v>
      </x:c>
      <x:c r="D396" s="9" t="str">
        <x:v>West</x:v>
      </x:c>
      <x:c r="E396" s="9" t="n">
        <x:v>561</x:v>
      </x:c>
      <x:c r="F396" s="11" t="n">
        <x:v>46111</x:v>
      </x:c>
      <x:c r="G396" s="13" t="n">
        <x:v>6485.83</x:v>
      </x:c>
      <x:c r="H396" s="9" t="n">
        <x:v>238</x:v>
      </x:c>
      <x:c r="I396" s="9" t="n">
        <x:v>1</x:v>
      </x:c>
      <x:c r="J396" s="9" t="n">
        <x:v>0</x:v>
      </x:c>
      <x:c r="K396" s="9" t="n">
        <x:v>0</x:v>
      </x:c>
      <x:c r="L396" s="13" t="n">
        <x:f>SUMIFS('Payments'!$D$5:$D$3014,'Payments'!$B$5:$B$3014,A396)</x:f>
        <x:v>656.6099999999999</x:v>
      </x:c>
      <x:c r="M396" s="13" t="n">
        <x:f>G396-L396</x:f>
        <x:v>5829.22</x:v>
      </x:c>
      <x:c r="N396" s="9" t="str">
        <x:f>IF(H396=0,"0 Current",IF(H396&lt;=30,"1 1-30",IF(H396&lt;=60,"2 31-60",IF(H396&lt;=90,"3 61-90",IF(H396&lt;=120,"4 91-120","5 121+")))))</x:f>
        <x:v>5 121+</x:v>
      </x:c>
      <x:c r="O396" s="9" t="n">
        <x:f>IF(J396&gt;0,1,0)</x:f>
        <x:v>0</x:v>
      </x:c>
    </x:row>
    <x:row r="397">
      <x:c r="A397" s="15" t="str">
        <x:v>393</x:v>
      </x:c>
      <x:c r="B397" s="9" t="str">
        <x:v>Taylor</x:v>
      </x:c>
      <x:c r="C397" s="9" t="str">
        <x:v>Auto</x:v>
      </x:c>
      <x:c r="D397" s="9" t="str">
        <x:v>Midwest</x:v>
      </x:c>
      <x:c r="E397" s="9" t="n">
        <x:v>471</x:v>
      </x:c>
      <x:c r="F397" s="11" t="n">
        <x:v>46129</x:v>
      </x:c>
      <x:c r="G397" s="13" t="n">
        <x:v>12593.86</x:v>
      </x:c>
      <x:c r="H397" s="9" t="n">
        <x:v>43</x:v>
      </x:c>
      <x:c r="I397" s="9" t="n">
        <x:v>2</x:v>
      </x:c>
      <x:c r="J397" s="9" t="n">
        <x:v>1</x:v>
      </x:c>
      <x:c r="K397" s="9" t="n">
        <x:v>1</x:v>
      </x:c>
      <x:c r="L397" s="13" t="n">
        <x:f>SUMIFS('Payments'!$D$5:$D$3014,'Payments'!$B$5:$B$3014,A397)</x:f>
        <x:v>992.12</x:v>
      </x:c>
      <x:c r="M397" s="13" t="n">
        <x:f>G397-L397</x:f>
        <x:v>11601.74</x:v>
      </x:c>
      <x:c r="N397" s="9" t="str">
        <x:f>IF(H397=0,"0 Current",IF(H397&lt;=30,"1 1-30",IF(H397&lt;=60,"2 31-60",IF(H397&lt;=90,"3 61-90",IF(H397&lt;=120,"4 91-120","5 121+")))))</x:f>
        <x:v>2 31-60</x:v>
      </x:c>
      <x:c r="O397" s="9" t="n">
        <x:f>IF(J397&gt;0,1,0)</x:f>
        <x:v>1</x:v>
      </x:c>
    </x:row>
    <x:row r="398">
      <x:c r="A398" s="15" t="str">
        <x:v>394</x:v>
      </x:c>
      <x:c r="B398" s="9" t="str">
        <x:v>Casey</x:v>
      </x:c>
      <x:c r="C398" s="9" t="str">
        <x:v>Medical</x:v>
      </x:c>
      <x:c r="D398" s="9" t="str">
        <x:v>South</x:v>
      </x:c>
      <x:c r="E398" s="9" t="n">
        <x:v>571</x:v>
      </x:c>
      <x:c r="F398" s="11" t="n">
        <x:v>46138</x:v>
      </x:c>
      <x:c r="G398" s="13" t="n">
        <x:v>24285.56</x:v>
      </x:c>
      <x:c r="H398" s="9" t="n">
        <x:v>51</x:v>
      </x:c>
      <x:c r="I398" s="9" t="n">
        <x:v>2</x:v>
      </x:c>
      <x:c r="J398" s="9" t="n">
        <x:v>0</x:v>
      </x:c>
      <x:c r="K398" s="9" t="n">
        <x:v>0</x:v>
      </x:c>
      <x:c r="L398" s="13" t="n">
        <x:f>SUMIFS('Payments'!$D$5:$D$3014,'Payments'!$B$5:$B$3014,A398)</x:f>
        <x:v>0</x:v>
      </x:c>
      <x:c r="M398" s="13" t="n">
        <x:f>G398-L398</x:f>
        <x:v>24285.56</x:v>
      </x:c>
      <x:c r="N398" s="9" t="str">
        <x:f>IF(H398=0,"0 Current",IF(H398&lt;=30,"1 1-30",IF(H398&lt;=60,"2 31-60",IF(H398&lt;=90,"3 61-90",IF(H398&lt;=120,"4 91-120","5 121+")))))</x:f>
        <x:v>2 31-60</x:v>
      </x:c>
      <x:c r="O398" s="9" t="n">
        <x:f>IF(J398&gt;0,1,0)</x:f>
        <x:v>0</x:v>
      </x:c>
    </x:row>
    <x:row r="399">
      <x:c r="A399" s="15" t="str">
        <x:v>395</x:v>
      </x:c>
      <x:c r="B399" s="9" t="str">
        <x:v>Alex</x:v>
      </x:c>
      <x:c r="C399" s="9" t="str">
        <x:v>Personal Loan</x:v>
      </x:c>
      <x:c r="D399" s="9" t="str">
        <x:v>South</x:v>
      </x:c>
      <x:c r="E399" s="9" t="n">
        <x:v>604</x:v>
      </x:c>
      <x:c r="F399" s="11" t="n">
        <x:v>46050</x:v>
      </x:c>
      <x:c r="G399" s="13" t="n">
        <x:v>7467.83</x:v>
      </x:c>
      <x:c r="H399" s="9" t="n">
        <x:v>21</x:v>
      </x:c>
      <x:c r="I399" s="9" t="n">
        <x:v>3</x:v>
      </x:c>
      <x:c r="J399" s="9" t="n">
        <x:v>1</x:v>
      </x:c>
      <x:c r="K399" s="9" t="n">
        <x:v>0</x:v>
      </x:c>
      <x:c r="L399" s="13" t="n">
        <x:f>SUMIFS('Payments'!$D$5:$D$3014,'Payments'!$B$5:$B$3014,A399)</x:f>
        <x:v>316.53</x:v>
      </x:c>
      <x:c r="M399" s="13" t="n">
        <x:f>G399-L399</x:f>
        <x:v>7151.3</x:v>
      </x:c>
      <x:c r="N399" s="9" t="str">
        <x:f>IF(H399=0,"0 Current",IF(H399&lt;=30,"1 1-30",IF(H399&lt;=60,"2 31-60",IF(H399&lt;=90,"3 61-90",IF(H399&lt;=120,"4 91-120","5 121+")))))</x:f>
        <x:v>1 1-30</x:v>
      </x:c>
      <x:c r="O399" s="9" t="n">
        <x:f>IF(J399&gt;0,1,0)</x:f>
        <x:v>1</x:v>
      </x:c>
    </x:row>
    <x:row r="400">
      <x:c r="A400" s="15" t="str">
        <x:v>396</x:v>
      </x:c>
      <x:c r="B400" s="9" t="str">
        <x:v>Alex</x:v>
      </x:c>
      <x:c r="C400" s="9" t="str">
        <x:v>Credit Card</x:v>
      </x:c>
      <x:c r="D400" s="9" t="str">
        <x:v>South</x:v>
      </x:c>
      <x:c r="E400" s="9" t="n">
        <x:v>574</x:v>
      </x:c>
      <x:c r="F400" s="11" t="n">
        <x:v>46024</x:v>
      </x:c>
      <x:c r="G400" s="13" t="n">
        <x:v>24929.53</x:v>
      </x:c>
      <x:c r="H400" s="9" t="n">
        <x:v>54</x:v>
      </x:c>
      <x:c r="I400" s="9" t="n">
        <x:v>6</x:v>
      </x:c>
      <x:c r="J400" s="9" t="n">
        <x:v>3</x:v>
      </x:c>
      <x:c r="K400" s="9" t="n">
        <x:v>1</x:v>
      </x:c>
      <x:c r="L400" s="13" t="n">
        <x:f>SUMIFS('Payments'!$D$5:$D$3014,'Payments'!$B$5:$B$3014,A400)</x:f>
        <x:v>7119.4</x:v>
      </x:c>
      <x:c r="M400" s="13" t="n">
        <x:f>G400-L400</x:f>
        <x:v>17810.129999999997</x:v>
      </x:c>
      <x:c r="N400" s="9" t="str">
        <x:f>IF(H400=0,"0 Current",IF(H400&lt;=30,"1 1-30",IF(H400&lt;=60,"2 31-60",IF(H400&lt;=90,"3 61-90",IF(H400&lt;=120,"4 91-120","5 121+")))))</x:f>
        <x:v>2 31-60</x:v>
      </x:c>
      <x:c r="O400" s="9" t="n">
        <x:f>IF(J400&gt;0,1,0)</x:f>
        <x:v>1</x:v>
      </x:c>
    </x:row>
    <x:row r="401">
      <x:c r="A401" s="15" t="str">
        <x:v>397</x:v>
      </x:c>
      <x:c r="B401" s="9" t="str">
        <x:v>Morgan</x:v>
      </x:c>
      <x:c r="C401" s="9" t="str">
        <x:v>Auto</x:v>
      </x:c>
      <x:c r="D401" s="9" t="str">
        <x:v>Northeast</x:v>
      </x:c>
      <x:c r="E401" s="9" t="n">
        <x:v>782</x:v>
      </x:c>
      <x:c r="F401" s="11" t="n">
        <x:v>46048</x:v>
      </x:c>
      <x:c r="G401" s="13" t="n">
        <x:v>629.38</x:v>
      </x:c>
      <x:c r="H401" s="9" t="n">
        <x:v>185</x:v>
      </x:c>
      <x:c r="I401" s="9" t="n">
        <x:v>1</x:v>
      </x:c>
      <x:c r="J401" s="9" t="n">
        <x:v>0</x:v>
      </x:c>
      <x:c r="K401" s="9" t="n">
        <x:v>0</x:v>
      </x:c>
      <x:c r="L401" s="13" t="n">
        <x:f>SUMIFS('Payments'!$D$5:$D$3014,'Payments'!$B$5:$B$3014,A401)</x:f>
        <x:v>12.1</x:v>
      </x:c>
      <x:c r="M401" s="13" t="n">
        <x:f>G401-L401</x:f>
        <x:v>617.28</x:v>
      </x:c>
      <x:c r="N401" s="9" t="str">
        <x:f>IF(H401=0,"0 Current",IF(H401&lt;=30,"1 1-30",IF(H401&lt;=60,"2 31-60",IF(H401&lt;=90,"3 61-90",IF(H401&lt;=120,"4 91-120","5 121+")))))</x:f>
        <x:v>5 121+</x:v>
      </x:c>
      <x:c r="O401" s="9" t="n">
        <x:f>IF(J401&gt;0,1,0)</x:f>
        <x:v>0</x:v>
      </x:c>
    </x:row>
    <x:row r="402">
      <x:c r="A402" s="15" t="str">
        <x:v>398</x:v>
      </x:c>
      <x:c r="B402" s="9" t="str">
        <x:v>Morgan</x:v>
      </x:c>
      <x:c r="C402" s="9" t="str">
        <x:v>Auto</x:v>
      </x:c>
      <x:c r="D402" s="9" t="str">
        <x:v>South</x:v>
      </x:c>
      <x:c r="E402" s="9" t="n">
        <x:v>560</x:v>
      </x:c>
      <x:c r="F402" s="11" t="n">
        <x:v>46086</x:v>
      </x:c>
      <x:c r="G402" s="13" t="n">
        <x:v>15953.06</x:v>
      </x:c>
      <x:c r="H402" s="9" t="n">
        <x:v>131</x:v>
      </x:c>
      <x:c r="I402" s="9" t="n">
        <x:v>5</x:v>
      </x:c>
      <x:c r="J402" s="9" t="n">
        <x:v>2</x:v>
      </x:c>
      <x:c r="K402" s="9" t="n">
        <x:v>0</x:v>
      </x:c>
      <x:c r="L402" s="13" t="n">
        <x:f>SUMIFS('Payments'!$D$5:$D$3014,'Payments'!$B$5:$B$3014,A402)</x:f>
        <x:v>2613.52</x:v>
      </x:c>
      <x:c r="M402" s="13" t="n">
        <x:f>G402-L402</x:f>
        <x:v>13339.539999999999</x:v>
      </x:c>
      <x:c r="N402" s="9" t="str">
        <x:f>IF(H402=0,"0 Current",IF(H402&lt;=30,"1 1-30",IF(H402&lt;=60,"2 31-60",IF(H402&lt;=90,"3 61-90",IF(H402&lt;=120,"4 91-120","5 121+")))))</x:f>
        <x:v>5 121+</x:v>
      </x:c>
      <x:c r="O402" s="9" t="n">
        <x:f>IF(J402&gt;0,1,0)</x:f>
        <x:v>1</x:v>
      </x:c>
    </x:row>
    <x:row r="403">
      <x:c r="A403" s="15" t="str">
        <x:v>399</x:v>
      </x:c>
      <x:c r="B403" s="9" t="str">
        <x:v>Morgan</x:v>
      </x:c>
      <x:c r="C403" s="9" t="str">
        <x:v>Auto</x:v>
      </x:c>
      <x:c r="D403" s="9" t="str">
        <x:v>Northeast</x:v>
      </x:c>
      <x:c r="E403" s="9" t="n">
        <x:v>447</x:v>
      </x:c>
      <x:c r="F403" s="11" t="n">
        <x:v>46043</x:v>
      </x:c>
      <x:c r="G403" s="13" t="n">
        <x:v>15110.18</x:v>
      </x:c>
      <x:c r="H403" s="9" t="n">
        <x:v>168</x:v>
      </x:c>
      <x:c r="I403" s="9" t="n">
        <x:v>6</x:v>
      </x:c>
      <x:c r="J403" s="9" t="n">
        <x:v>5</x:v>
      </x:c>
      <x:c r="K403" s="9" t="n">
        <x:v>0</x:v>
      </x:c>
      <x:c r="L403" s="13" t="n">
        <x:f>SUMIFS('Payments'!$D$5:$D$3014,'Payments'!$B$5:$B$3014,A403)</x:f>
        <x:v>0</x:v>
      </x:c>
      <x:c r="M403" s="13" t="n">
        <x:f>G403-L403</x:f>
        <x:v>15110.18</x:v>
      </x:c>
      <x:c r="N403" s="9" t="str">
        <x:f>IF(H403=0,"0 Current",IF(H403&lt;=30,"1 1-30",IF(H403&lt;=60,"2 31-60",IF(H403&lt;=90,"3 61-90",IF(H403&lt;=120,"4 91-120","5 121+")))))</x:f>
        <x:v>5 121+</x:v>
      </x:c>
      <x:c r="O403" s="9" t="n">
        <x:f>IF(J403&gt;0,1,0)</x:f>
        <x:v>1</x:v>
      </x:c>
    </x:row>
    <x:row r="404">
      <x:c r="A404" s="15" t="str">
        <x:v>400</x:v>
      </x:c>
      <x:c r="B404" s="9" t="str">
        <x:v>Casey</x:v>
      </x:c>
      <x:c r="C404" s="9" t="str">
        <x:v>Auto</x:v>
      </x:c>
      <x:c r="D404" s="9" t="str">
        <x:v>Midwest</x:v>
      </x:c>
      <x:c r="E404" s="9" t="n">
        <x:v>777</x:v>
      </x:c>
      <x:c r="F404" s="11" t="n">
        <x:v>46163</x:v>
      </x:c>
      <x:c r="G404" s="13" t="n">
        <x:v>20079.13</x:v>
      </x:c>
      <x:c r="H404" s="9" t="n">
        <x:v>29</x:v>
      </x:c>
      <x:c r="I404" s="9" t="n">
        <x:v>1</x:v>
      </x:c>
      <x:c r="J404" s="9" t="n">
        <x:v>0</x:v>
      </x:c>
      <x:c r="K404" s="9" t="n">
        <x:v>0</x:v>
      </x:c>
      <x:c r="L404" s="13" t="n">
        <x:f>SUMIFS('Payments'!$D$5:$D$3014,'Payments'!$B$5:$B$3014,A404)</x:f>
        <x:v>2953.37</x:v>
      </x:c>
      <x:c r="M404" s="13" t="n">
        <x:f>G404-L404</x:f>
        <x:v>17125.760000000002</x:v>
      </x:c>
      <x:c r="N404" s="9" t="str">
        <x:f>IF(H404=0,"0 Current",IF(H404&lt;=30,"1 1-30",IF(H404&lt;=60,"2 31-60",IF(H404&lt;=90,"3 61-90",IF(H404&lt;=120,"4 91-120","5 121+")))))</x:f>
        <x:v>1 1-30</x:v>
      </x:c>
      <x:c r="O404" s="9" t="n">
        <x:f>IF(J404&gt;0,1,0)</x:f>
        <x:v>0</x:v>
      </x:c>
    </x:row>
    <x:row r="405">
      <x:c r="A405" s="15" t="str">
        <x:v>401</x:v>
      </x:c>
      <x:c r="B405" s="9" t="str">
        <x:v>Jordan</x:v>
      </x:c>
      <x:c r="C405" s="9" t="str">
        <x:v>Auto</x:v>
      </x:c>
      <x:c r="D405" s="9" t="str">
        <x:v>South</x:v>
      </x:c>
      <x:c r="E405" s="9" t="n">
        <x:v>746</x:v>
      </x:c>
      <x:c r="F405" s="11" t="n">
        <x:v>46030</x:v>
      </x:c>
      <x:c r="G405" s="13" t="n">
        <x:v>7220.75</x:v>
      </x:c>
      <x:c r="H405" s="9" t="n">
        <x:v>196</x:v>
      </x:c>
      <x:c r="I405" s="9" t="n">
        <x:v>1</x:v>
      </x:c>
      <x:c r="J405" s="9" t="n">
        <x:v>0</x:v>
      </x:c>
      <x:c r="K405" s="9" t="n">
        <x:v>0</x:v>
      </x:c>
      <x:c r="L405" s="13" t="n">
        <x:f>SUMIFS('Payments'!$D$5:$D$3014,'Payments'!$B$5:$B$3014,A405)</x:f>
        <x:v>1181.7</x:v>
      </x:c>
      <x:c r="M405" s="13" t="n">
        <x:f>G405-L405</x:f>
        <x:v>6039.05</x:v>
      </x:c>
      <x:c r="N405" s="9" t="str">
        <x:f>IF(H405=0,"0 Current",IF(H405&lt;=30,"1 1-30",IF(H405&lt;=60,"2 31-60",IF(H405&lt;=90,"3 61-90",IF(H405&lt;=120,"4 91-120","5 121+")))))</x:f>
        <x:v>5 121+</x:v>
      </x:c>
      <x:c r="O405" s="9" t="n">
        <x:f>IF(J405&gt;0,1,0)</x:f>
        <x:v>0</x:v>
      </x:c>
    </x:row>
    <x:row r="406">
      <x:c r="A406" s="15" t="str">
        <x:v>402</x:v>
      </x:c>
      <x:c r="B406" s="9" t="str">
        <x:v>Alex</x:v>
      </x:c>
      <x:c r="C406" s="9" t="str">
        <x:v>Personal Loan</x:v>
      </x:c>
      <x:c r="D406" s="9" t="str">
        <x:v>West</x:v>
      </x:c>
      <x:c r="E406" s="9" t="n">
        <x:v>472</x:v>
      </x:c>
      <x:c r="F406" s="11" t="n">
        <x:v>46159</x:v>
      </x:c>
      <x:c r="G406" s="13" t="n">
        <x:v>21134.24</x:v>
      </x:c>
      <x:c r="H406" s="9" t="n">
        <x:v>223</x:v>
      </x:c>
      <x:c r="I406" s="9" t="n">
        <x:v>5</x:v>
      </x:c>
      <x:c r="J406" s="9" t="n">
        <x:v>4</x:v>
      </x:c>
      <x:c r="K406" s="9" t="n">
        <x:v>1</x:v>
      </x:c>
      <x:c r="L406" s="13" t="n">
        <x:f>SUMIFS('Payments'!$D$5:$D$3014,'Payments'!$B$5:$B$3014,A406)</x:f>
        <x:v>349.04</x:v>
      </x:c>
      <x:c r="M406" s="13" t="n">
        <x:f>G406-L406</x:f>
        <x:v>20785.2</x:v>
      </x:c>
      <x:c r="N406" s="9" t="str">
        <x:f>IF(H406=0,"0 Current",IF(H406&lt;=30,"1 1-30",IF(H406&lt;=60,"2 31-60",IF(H406&lt;=90,"3 61-90",IF(H406&lt;=120,"4 91-120","5 121+")))))</x:f>
        <x:v>5 121+</x:v>
      </x:c>
      <x:c r="O406" s="9" t="n">
        <x:f>IF(J406&gt;0,1,0)</x:f>
        <x:v>1</x:v>
      </x:c>
    </x:row>
    <x:row r="407">
      <x:c r="A407" s="15" t="str">
        <x:v>403</x:v>
      </x:c>
      <x:c r="B407" s="9" t="str">
        <x:v>Alex</x:v>
      </x:c>
      <x:c r="C407" s="9" t="str">
        <x:v>Credit Card</x:v>
      </x:c>
      <x:c r="D407" s="9" t="str">
        <x:v>Northeast</x:v>
      </x:c>
      <x:c r="E407" s="9" t="n">
        <x:v>713</x:v>
      </x:c>
      <x:c r="F407" s="11" t="n">
        <x:v>46097</x:v>
      </x:c>
      <x:c r="G407" s="13" t="n">
        <x:v>4177.58</x:v>
      </x:c>
      <x:c r="H407" s="9" t="n">
        <x:v>87</x:v>
      </x:c>
      <x:c r="I407" s="9" t="n">
        <x:v>0</x:v>
      </x:c>
      <x:c r="J407" s="9" t="n">
        <x:v>0</x:v>
      </x:c>
      <x:c r="K407" s="9" t="n">
        <x:v>0</x:v>
      </x:c>
      <x:c r="L407" s="13" t="n">
        <x:f>SUMIFS('Payments'!$D$5:$D$3014,'Payments'!$B$5:$B$3014,A407)</x:f>
        <x:v>685.77</x:v>
      </x:c>
      <x:c r="M407" s="13" t="n">
        <x:f>G407-L407</x:f>
        <x:v>3491.81</x:v>
      </x:c>
      <x:c r="N407" s="9" t="str">
        <x:f>IF(H407=0,"0 Current",IF(H407&lt;=30,"1 1-30",IF(H407&lt;=60,"2 31-60",IF(H407&lt;=90,"3 61-90",IF(H407&lt;=120,"4 91-120","5 121+")))))</x:f>
        <x:v>3 61-90</x:v>
      </x:c>
      <x:c r="O407" s="9" t="n">
        <x:f>IF(J407&gt;0,1,0)</x:f>
        <x:v>0</x:v>
      </x:c>
    </x:row>
    <x:row r="408">
      <x:c r="A408" s="15" t="str">
        <x:v>404</x:v>
      </x:c>
      <x:c r="B408" s="9" t="str">
        <x:v>Riley</x:v>
      </x:c>
      <x:c r="C408" s="9" t="str">
        <x:v>Medical</x:v>
      </x:c>
      <x:c r="D408" s="9" t="str">
        <x:v>Midwest</x:v>
      </x:c>
      <x:c r="E408" s="9" t="n">
        <x:v>660</x:v>
      </x:c>
      <x:c r="F408" s="11" t="n">
        <x:v>46102</x:v>
      </x:c>
      <x:c r="G408" s="13" t="n">
        <x:v>3095.64</x:v>
      </x:c>
      <x:c r="H408" s="9" t="n">
        <x:v>216</x:v>
      </x:c>
      <x:c r="I408" s="9" t="n">
        <x:v>3</x:v>
      </x:c>
      <x:c r="J408" s="9" t="n">
        <x:v>1</x:v>
      </x:c>
      <x:c r="K408" s="9" t="n">
        <x:v>0</x:v>
      </x:c>
      <x:c r="L408" s="13" t="n">
        <x:f>SUMIFS('Payments'!$D$5:$D$3014,'Payments'!$B$5:$B$3014,A408)</x:f>
        <x:v>629.66</x:v>
      </x:c>
      <x:c r="M408" s="13" t="n">
        <x:f>G408-L408</x:f>
        <x:v>2465.98</x:v>
      </x:c>
      <x:c r="N408" s="9" t="str">
        <x:f>IF(H408=0,"0 Current",IF(H408&lt;=30,"1 1-30",IF(H408&lt;=60,"2 31-60",IF(H408&lt;=90,"3 61-90",IF(H408&lt;=120,"4 91-120","5 121+")))))</x:f>
        <x:v>5 121+</x:v>
      </x:c>
      <x:c r="O408" s="9" t="n">
        <x:f>IF(J408&gt;0,1,0)</x:f>
        <x:v>1</x:v>
      </x:c>
    </x:row>
    <x:row r="409">
      <x:c r="A409" s="15" t="str">
        <x:v>405</x:v>
      </x:c>
      <x:c r="B409" s="9" t="str">
        <x:v>Morgan</x:v>
      </x:c>
      <x:c r="C409" s="9" t="str">
        <x:v>Auto</x:v>
      </x:c>
      <x:c r="D409" s="9" t="str">
        <x:v>West</x:v>
      </x:c>
      <x:c r="E409" s="9" t="n">
        <x:v>645</x:v>
      </x:c>
      <x:c r="F409" s="11" t="n">
        <x:v>46098</x:v>
      </x:c>
      <x:c r="G409" s="13" t="n">
        <x:v>9681.5</x:v>
      </x:c>
      <x:c r="H409" s="9" t="n">
        <x:v>37</x:v>
      </x:c>
      <x:c r="I409" s="9" t="n">
        <x:v>0</x:v>
      </x:c>
      <x:c r="J409" s="9" t="n">
        <x:v>0</x:v>
      </x:c>
      <x:c r="K409" s="9" t="n">
        <x:v>0</x:v>
      </x:c>
      <x:c r="L409" s="13" t="n">
        <x:f>SUMIFS('Payments'!$D$5:$D$3014,'Payments'!$B$5:$B$3014,A409)</x:f>
        <x:v>3588.5299999999997</x:v>
      </x:c>
      <x:c r="M409" s="13" t="n">
        <x:f>G409-L409</x:f>
        <x:v>6092.97</x:v>
      </x:c>
      <x:c r="N409" s="9" t="str">
        <x:f>IF(H409=0,"0 Current",IF(H409&lt;=30,"1 1-30",IF(H409&lt;=60,"2 31-60",IF(H409&lt;=90,"3 61-90",IF(H409&lt;=120,"4 91-120","5 121+")))))</x:f>
        <x:v>2 31-60</x:v>
      </x:c>
      <x:c r="O409" s="9" t="n">
        <x:f>IF(J409&gt;0,1,0)</x:f>
        <x:v>0</x:v>
      </x:c>
    </x:row>
    <x:row r="410">
      <x:c r="A410" s="15" t="str">
        <x:v>406</x:v>
      </x:c>
      <x:c r="B410" s="9" t="str">
        <x:v>Riley</x:v>
      </x:c>
      <x:c r="C410" s="9" t="str">
        <x:v>Credit Card</x:v>
      </x:c>
      <x:c r="D410" s="9" t="str">
        <x:v>Midwest</x:v>
      </x:c>
      <x:c r="E410" s="9" t="n">
        <x:v>514</x:v>
      </x:c>
      <x:c r="F410" s="11" t="n">
        <x:v>46104</x:v>
      </x:c>
      <x:c r="G410" s="13" t="n">
        <x:v>13455.84</x:v>
      </x:c>
      <x:c r="H410" s="9" t="n">
        <x:v>70</x:v>
      </x:c>
      <x:c r="I410" s="9" t="n">
        <x:v>5</x:v>
      </x:c>
      <x:c r="J410" s="9" t="n">
        <x:v>4</x:v>
      </x:c>
      <x:c r="K410" s="9" t="n">
        <x:v>1</x:v>
      </x:c>
      <x:c r="L410" s="13" t="n">
        <x:f>SUMIFS('Payments'!$D$5:$D$3014,'Payments'!$B$5:$B$3014,A410)</x:f>
        <x:v>3610.87</x:v>
      </x:c>
      <x:c r="M410" s="13" t="n">
        <x:f>G410-L410</x:f>
        <x:v>9844.970000000001</x:v>
      </x:c>
      <x:c r="N410" s="9" t="str">
        <x:f>IF(H410=0,"0 Current",IF(H410&lt;=30,"1 1-30",IF(H410&lt;=60,"2 31-60",IF(H410&lt;=90,"3 61-90",IF(H410&lt;=120,"4 91-120","5 121+")))))</x:f>
        <x:v>3 61-90</x:v>
      </x:c>
      <x:c r="O410" s="9" t="n">
        <x:f>IF(J410&gt;0,1,0)</x:f>
        <x:v>1</x:v>
      </x:c>
    </x:row>
    <x:row r="411">
      <x:c r="A411" s="15" t="str">
        <x:v>407</x:v>
      </x:c>
      <x:c r="B411" s="9" t="str">
        <x:v>Jordan</x:v>
      </x:c>
      <x:c r="C411" s="9" t="str">
        <x:v>Medical</x:v>
      </x:c>
      <x:c r="D411" s="9" t="str">
        <x:v>Northeast</x:v>
      </x:c>
      <x:c r="E411" s="9" t="n">
        <x:v>549</x:v>
      </x:c>
      <x:c r="F411" s="11" t="n">
        <x:v>46147</x:v>
      </x:c>
      <x:c r="G411" s="13" t="n">
        <x:v>16933.61</x:v>
      </x:c>
      <x:c r="H411" s="9" t="n">
        <x:v>5</x:v>
      </x:c>
      <x:c r="I411" s="9" t="n">
        <x:v>6</x:v>
      </x:c>
      <x:c r="J411" s="9" t="n">
        <x:v>1</x:v>
      </x:c>
      <x:c r="K411" s="9" t="n">
        <x:v>0</x:v>
      </x:c>
      <x:c r="L411" s="13" t="n">
        <x:f>SUMIFS('Payments'!$D$5:$D$3014,'Payments'!$B$5:$B$3014,A411)</x:f>
        <x:v>5403.08</x:v>
      </x:c>
      <x:c r="M411" s="13" t="n">
        <x:f>G411-L411</x:f>
        <x:v>11530.53</x:v>
      </x:c>
      <x:c r="N411" s="9" t="str">
        <x:f>IF(H411=0,"0 Current",IF(H411&lt;=30,"1 1-30",IF(H411&lt;=60,"2 31-60",IF(H411&lt;=90,"3 61-90",IF(H411&lt;=120,"4 91-120","5 121+")))))</x:f>
        <x:v>1 1-30</x:v>
      </x:c>
      <x:c r="O411" s="9" t="n">
        <x:f>IF(J411&gt;0,1,0)</x:f>
        <x:v>1</x:v>
      </x:c>
    </x:row>
    <x:row r="412">
      <x:c r="A412" s="15" t="str">
        <x:v>408</x:v>
      </x:c>
      <x:c r="B412" s="9" t="str">
        <x:v>Morgan</x:v>
      </x:c>
      <x:c r="C412" s="9" t="str">
        <x:v>Medical</x:v>
      </x:c>
      <x:c r="D412" s="9" t="str">
        <x:v>West</x:v>
      </x:c>
      <x:c r="E412" s="9" t="n">
        <x:v>478</x:v>
      </x:c>
      <x:c r="F412" s="11" t="n">
        <x:v>46036</x:v>
      </x:c>
      <x:c r="G412" s="13" t="n">
        <x:v>13253.78</x:v>
      </x:c>
      <x:c r="H412" s="9" t="n">
        <x:v>147</x:v>
      </x:c>
      <x:c r="I412" s="9" t="n">
        <x:v>4</x:v>
      </x:c>
      <x:c r="J412" s="9" t="n">
        <x:v>1</x:v>
      </x:c>
      <x:c r="K412" s="9" t="n">
        <x:v>0</x:v>
      </x:c>
      <x:c r="L412" s="13" t="n">
        <x:f>SUMIFS('Payments'!$D$5:$D$3014,'Payments'!$B$5:$B$3014,A412)</x:f>
        <x:v>1168.37</x:v>
      </x:c>
      <x:c r="M412" s="13" t="n">
        <x:f>G412-L412</x:f>
        <x:v>12085.41</x:v>
      </x:c>
      <x:c r="N412" s="9" t="str">
        <x:f>IF(H412=0,"0 Current",IF(H412&lt;=30,"1 1-30",IF(H412&lt;=60,"2 31-60",IF(H412&lt;=90,"3 61-90",IF(H412&lt;=120,"4 91-120","5 121+")))))</x:f>
        <x:v>5 121+</x:v>
      </x:c>
      <x:c r="O412" s="9" t="n">
        <x:f>IF(J412&gt;0,1,0)</x:f>
        <x:v>1</x:v>
      </x:c>
    </x:row>
    <x:row r="413">
      <x:c r="A413" s="15" t="str">
        <x:v>409</x:v>
      </x:c>
      <x:c r="B413" s="9" t="str">
        <x:v>Morgan</x:v>
      </x:c>
      <x:c r="C413" s="9" t="str">
        <x:v>Medical</x:v>
      </x:c>
      <x:c r="D413" s="9" t="str">
        <x:v>Northeast</x:v>
      </x:c>
      <x:c r="E413" s="9" t="n">
        <x:v>625</x:v>
      </x:c>
      <x:c r="F413" s="11" t="n">
        <x:v>46060</x:v>
      </x:c>
      <x:c r="G413" s="13" t="n">
        <x:v>16293.89</x:v>
      </x:c>
      <x:c r="H413" s="9" t="n">
        <x:v>237</x:v>
      </x:c>
      <x:c r="I413" s="9" t="n">
        <x:v>1</x:v>
      </x:c>
      <x:c r="J413" s="9" t="n">
        <x:v>1</x:v>
      </x:c>
      <x:c r="K413" s="9" t="n">
        <x:v>1</x:v>
      </x:c>
      <x:c r="L413" s="13" t="n">
        <x:f>SUMIFS('Payments'!$D$5:$D$3014,'Payments'!$B$5:$B$3014,A413)</x:f>
        <x:v>0</x:v>
      </x:c>
      <x:c r="M413" s="13" t="n">
        <x:f>G413-L413</x:f>
        <x:v>16293.89</x:v>
      </x:c>
      <x:c r="N413" s="9" t="str">
        <x:f>IF(H413=0,"0 Current",IF(H413&lt;=30,"1 1-30",IF(H413&lt;=60,"2 31-60",IF(H413&lt;=90,"3 61-90",IF(H413&lt;=120,"4 91-120","5 121+")))))</x:f>
        <x:v>5 121+</x:v>
      </x:c>
      <x:c r="O413" s="9" t="n">
        <x:f>IF(J413&gt;0,1,0)</x:f>
        <x:v>1</x:v>
      </x:c>
    </x:row>
    <x:row r="414">
      <x:c r="A414" s="15" t="str">
        <x:v>410</x:v>
      </x:c>
      <x:c r="B414" s="9" t="str">
        <x:v>Alex</x:v>
      </x:c>
      <x:c r="C414" s="9" t="str">
        <x:v>Personal Loan</x:v>
      </x:c>
      <x:c r="D414" s="9" t="str">
        <x:v>West</x:v>
      </x:c>
      <x:c r="E414" s="9" t="n">
        <x:v>457</x:v>
      </x:c>
      <x:c r="F414" s="11" t="n">
        <x:v>46068</x:v>
      </x:c>
      <x:c r="G414" s="13" t="n">
        <x:v>2700.84</x:v>
      </x:c>
      <x:c r="H414" s="9" t="n">
        <x:v>151</x:v>
      </x:c>
      <x:c r="I414" s="9" t="n">
        <x:v>1</x:v>
      </x:c>
      <x:c r="J414" s="9" t="n">
        <x:v>0</x:v>
      </x:c>
      <x:c r="K414" s="9" t="n">
        <x:v>0</x:v>
      </x:c>
      <x:c r="L414" s="13" t="n">
        <x:f>SUMIFS('Payments'!$D$5:$D$3014,'Payments'!$B$5:$B$3014,A414)</x:f>
        <x:v>633.48</x:v>
      </x:c>
      <x:c r="M414" s="13" t="n">
        <x:f>G414-L414</x:f>
        <x:v>2067.36</x:v>
      </x:c>
      <x:c r="N414" s="9" t="str">
        <x:f>IF(H414=0,"0 Current",IF(H414&lt;=30,"1 1-30",IF(H414&lt;=60,"2 31-60",IF(H414&lt;=90,"3 61-90",IF(H414&lt;=120,"4 91-120","5 121+")))))</x:f>
        <x:v>5 121+</x:v>
      </x:c>
      <x:c r="O414" s="9" t="n">
        <x:f>IF(J414&gt;0,1,0)</x:f>
        <x:v>0</x:v>
      </x:c>
    </x:row>
    <x:row r="415">
      <x:c r="A415" s="15" t="str">
        <x:v>411</x:v>
      </x:c>
      <x:c r="B415" s="9" t="str">
        <x:v>Taylor</x:v>
      </x:c>
      <x:c r="C415" s="9" t="str">
        <x:v>Auto</x:v>
      </x:c>
      <x:c r="D415" s="9" t="str">
        <x:v>Northeast</x:v>
      </x:c>
      <x:c r="E415" s="9" t="n">
        <x:v>497</x:v>
      </x:c>
      <x:c r="F415" s="11" t="n">
        <x:v>46100</x:v>
      </x:c>
      <x:c r="G415" s="13" t="n">
        <x:v>7734.62</x:v>
      </x:c>
      <x:c r="H415" s="9" t="n">
        <x:v>198</x:v>
      </x:c>
      <x:c r="I415" s="9" t="n">
        <x:v>7</x:v>
      </x:c>
      <x:c r="J415" s="9" t="n">
        <x:v>2</x:v>
      </x:c>
      <x:c r="K415" s="9" t="n">
        <x:v>0</x:v>
      </x:c>
      <x:c r="L415" s="13" t="n">
        <x:f>SUMIFS('Payments'!$D$5:$D$3014,'Payments'!$B$5:$B$3014,A415)</x:f>
        <x:v>0</x:v>
      </x:c>
      <x:c r="M415" s="13" t="n">
        <x:f>G415-L415</x:f>
        <x:v>7734.62</x:v>
      </x:c>
      <x:c r="N415" s="9" t="str">
        <x:f>IF(H415=0,"0 Current",IF(H415&lt;=30,"1 1-30",IF(H415&lt;=60,"2 31-60",IF(H415&lt;=90,"3 61-90",IF(H415&lt;=120,"4 91-120","5 121+")))))</x:f>
        <x:v>5 121+</x:v>
      </x:c>
      <x:c r="O415" s="9" t="n">
        <x:f>IF(J415&gt;0,1,0)</x:f>
        <x:v>1</x:v>
      </x:c>
    </x:row>
    <x:row r="416">
      <x:c r="A416" s="15" t="str">
        <x:v>412</x:v>
      </x:c>
      <x:c r="B416" s="9" t="str">
        <x:v>Jordan</x:v>
      </x:c>
      <x:c r="C416" s="9" t="str">
        <x:v>Credit Card</x:v>
      </x:c>
      <x:c r="D416" s="9" t="str">
        <x:v>South</x:v>
      </x:c>
      <x:c r="E416" s="9" t="n">
        <x:v>708</x:v>
      </x:c>
      <x:c r="F416" s="11" t="n">
        <x:v>46169</x:v>
      </x:c>
      <x:c r="G416" s="13" t="n">
        <x:v>20611.61</x:v>
      </x:c>
      <x:c r="H416" s="9" t="n">
        <x:v>203</x:v>
      </x:c>
      <x:c r="I416" s="9" t="n">
        <x:v>1</x:v>
      </x:c>
      <x:c r="J416" s="9" t="n">
        <x:v>0</x:v>
      </x:c>
      <x:c r="K416" s="9" t="n">
        <x:v>0</x:v>
      </x:c>
      <x:c r="L416" s="13" t="n">
        <x:f>SUMIFS('Payments'!$D$5:$D$3014,'Payments'!$B$5:$B$3014,A416)</x:f>
        <x:v>2826.81</x:v>
      </x:c>
      <x:c r="M416" s="13" t="n">
        <x:f>G416-L416</x:f>
        <x:v>17784.8</x:v>
      </x:c>
      <x:c r="N416" s="9" t="str">
        <x:f>IF(H416=0,"0 Current",IF(H416&lt;=30,"1 1-30",IF(H416&lt;=60,"2 31-60",IF(H416&lt;=90,"3 61-90",IF(H416&lt;=120,"4 91-120","5 121+")))))</x:f>
        <x:v>5 121+</x:v>
      </x:c>
      <x:c r="O416" s="9" t="n">
        <x:f>IF(J416&gt;0,1,0)</x:f>
        <x:v>0</x:v>
      </x:c>
    </x:row>
    <x:row r="417">
      <x:c r="A417" s="15" t="str">
        <x:v>413</x:v>
      </x:c>
      <x:c r="B417" s="9" t="str">
        <x:v>Riley</x:v>
      </x:c>
      <x:c r="C417" s="9" t="str">
        <x:v>Auto</x:v>
      </x:c>
      <x:c r="D417" s="9" t="str">
        <x:v>Midwest</x:v>
      </x:c>
      <x:c r="E417" s="9" t="n">
        <x:v>463</x:v>
      </x:c>
      <x:c r="F417" s="11" t="n">
        <x:v>46028</x:v>
      </x:c>
      <x:c r="G417" s="13" t="n">
        <x:v>17017.02</x:v>
      </x:c>
      <x:c r="H417" s="9" t="n">
        <x:v>16</x:v>
      </x:c>
      <x:c r="I417" s="9" t="n">
        <x:v>2</x:v>
      </x:c>
      <x:c r="J417" s="9" t="n">
        <x:v>1</x:v>
      </x:c>
      <x:c r="K417" s="9" t="n">
        <x:v>0</x:v>
      </x:c>
      <x:c r="L417" s="13" t="n">
        <x:f>SUMIFS('Payments'!$D$5:$D$3014,'Payments'!$B$5:$B$3014,A417)</x:f>
        <x:v>5495.58</x:v>
      </x:c>
      <x:c r="M417" s="13" t="n">
        <x:f>G417-L417</x:f>
        <x:v>11521.44</x:v>
      </x:c>
      <x:c r="N417" s="9" t="str">
        <x:f>IF(H417=0,"0 Current",IF(H417&lt;=30,"1 1-30",IF(H417&lt;=60,"2 31-60",IF(H417&lt;=90,"3 61-90",IF(H417&lt;=120,"4 91-120","5 121+")))))</x:f>
        <x:v>1 1-30</x:v>
      </x:c>
      <x:c r="O417" s="9" t="n">
        <x:f>IF(J417&gt;0,1,0)</x:f>
        <x:v>1</x:v>
      </x:c>
    </x:row>
    <x:row r="418">
      <x:c r="A418" s="15" t="str">
        <x:v>414</x:v>
      </x:c>
      <x:c r="B418" s="9" t="str">
        <x:v>Alex</x:v>
      </x:c>
      <x:c r="C418" s="9" t="str">
        <x:v>Medical</x:v>
      </x:c>
      <x:c r="D418" s="9" t="str">
        <x:v>South</x:v>
      </x:c>
      <x:c r="E418" s="9" t="n">
        <x:v>480</x:v>
      </x:c>
      <x:c r="F418" s="11" t="n">
        <x:v>46103</x:v>
      </x:c>
      <x:c r="G418" s="13" t="n">
        <x:v>5660.89</x:v>
      </x:c>
      <x:c r="H418" s="9" t="n">
        <x:v>147</x:v>
      </x:c>
      <x:c r="I418" s="9" t="n">
        <x:v>8</x:v>
      </x:c>
      <x:c r="J418" s="9" t="n">
        <x:v>3</x:v>
      </x:c>
      <x:c r="K418" s="9" t="n">
        <x:v>1</x:v>
      </x:c>
      <x:c r="L418" s="13" t="n">
        <x:f>SUMIFS('Payments'!$D$5:$D$3014,'Payments'!$B$5:$B$3014,A418)</x:f>
        <x:v>221.3</x:v>
      </x:c>
      <x:c r="M418" s="13" t="n">
        <x:f>G418-L418</x:f>
        <x:v>5439.59</x:v>
      </x:c>
      <x:c r="N418" s="9" t="str">
        <x:f>IF(H418=0,"0 Current",IF(H418&lt;=30,"1 1-30",IF(H418&lt;=60,"2 31-60",IF(H418&lt;=90,"3 61-90",IF(H418&lt;=120,"4 91-120","5 121+")))))</x:f>
        <x:v>5 121+</x:v>
      </x:c>
      <x:c r="O418" s="9" t="n">
        <x:f>IF(J418&gt;0,1,0)</x:f>
        <x:v>1</x:v>
      </x:c>
    </x:row>
    <x:row r="419">
      <x:c r="A419" s="15" t="str">
        <x:v>415</x:v>
      </x:c>
      <x:c r="B419" s="9" t="str">
        <x:v>Morgan</x:v>
      </x:c>
      <x:c r="C419" s="9" t="str">
        <x:v>Medical</x:v>
      </x:c>
      <x:c r="D419" s="9" t="str">
        <x:v>West</x:v>
      </x:c>
      <x:c r="E419" s="9" t="n">
        <x:v>730</x:v>
      </x:c>
      <x:c r="F419" s="11" t="n">
        <x:v>46098</x:v>
      </x:c>
      <x:c r="G419" s="13" t="n">
        <x:v>22901.87</x:v>
      </x:c>
      <x:c r="H419" s="9" t="n">
        <x:v>147</x:v>
      </x:c>
      <x:c r="I419" s="9" t="n">
        <x:v>3</x:v>
      </x:c>
      <x:c r="J419" s="9" t="n">
        <x:v>0</x:v>
      </x:c>
      <x:c r="K419" s="9" t="n">
        <x:v>0</x:v>
      </x:c>
      <x:c r="L419" s="13" t="n">
        <x:f>SUMIFS('Payments'!$D$5:$D$3014,'Payments'!$B$5:$B$3014,A419)</x:f>
        <x:v>6338.54</x:v>
      </x:c>
      <x:c r="M419" s="13" t="n">
        <x:f>G419-L419</x:f>
        <x:v>16563.329999999998</x:v>
      </x:c>
      <x:c r="N419" s="9" t="str">
        <x:f>IF(H419=0,"0 Current",IF(H419&lt;=30,"1 1-30",IF(H419&lt;=60,"2 31-60",IF(H419&lt;=90,"3 61-90",IF(H419&lt;=120,"4 91-120","5 121+")))))</x:f>
        <x:v>5 121+</x:v>
      </x:c>
      <x:c r="O419" s="9" t="n">
        <x:f>IF(J419&gt;0,1,0)</x:f>
        <x:v>0</x:v>
      </x:c>
    </x:row>
    <x:row r="420">
      <x:c r="A420" s="15" t="str">
        <x:v>416</x:v>
      </x:c>
      <x:c r="B420" s="9" t="str">
        <x:v>Casey</x:v>
      </x:c>
      <x:c r="C420" s="9" t="str">
        <x:v>Medical</x:v>
      </x:c>
      <x:c r="D420" s="9" t="str">
        <x:v>South</x:v>
      </x:c>
      <x:c r="E420" s="9" t="n">
        <x:v>817</x:v>
      </x:c>
      <x:c r="F420" s="11" t="n">
        <x:v>46099</x:v>
      </x:c>
      <x:c r="G420" s="13" t="n">
        <x:v>9526.68</x:v>
      </x:c>
      <x:c r="H420" s="9" t="n">
        <x:v>151</x:v>
      </x:c>
      <x:c r="I420" s="9" t="n">
        <x:v>6</x:v>
      </x:c>
      <x:c r="J420" s="9" t="n">
        <x:v>1</x:v>
      </x:c>
      <x:c r="K420" s="9" t="n">
        <x:v>1</x:v>
      </x:c>
      <x:c r="L420" s="13" t="n">
        <x:f>SUMIFS('Payments'!$D$5:$D$3014,'Payments'!$B$5:$B$3014,A420)</x:f>
        <x:v>1339.23</x:v>
      </x:c>
      <x:c r="M420" s="13" t="n">
        <x:f>G420-L420</x:f>
        <x:v>8187.450000000001</x:v>
      </x:c>
      <x:c r="N420" s="9" t="str">
        <x:f>IF(H420=0,"0 Current",IF(H420&lt;=30,"1 1-30",IF(H420&lt;=60,"2 31-60",IF(H420&lt;=90,"3 61-90",IF(H420&lt;=120,"4 91-120","5 121+")))))</x:f>
        <x:v>5 121+</x:v>
      </x:c>
      <x:c r="O420" s="9" t="n">
        <x:f>IF(J420&gt;0,1,0)</x:f>
        <x:v>1</x:v>
      </x:c>
    </x:row>
    <x:row r="421">
      <x:c r="A421" s="15" t="str">
        <x:v>417</x:v>
      </x:c>
      <x:c r="B421" s="9" t="str">
        <x:v>Taylor</x:v>
      </x:c>
      <x:c r="C421" s="9" t="str">
        <x:v>Personal Loan</x:v>
      </x:c>
      <x:c r="D421" s="9" t="str">
        <x:v>West</x:v>
      </x:c>
      <x:c r="E421" s="9" t="n">
        <x:v>650</x:v>
      </x:c>
      <x:c r="F421" s="11" t="n">
        <x:v>46075</x:v>
      </x:c>
      <x:c r="G421" s="13" t="n">
        <x:v>3459.41</x:v>
      </x:c>
      <x:c r="H421" s="9" t="n">
        <x:v>162</x:v>
      </x:c>
      <x:c r="I421" s="9" t="n">
        <x:v>6</x:v>
      </x:c>
      <x:c r="J421" s="9" t="n">
        <x:v>0</x:v>
      </x:c>
      <x:c r="K421" s="9" t="n">
        <x:v>0</x:v>
      </x:c>
      <x:c r="L421" s="13" t="n">
        <x:f>SUMIFS('Payments'!$D$5:$D$3014,'Payments'!$B$5:$B$3014,A421)</x:f>
        <x:v>253.88</x:v>
      </x:c>
      <x:c r="M421" s="13" t="n">
        <x:f>G421-L421</x:f>
        <x:v>3205.5299999999997</x:v>
      </x:c>
      <x:c r="N421" s="9" t="str">
        <x:f>IF(H421=0,"0 Current",IF(H421&lt;=30,"1 1-30",IF(H421&lt;=60,"2 31-60",IF(H421&lt;=90,"3 61-90",IF(H421&lt;=120,"4 91-120","5 121+")))))</x:f>
        <x:v>5 121+</x:v>
      </x:c>
      <x:c r="O421" s="9" t="n">
        <x:f>IF(J421&gt;0,1,0)</x:f>
        <x:v>0</x:v>
      </x:c>
    </x:row>
    <x:row r="422">
      <x:c r="A422" s="15" t="str">
        <x:v>418</x:v>
      </x:c>
      <x:c r="B422" s="9" t="str">
        <x:v>Casey</x:v>
      </x:c>
      <x:c r="C422" s="9" t="str">
        <x:v>Medical</x:v>
      </x:c>
      <x:c r="D422" s="9" t="str">
        <x:v>West</x:v>
      </x:c>
      <x:c r="E422" s="9" t="n">
        <x:v>572</x:v>
      </x:c>
      <x:c r="F422" s="11" t="n">
        <x:v>46108</x:v>
      </x:c>
      <x:c r="G422" s="13" t="n">
        <x:v>11961.06</x:v>
      </x:c>
      <x:c r="H422" s="9" t="n">
        <x:v>70</x:v>
      </x:c>
      <x:c r="I422" s="9" t="n">
        <x:v>1</x:v>
      </x:c>
      <x:c r="J422" s="9" t="n">
        <x:v>1</x:v>
      </x:c>
      <x:c r="K422" s="9" t="n">
        <x:v>1</x:v>
      </x:c>
      <x:c r="L422" s="13" t="n">
        <x:f>SUMIFS('Payments'!$D$5:$D$3014,'Payments'!$B$5:$B$3014,A422)</x:f>
        <x:v>0</x:v>
      </x:c>
      <x:c r="M422" s="13" t="n">
        <x:f>G422-L422</x:f>
        <x:v>11961.06</x:v>
      </x:c>
      <x:c r="N422" s="9" t="str">
        <x:f>IF(H422=0,"0 Current",IF(H422&lt;=30,"1 1-30",IF(H422&lt;=60,"2 31-60",IF(H422&lt;=90,"3 61-90",IF(H422&lt;=120,"4 91-120","5 121+")))))</x:f>
        <x:v>3 61-90</x:v>
      </x:c>
      <x:c r="O422" s="9" t="n">
        <x:f>IF(J422&gt;0,1,0)</x:f>
        <x:v>1</x:v>
      </x:c>
    </x:row>
    <x:row r="423">
      <x:c r="A423" s="15" t="str">
        <x:v>419</x:v>
      </x:c>
      <x:c r="B423" s="9" t="str">
        <x:v>Alex</x:v>
      </x:c>
      <x:c r="C423" s="9" t="str">
        <x:v>Credit Card</x:v>
      </x:c>
      <x:c r="D423" s="9" t="str">
        <x:v>West</x:v>
      </x:c>
      <x:c r="E423" s="9" t="n">
        <x:v>576</x:v>
      </x:c>
      <x:c r="F423" s="11" t="n">
        <x:v>46079</x:v>
      </x:c>
      <x:c r="G423" s="13" t="n">
        <x:v>16380.99</x:v>
      </x:c>
      <x:c r="H423" s="9" t="n">
        <x:v>44</x:v>
      </x:c>
      <x:c r="I423" s="9" t="n">
        <x:v>4</x:v>
      </x:c>
      <x:c r="J423" s="9" t="n">
        <x:v>1</x:v>
      </x:c>
      <x:c r="K423" s="9" t="n">
        <x:v>0</x:v>
      </x:c>
      <x:c r="L423" s="13" t="n">
        <x:f>SUMIFS('Payments'!$D$5:$D$3014,'Payments'!$B$5:$B$3014,A423)</x:f>
        <x:v>5422.99</x:v>
      </x:c>
      <x:c r="M423" s="13" t="n">
        <x:f>G423-L423</x:f>
        <x:v>10958</x:v>
      </x:c>
      <x:c r="N423" s="9" t="str">
        <x:f>IF(H423=0,"0 Current",IF(H423&lt;=30,"1 1-30",IF(H423&lt;=60,"2 31-60",IF(H423&lt;=90,"3 61-90",IF(H423&lt;=120,"4 91-120","5 121+")))))</x:f>
        <x:v>2 31-60</x:v>
      </x:c>
      <x:c r="O423" s="9" t="n">
        <x:f>IF(J423&gt;0,1,0)</x:f>
        <x:v>1</x:v>
      </x:c>
    </x:row>
    <x:row r="424">
      <x:c r="A424" s="15" t="str">
        <x:v>420</x:v>
      </x:c>
      <x:c r="B424" s="9" t="str">
        <x:v>Riley</x:v>
      </x:c>
      <x:c r="C424" s="9" t="str">
        <x:v>Auto</x:v>
      </x:c>
      <x:c r="D424" s="9" t="str">
        <x:v>Northeast</x:v>
      </x:c>
      <x:c r="E424" s="9" t="n">
        <x:v>732</x:v>
      </x:c>
      <x:c r="F424" s="11" t="n">
        <x:v>46111</x:v>
      </x:c>
      <x:c r="G424" s="13" t="n">
        <x:v>22800.36</x:v>
      </x:c>
      <x:c r="H424" s="9" t="n">
        <x:v>122</x:v>
      </x:c>
      <x:c r="I424" s="9" t="n">
        <x:v>2</x:v>
      </x:c>
      <x:c r="J424" s="9" t="n">
        <x:v>0</x:v>
      </x:c>
      <x:c r="K424" s="9" t="n">
        <x:v>0</x:v>
      </x:c>
      <x:c r="L424" s="13" t="n">
        <x:f>SUMIFS('Payments'!$D$5:$D$3014,'Payments'!$B$5:$B$3014,A424)</x:f>
        <x:v>4266.41</x:v>
      </x:c>
      <x:c r="M424" s="13" t="n">
        <x:f>G424-L424</x:f>
        <x:v>18533.95</x:v>
      </x:c>
      <x:c r="N424" s="9" t="str">
        <x:f>IF(H424=0,"0 Current",IF(H424&lt;=30,"1 1-30",IF(H424&lt;=60,"2 31-60",IF(H424&lt;=90,"3 61-90",IF(H424&lt;=120,"4 91-120","5 121+")))))</x:f>
        <x:v>5 121+</x:v>
      </x:c>
      <x:c r="O424" s="9" t="n">
        <x:f>IF(J424&gt;0,1,0)</x:f>
        <x:v>0</x:v>
      </x:c>
    </x:row>
    <x:row r="425">
      <x:c r="A425" s="15" t="str">
        <x:v>421</x:v>
      </x:c>
      <x:c r="B425" s="9" t="str">
        <x:v>Taylor</x:v>
      </x:c>
      <x:c r="C425" s="9" t="str">
        <x:v>Auto</x:v>
      </x:c>
      <x:c r="D425" s="9" t="str">
        <x:v>Northeast</x:v>
      </x:c>
      <x:c r="E425" s="9" t="n">
        <x:v>810</x:v>
      </x:c>
      <x:c r="F425" s="11" t="n">
        <x:v>46117</x:v>
      </x:c>
      <x:c r="G425" s="13" t="n">
        <x:v>10948.49</x:v>
      </x:c>
      <x:c r="H425" s="9" t="n">
        <x:v>180</x:v>
      </x:c>
      <x:c r="I425" s="9" t="n">
        <x:v>4</x:v>
      </x:c>
      <x:c r="J425" s="9" t="n">
        <x:v>2</x:v>
      </x:c>
      <x:c r="K425" s="9" t="n">
        <x:v>1</x:v>
      </x:c>
      <x:c r="L425" s="13" t="n">
        <x:f>SUMIFS('Payments'!$D$5:$D$3014,'Payments'!$B$5:$B$3014,A425)</x:f>
        <x:v>2754.54</x:v>
      </x:c>
      <x:c r="M425" s="13" t="n">
        <x:f>G425-L425</x:f>
        <x:v>8193.95</x:v>
      </x:c>
      <x:c r="N425" s="9" t="str">
        <x:f>IF(H425=0,"0 Current",IF(H425&lt;=30,"1 1-30",IF(H425&lt;=60,"2 31-60",IF(H425&lt;=90,"3 61-90",IF(H425&lt;=120,"4 91-120","5 121+")))))</x:f>
        <x:v>5 121+</x:v>
      </x:c>
      <x:c r="O425" s="9" t="n">
        <x:f>IF(J425&gt;0,1,0)</x:f>
        <x:v>1</x:v>
      </x:c>
    </x:row>
    <x:row r="426">
      <x:c r="A426" s="15" t="str">
        <x:v>422</x:v>
      </x:c>
      <x:c r="B426" s="9" t="str">
        <x:v>Alex</x:v>
      </x:c>
      <x:c r="C426" s="9" t="str">
        <x:v>Medical</x:v>
      </x:c>
      <x:c r="D426" s="9" t="str">
        <x:v>South</x:v>
      </x:c>
      <x:c r="E426" s="9" t="n">
        <x:v>740</x:v>
      </x:c>
      <x:c r="F426" s="11" t="n">
        <x:v>46046</x:v>
      </x:c>
      <x:c r="G426" s="13" t="n">
        <x:v>3833.41</x:v>
      </x:c>
      <x:c r="H426" s="9" t="n">
        <x:v>23</x:v>
      </x:c>
      <x:c r="I426" s="9" t="n">
        <x:v>1</x:v>
      </x:c>
      <x:c r="J426" s="9" t="n">
        <x:v>0</x:v>
      </x:c>
      <x:c r="K426" s="9" t="n">
        <x:v>0</x:v>
      </x:c>
      <x:c r="L426" s="13" t="n">
        <x:f>SUMIFS('Payments'!$D$5:$D$3014,'Payments'!$B$5:$B$3014,A426)</x:f>
        <x:v>387.03</x:v>
      </x:c>
      <x:c r="M426" s="13" t="n">
        <x:f>G426-L426</x:f>
        <x:v>3446.38</x:v>
      </x:c>
      <x:c r="N426" s="9" t="str">
        <x:f>IF(H426=0,"0 Current",IF(H426&lt;=30,"1 1-30",IF(H426&lt;=60,"2 31-60",IF(H426&lt;=90,"3 61-90",IF(H426&lt;=120,"4 91-120","5 121+")))))</x:f>
        <x:v>1 1-30</x:v>
      </x:c>
      <x:c r="O426" s="9" t="n">
        <x:f>IF(J426&gt;0,1,0)</x:f>
        <x:v>0</x:v>
      </x:c>
    </x:row>
    <x:row r="427">
      <x:c r="A427" s="15" t="str">
        <x:v>423</x:v>
      </x:c>
      <x:c r="B427" s="9" t="str">
        <x:v>Morgan</x:v>
      </x:c>
      <x:c r="C427" s="9" t="str">
        <x:v>Medical</x:v>
      </x:c>
      <x:c r="D427" s="9" t="str">
        <x:v>South</x:v>
      </x:c>
      <x:c r="E427" s="9" t="n">
        <x:v>555</x:v>
      </x:c>
      <x:c r="F427" s="11" t="n">
        <x:v>46149</x:v>
      </x:c>
      <x:c r="G427" s="13" t="n">
        <x:v>948.56</x:v>
      </x:c>
      <x:c r="H427" s="9" t="n">
        <x:v>122</x:v>
      </x:c>
      <x:c r="I427" s="9" t="n">
        <x:v>0</x:v>
      </x:c>
      <x:c r="J427" s="9" t="n">
        <x:v>0</x:v>
      </x:c>
      <x:c r="K427" s="9" t="n">
        <x:v>0</x:v>
      </x:c>
      <x:c r="L427" s="13" t="n">
        <x:f>SUMIFS('Payments'!$D$5:$D$3014,'Payments'!$B$5:$B$3014,A427)</x:f>
        <x:v>222.01</x:v>
      </x:c>
      <x:c r="M427" s="13" t="n">
        <x:f>G427-L427</x:f>
        <x:v>726.55</x:v>
      </x:c>
      <x:c r="N427" s="9" t="str">
        <x:f>IF(H427=0,"0 Current",IF(H427&lt;=30,"1 1-30",IF(H427&lt;=60,"2 31-60",IF(H427&lt;=90,"3 61-90",IF(H427&lt;=120,"4 91-120","5 121+")))))</x:f>
        <x:v>5 121+</x:v>
      </x:c>
      <x:c r="O427" s="9" t="n">
        <x:f>IF(J427&gt;0,1,0)</x:f>
        <x:v>0</x:v>
      </x:c>
    </x:row>
    <x:row r="428">
      <x:c r="A428" s="15" t="str">
        <x:v>424</x:v>
      </x:c>
      <x:c r="B428" s="9" t="str">
        <x:v>Taylor</x:v>
      </x:c>
      <x:c r="C428" s="9" t="str">
        <x:v>Auto</x:v>
      </x:c>
      <x:c r="D428" s="9" t="str">
        <x:v>Northeast</x:v>
      </x:c>
      <x:c r="E428" s="9" t="n">
        <x:v>500</x:v>
      </x:c>
      <x:c r="F428" s="11" t="n">
        <x:v>46071</x:v>
      </x:c>
      <x:c r="G428" s="13" t="n">
        <x:v>805.77</x:v>
      </x:c>
      <x:c r="H428" s="9" t="n">
        <x:v>179</x:v>
      </x:c>
      <x:c r="I428" s="9" t="n">
        <x:v>2</x:v>
      </x:c>
      <x:c r="J428" s="9" t="n">
        <x:v>0</x:v>
      </x:c>
      <x:c r="K428" s="9" t="n">
        <x:v>0</x:v>
      </x:c>
      <x:c r="L428" s="13" t="n">
        <x:f>SUMIFS('Payments'!$D$5:$D$3014,'Payments'!$B$5:$B$3014,A428)</x:f>
        <x:v>342.32</x:v>
      </x:c>
      <x:c r="M428" s="13" t="n">
        <x:f>G428-L428</x:f>
        <x:v>463.45</x:v>
      </x:c>
      <x:c r="N428" s="9" t="str">
        <x:f>IF(H428=0,"0 Current",IF(H428&lt;=30,"1 1-30",IF(H428&lt;=60,"2 31-60",IF(H428&lt;=90,"3 61-90",IF(H428&lt;=120,"4 91-120","5 121+")))))</x:f>
        <x:v>5 121+</x:v>
      </x:c>
      <x:c r="O428" s="9" t="n">
        <x:f>IF(J428&gt;0,1,0)</x:f>
        <x:v>0</x:v>
      </x:c>
    </x:row>
    <x:row r="429">
      <x:c r="A429" s="15" t="str">
        <x:v>425</x:v>
      </x:c>
      <x:c r="B429" s="9" t="str">
        <x:v>Morgan</x:v>
      </x:c>
      <x:c r="C429" s="9" t="str">
        <x:v>Auto</x:v>
      </x:c>
      <x:c r="D429" s="9" t="str">
        <x:v>South</x:v>
      </x:c>
      <x:c r="E429" s="9" t="n">
        <x:v>508</x:v>
      </x:c>
      <x:c r="F429" s="11" t="n">
        <x:v>46036</x:v>
      </x:c>
      <x:c r="G429" s="13" t="n">
        <x:v>18230.25</x:v>
      </x:c>
      <x:c r="H429" s="9" t="n">
        <x:v>43</x:v>
      </x:c>
      <x:c r="I429" s="9" t="n">
        <x:v>8</x:v>
      </x:c>
      <x:c r="J429" s="9" t="n">
        <x:v>3</x:v>
      </x:c>
      <x:c r="K429" s="9" t="n">
        <x:v>1</x:v>
      </x:c>
      <x:c r="L429" s="13" t="n">
        <x:f>SUMIFS('Payments'!$D$5:$D$3014,'Payments'!$B$5:$B$3014,A429)</x:f>
        <x:v>2096.95</x:v>
      </x:c>
      <x:c r="M429" s="13" t="n">
        <x:f>G429-L429</x:f>
        <x:v>16133.3</x:v>
      </x:c>
      <x:c r="N429" s="9" t="str">
        <x:f>IF(H429=0,"0 Current",IF(H429&lt;=30,"1 1-30",IF(H429&lt;=60,"2 31-60",IF(H429&lt;=90,"3 61-90",IF(H429&lt;=120,"4 91-120","5 121+")))))</x:f>
        <x:v>2 31-60</x:v>
      </x:c>
      <x:c r="O429" s="9" t="n">
        <x:f>IF(J429&gt;0,1,0)</x:f>
        <x:v>1</x:v>
      </x:c>
    </x:row>
    <x:row r="430">
      <x:c r="A430" s="15" t="str">
        <x:v>426</x:v>
      </x:c>
      <x:c r="B430" s="9" t="str">
        <x:v>Alex</x:v>
      </x:c>
      <x:c r="C430" s="9" t="str">
        <x:v>Auto</x:v>
      </x:c>
      <x:c r="D430" s="9" t="str">
        <x:v>Northeast</x:v>
      </x:c>
      <x:c r="E430" s="9" t="n">
        <x:v>500</x:v>
      </x:c>
      <x:c r="F430" s="11" t="n">
        <x:v>46037</x:v>
      </x:c>
      <x:c r="G430" s="13" t="n">
        <x:v>15420.98</x:v>
      </x:c>
      <x:c r="H430" s="9" t="n">
        <x:v>84</x:v>
      </x:c>
      <x:c r="I430" s="9" t="n">
        <x:v>2</x:v>
      </x:c>
      <x:c r="J430" s="9" t="n">
        <x:v>0</x:v>
      </x:c>
      <x:c r="K430" s="9" t="n">
        <x:v>0</x:v>
      </x:c>
      <x:c r="L430" s="13" t="n">
        <x:f>SUMIFS('Payments'!$D$5:$D$3014,'Payments'!$B$5:$B$3014,A430)</x:f>
        <x:v>961.21</x:v>
      </x:c>
      <x:c r="M430" s="13" t="n">
        <x:f>G430-L430</x:f>
        <x:v>14459.77</x:v>
      </x:c>
      <x:c r="N430" s="9" t="str">
        <x:f>IF(H430=0,"0 Current",IF(H430&lt;=30,"1 1-30",IF(H430&lt;=60,"2 31-60",IF(H430&lt;=90,"3 61-90",IF(H430&lt;=120,"4 91-120","5 121+")))))</x:f>
        <x:v>3 61-90</x:v>
      </x:c>
      <x:c r="O430" s="9" t="n">
        <x:f>IF(J430&gt;0,1,0)</x:f>
        <x:v>0</x:v>
      </x:c>
    </x:row>
    <x:row r="431">
      <x:c r="A431" s="15" t="str">
        <x:v>427</x:v>
      </x:c>
      <x:c r="B431" s="9" t="str">
        <x:v>Riley</x:v>
      </x:c>
      <x:c r="C431" s="9" t="str">
        <x:v>Medical</x:v>
      </x:c>
      <x:c r="D431" s="9" t="str">
        <x:v>Northeast</x:v>
      </x:c>
      <x:c r="E431" s="9" t="n">
        <x:v>629</x:v>
      </x:c>
      <x:c r="F431" s="11" t="n">
        <x:v>46073</x:v>
      </x:c>
      <x:c r="G431" s="13" t="n">
        <x:v>4054.41</x:v>
      </x:c>
      <x:c r="H431" s="9" t="n">
        <x:v>105</x:v>
      </x:c>
      <x:c r="I431" s="9" t="n">
        <x:v>7</x:v>
      </x:c>
      <x:c r="J431" s="9" t="n">
        <x:v>1</x:v>
      </x:c>
      <x:c r="K431" s="9" t="n">
        <x:v>0</x:v>
      </x:c>
      <x:c r="L431" s="13" t="n">
        <x:f>SUMIFS('Payments'!$D$5:$D$3014,'Payments'!$B$5:$B$3014,A431)</x:f>
        <x:v>0</x:v>
      </x:c>
      <x:c r="M431" s="13" t="n">
        <x:f>G431-L431</x:f>
        <x:v>4054.41</x:v>
      </x:c>
      <x:c r="N431" s="9" t="str">
        <x:f>IF(H431=0,"0 Current",IF(H431&lt;=30,"1 1-30",IF(H431&lt;=60,"2 31-60",IF(H431&lt;=90,"3 61-90",IF(H431&lt;=120,"4 91-120","5 121+")))))</x:f>
        <x:v>4 91-120</x:v>
      </x:c>
      <x:c r="O431" s="9" t="n">
        <x:f>IF(J431&gt;0,1,0)</x:f>
        <x:v>1</x:v>
      </x:c>
    </x:row>
    <x:row r="432">
      <x:c r="A432" s="15" t="str">
        <x:v>428</x:v>
      </x:c>
      <x:c r="B432" s="9" t="str">
        <x:v>Casey</x:v>
      </x:c>
      <x:c r="C432" s="9" t="str">
        <x:v>Personal Loan</x:v>
      </x:c>
      <x:c r="D432" s="9" t="str">
        <x:v>West</x:v>
      </x:c>
      <x:c r="E432" s="9" t="n">
        <x:v>772</x:v>
      </x:c>
      <x:c r="F432" s="11" t="n">
        <x:v>46135</x:v>
      </x:c>
      <x:c r="G432" s="13" t="n">
        <x:v>7287.82</x:v>
      </x:c>
      <x:c r="H432" s="9" t="n">
        <x:v>191</x:v>
      </x:c>
      <x:c r="I432" s="9" t="n">
        <x:v>0</x:v>
      </x:c>
      <x:c r="J432" s="9" t="n">
        <x:v>0</x:v>
      </x:c>
      <x:c r="K432" s="9" t="n">
        <x:v>0</x:v>
      </x:c>
      <x:c r="L432" s="13" t="n">
        <x:f>SUMIFS('Payments'!$D$5:$D$3014,'Payments'!$B$5:$B$3014,A432)</x:f>
        <x:v>546.2</x:v>
      </x:c>
      <x:c r="M432" s="13" t="n">
        <x:f>G432-L432</x:f>
        <x:v>6741.62</x:v>
      </x:c>
      <x:c r="N432" s="9" t="str">
        <x:f>IF(H432=0,"0 Current",IF(H432&lt;=30,"1 1-30",IF(H432&lt;=60,"2 31-60",IF(H432&lt;=90,"3 61-90",IF(H432&lt;=120,"4 91-120","5 121+")))))</x:f>
        <x:v>5 121+</x:v>
      </x:c>
      <x:c r="O432" s="9" t="n">
        <x:f>IF(J432&gt;0,1,0)</x:f>
        <x:v>0</x:v>
      </x:c>
    </x:row>
    <x:row r="433">
      <x:c r="A433" s="15" t="str">
        <x:v>429</x:v>
      </x:c>
      <x:c r="B433" s="9" t="str">
        <x:v>Morgan</x:v>
      </x:c>
      <x:c r="C433" s="9" t="str">
        <x:v>Personal Loan</x:v>
      </x:c>
      <x:c r="D433" s="9" t="str">
        <x:v>West</x:v>
      </x:c>
      <x:c r="E433" s="9" t="n">
        <x:v>569</x:v>
      </x:c>
      <x:c r="F433" s="11" t="n">
        <x:v>46057</x:v>
      </x:c>
      <x:c r="G433" s="13" t="n">
        <x:v>17048.45</x:v>
      </x:c>
      <x:c r="H433" s="9" t="n">
        <x:v>230</x:v>
      </x:c>
      <x:c r="I433" s="9" t="n">
        <x:v>2</x:v>
      </x:c>
      <x:c r="J433" s="9" t="n">
        <x:v>1</x:v>
      </x:c>
      <x:c r="K433" s="9" t="n">
        <x:v>1</x:v>
      </x:c>
      <x:c r="L433" s="13" t="n">
        <x:f>SUMIFS('Payments'!$D$5:$D$3014,'Payments'!$B$5:$B$3014,A433)</x:f>
        <x:v>0</x:v>
      </x:c>
      <x:c r="M433" s="13" t="n">
        <x:f>G433-L433</x:f>
        <x:v>17048.45</x:v>
      </x:c>
      <x:c r="N433" s="9" t="str">
        <x:f>IF(H433=0,"0 Current",IF(H433&lt;=30,"1 1-30",IF(H433&lt;=60,"2 31-60",IF(H433&lt;=90,"3 61-90",IF(H433&lt;=120,"4 91-120","5 121+")))))</x:f>
        <x:v>5 121+</x:v>
      </x:c>
      <x:c r="O433" s="9" t="n">
        <x:f>IF(J433&gt;0,1,0)</x:f>
        <x:v>1</x:v>
      </x:c>
    </x:row>
    <x:row r="434">
      <x:c r="A434" s="15" t="str">
        <x:v>430</x:v>
      </x:c>
      <x:c r="B434" s="9" t="str">
        <x:v>Morgan</x:v>
      </x:c>
      <x:c r="C434" s="9" t="str">
        <x:v>Medical</x:v>
      </x:c>
      <x:c r="D434" s="9" t="str">
        <x:v>Northeast</x:v>
      </x:c>
      <x:c r="E434" s="9" t="n">
        <x:v>538</x:v>
      </x:c>
      <x:c r="F434" s="11" t="n">
        <x:v>46148</x:v>
      </x:c>
      <x:c r="G434" s="13" t="n">
        <x:v>23573.85</x:v>
      </x:c>
      <x:c r="H434" s="9" t="n">
        <x:v>83</x:v>
      </x:c>
      <x:c r="I434" s="9" t="n">
        <x:v>0</x:v>
      </x:c>
      <x:c r="J434" s="9" t="n">
        <x:v>0</x:v>
      </x:c>
      <x:c r="K434" s="9" t="n">
        <x:v>0</x:v>
      </x:c>
      <x:c r="L434" s="13" t="n">
        <x:f>SUMIFS('Payments'!$D$5:$D$3014,'Payments'!$B$5:$B$3014,A434)</x:f>
        <x:v>5275.17</x:v>
      </x:c>
      <x:c r="M434" s="13" t="n">
        <x:f>G434-L434</x:f>
        <x:v>18298.68</x:v>
      </x:c>
      <x:c r="N434" s="9" t="str">
        <x:f>IF(H434=0,"0 Current",IF(H434&lt;=30,"1 1-30",IF(H434&lt;=60,"2 31-60",IF(H434&lt;=90,"3 61-90",IF(H434&lt;=120,"4 91-120","5 121+")))))</x:f>
        <x:v>3 61-90</x:v>
      </x:c>
      <x:c r="O434" s="9" t="n">
        <x:f>IF(J434&gt;0,1,0)</x:f>
        <x:v>0</x:v>
      </x:c>
    </x:row>
    <x:row r="435">
      <x:c r="A435" s="15" t="str">
        <x:v>431</x:v>
      </x:c>
      <x:c r="B435" s="9" t="str">
        <x:v>Jordan</x:v>
      </x:c>
      <x:c r="C435" s="9" t="str">
        <x:v>Credit Card</x:v>
      </x:c>
      <x:c r="D435" s="9" t="str">
        <x:v>Midwest</x:v>
      </x:c>
      <x:c r="E435" s="9" t="n">
        <x:v>781</x:v>
      </x:c>
      <x:c r="F435" s="11" t="n">
        <x:v>46055</x:v>
      </x:c>
      <x:c r="G435" s="13" t="n">
        <x:v>7023.9</x:v>
      </x:c>
      <x:c r="H435" s="9" t="n">
        <x:v>196</x:v>
      </x:c>
      <x:c r="I435" s="9" t="n">
        <x:v>6</x:v>
      </x:c>
      <x:c r="J435" s="9" t="n">
        <x:v>3</x:v>
      </x:c>
      <x:c r="K435" s="9" t="n">
        <x:v>0</x:v>
      </x:c>
      <x:c r="L435" s="13" t="n">
        <x:f>SUMIFS('Payments'!$D$5:$D$3014,'Payments'!$B$5:$B$3014,A435)</x:f>
        <x:v>78.2</x:v>
      </x:c>
      <x:c r="M435" s="13" t="n">
        <x:f>G435-L435</x:f>
        <x:v>6945.7</x:v>
      </x:c>
      <x:c r="N435" s="9" t="str">
        <x:f>IF(H435=0,"0 Current",IF(H435&lt;=30,"1 1-30",IF(H435&lt;=60,"2 31-60",IF(H435&lt;=90,"3 61-90",IF(H435&lt;=120,"4 91-120","5 121+")))))</x:f>
        <x:v>5 121+</x:v>
      </x:c>
      <x:c r="O435" s="9" t="n">
        <x:f>IF(J435&gt;0,1,0)</x:f>
        <x:v>1</x:v>
      </x:c>
    </x:row>
    <x:row r="436">
      <x:c r="A436" s="15" t="str">
        <x:v>432</x:v>
      </x:c>
      <x:c r="B436" s="9" t="str">
        <x:v>Taylor</x:v>
      </x:c>
      <x:c r="C436" s="9" t="str">
        <x:v>Auto</x:v>
      </x:c>
      <x:c r="D436" s="9" t="str">
        <x:v>Midwest</x:v>
      </x:c>
      <x:c r="E436" s="9" t="n">
        <x:v>779</x:v>
      </x:c>
      <x:c r="F436" s="11" t="n">
        <x:v>46090</x:v>
      </x:c>
      <x:c r="G436" s="13" t="n">
        <x:v>10874.79</x:v>
      </x:c>
      <x:c r="H436" s="9" t="n">
        <x:v>50</x:v>
      </x:c>
      <x:c r="I436" s="9" t="n">
        <x:v>2</x:v>
      </x:c>
      <x:c r="J436" s="9" t="n">
        <x:v>0</x:v>
      </x:c>
      <x:c r="K436" s="9" t="n">
        <x:v>0</x:v>
      </x:c>
      <x:c r="L436" s="13" t="n">
        <x:f>SUMIFS('Payments'!$D$5:$D$3014,'Payments'!$B$5:$B$3014,A436)</x:f>
        <x:v>2091.9700000000003</x:v>
      </x:c>
      <x:c r="M436" s="13" t="n">
        <x:f>G436-L436</x:f>
        <x:v>8782.82</x:v>
      </x:c>
      <x:c r="N436" s="9" t="str">
        <x:f>IF(H436=0,"0 Current",IF(H436&lt;=30,"1 1-30",IF(H436&lt;=60,"2 31-60",IF(H436&lt;=90,"3 61-90",IF(H436&lt;=120,"4 91-120","5 121+")))))</x:f>
        <x:v>2 31-60</x:v>
      </x:c>
      <x:c r="O436" s="9" t="n">
        <x:f>IF(J436&gt;0,1,0)</x:f>
        <x:v>0</x:v>
      </x:c>
    </x:row>
    <x:row r="437">
      <x:c r="A437" s="15" t="str">
        <x:v>433</x:v>
      </x:c>
      <x:c r="B437" s="9" t="str">
        <x:v>Morgan</x:v>
      </x:c>
      <x:c r="C437" s="9" t="str">
        <x:v>Credit Card</x:v>
      </x:c>
      <x:c r="D437" s="9" t="str">
        <x:v>West</x:v>
      </x:c>
      <x:c r="E437" s="9" t="n">
        <x:v>456</x:v>
      </x:c>
      <x:c r="F437" s="11" t="n">
        <x:v>46072</x:v>
      </x:c>
      <x:c r="G437" s="13" t="n">
        <x:v>6632.45</x:v>
      </x:c>
      <x:c r="H437" s="9" t="n">
        <x:v>157</x:v>
      </x:c>
      <x:c r="I437" s="9" t="n">
        <x:v>6</x:v>
      </x:c>
      <x:c r="J437" s="9" t="n">
        <x:v>0</x:v>
      </x:c>
      <x:c r="K437" s="9" t="n">
        <x:v>0</x:v>
      </x:c>
      <x:c r="L437" s="13" t="n">
        <x:f>SUMIFS('Payments'!$D$5:$D$3014,'Payments'!$B$5:$B$3014,A437)</x:f>
        <x:v>129.19</x:v>
      </x:c>
      <x:c r="M437" s="13" t="n">
        <x:f>G437-L437</x:f>
        <x:v>6503.26</x:v>
      </x:c>
      <x:c r="N437" s="9" t="str">
        <x:f>IF(H437=0,"0 Current",IF(H437&lt;=30,"1 1-30",IF(H437&lt;=60,"2 31-60",IF(H437&lt;=90,"3 61-90",IF(H437&lt;=120,"4 91-120","5 121+")))))</x:f>
        <x:v>5 121+</x:v>
      </x:c>
      <x:c r="O437" s="9" t="n">
        <x:f>IF(J437&gt;0,1,0)</x:f>
        <x:v>0</x:v>
      </x:c>
    </x:row>
    <x:row r="438">
      <x:c r="A438" s="15" t="str">
        <x:v>434</x:v>
      </x:c>
      <x:c r="B438" s="9" t="str">
        <x:v>Casey</x:v>
      </x:c>
      <x:c r="C438" s="9" t="str">
        <x:v>Personal Loan</x:v>
      </x:c>
      <x:c r="D438" s="9" t="str">
        <x:v>South</x:v>
      </x:c>
      <x:c r="E438" s="9" t="n">
        <x:v>555</x:v>
      </x:c>
      <x:c r="F438" s="11" t="n">
        <x:v>46112</x:v>
      </x:c>
      <x:c r="G438" s="13" t="n">
        <x:v>18035.3</x:v>
      </x:c>
      <x:c r="H438" s="9" t="n">
        <x:v>229</x:v>
      </x:c>
      <x:c r="I438" s="9" t="n">
        <x:v>2</x:v>
      </x:c>
      <x:c r="J438" s="9" t="n">
        <x:v>1</x:v>
      </x:c>
      <x:c r="K438" s="9" t="n">
        <x:v>0</x:v>
      </x:c>
      <x:c r="L438" s="13" t="n">
        <x:f>SUMIFS('Payments'!$D$5:$D$3014,'Payments'!$B$5:$B$3014,A438)</x:f>
        <x:v>0</x:v>
      </x:c>
      <x:c r="M438" s="13" t="n">
        <x:f>G438-L438</x:f>
        <x:v>18035.3</x:v>
      </x:c>
      <x:c r="N438" s="9" t="str">
        <x:f>IF(H438=0,"0 Current",IF(H438&lt;=30,"1 1-30",IF(H438&lt;=60,"2 31-60",IF(H438&lt;=90,"3 61-90",IF(H438&lt;=120,"4 91-120","5 121+")))))</x:f>
        <x:v>5 121+</x:v>
      </x:c>
      <x:c r="O438" s="9" t="n">
        <x:f>IF(J438&gt;0,1,0)</x:f>
        <x:v>1</x:v>
      </x:c>
    </x:row>
    <x:row r="439">
      <x:c r="A439" s="15" t="str">
        <x:v>435</x:v>
      </x:c>
      <x:c r="B439" s="9" t="str">
        <x:v>Morgan</x:v>
      </x:c>
      <x:c r="C439" s="9" t="str">
        <x:v>Personal Loan</x:v>
      </x:c>
      <x:c r="D439" s="9" t="str">
        <x:v>South</x:v>
      </x:c>
      <x:c r="E439" s="9" t="n">
        <x:v>637</x:v>
      </x:c>
      <x:c r="F439" s="11" t="n">
        <x:v>46077</x:v>
      </x:c>
      <x:c r="G439" s="13" t="n">
        <x:v>12467.06</x:v>
      </x:c>
      <x:c r="H439" s="9" t="n">
        <x:v>232</x:v>
      </x:c>
      <x:c r="I439" s="9" t="n">
        <x:v>1</x:v>
      </x:c>
      <x:c r="J439" s="9" t="n">
        <x:v>1</x:v>
      </x:c>
      <x:c r="K439" s="9" t="n">
        <x:v>0</x:v>
      </x:c>
      <x:c r="L439" s="13" t="n">
        <x:f>SUMIFS('Payments'!$D$5:$D$3014,'Payments'!$B$5:$B$3014,A439)</x:f>
        <x:v>2952.8500000000004</x:v>
      </x:c>
      <x:c r="M439" s="13" t="n">
        <x:f>G439-L439</x:f>
        <x:v>9514.21</x:v>
      </x:c>
      <x:c r="N439" s="9" t="str">
        <x:f>IF(H439=0,"0 Current",IF(H439&lt;=30,"1 1-30",IF(H439&lt;=60,"2 31-60",IF(H439&lt;=90,"3 61-90",IF(H439&lt;=120,"4 91-120","5 121+")))))</x:f>
        <x:v>5 121+</x:v>
      </x:c>
      <x:c r="O439" s="9" t="n">
        <x:f>IF(J439&gt;0,1,0)</x:f>
        <x:v>1</x:v>
      </x:c>
    </x:row>
    <x:row r="440">
      <x:c r="A440" s="15" t="str">
        <x:v>436</x:v>
      </x:c>
      <x:c r="B440" s="9" t="str">
        <x:v>Jordan</x:v>
      </x:c>
      <x:c r="C440" s="9" t="str">
        <x:v>Personal Loan</x:v>
      </x:c>
      <x:c r="D440" s="9" t="str">
        <x:v>Northeast</x:v>
      </x:c>
      <x:c r="E440" s="9" t="n">
        <x:v>698</x:v>
      </x:c>
      <x:c r="F440" s="11" t="n">
        <x:v>46164</x:v>
      </x:c>
      <x:c r="G440" s="13" t="n">
        <x:v>5965.51</x:v>
      </x:c>
      <x:c r="H440" s="9" t="n">
        <x:v>189</x:v>
      </x:c>
      <x:c r="I440" s="9" t="n">
        <x:v>4</x:v>
      </x:c>
      <x:c r="J440" s="9" t="n">
        <x:v>2</x:v>
      </x:c>
      <x:c r="K440" s="9" t="n">
        <x:v>0</x:v>
      </x:c>
      <x:c r="L440" s="13" t="n">
        <x:f>SUMIFS('Payments'!$D$5:$D$3014,'Payments'!$B$5:$B$3014,A440)</x:f>
        <x:v>1200.24</x:v>
      </x:c>
      <x:c r="M440" s="13" t="n">
        <x:f>G440-L440</x:f>
        <x:v>4765.27</x:v>
      </x:c>
      <x:c r="N440" s="9" t="str">
        <x:f>IF(H440=0,"0 Current",IF(H440&lt;=30,"1 1-30",IF(H440&lt;=60,"2 31-60",IF(H440&lt;=90,"3 61-90",IF(H440&lt;=120,"4 91-120","5 121+")))))</x:f>
        <x:v>5 121+</x:v>
      </x:c>
      <x:c r="O440" s="9" t="n">
        <x:f>IF(J440&gt;0,1,0)</x:f>
        <x:v>1</x:v>
      </x:c>
    </x:row>
    <x:row r="441">
      <x:c r="A441" s="15" t="str">
        <x:v>437</x:v>
      </x:c>
      <x:c r="B441" s="9" t="str">
        <x:v>Taylor</x:v>
      </x:c>
      <x:c r="C441" s="9" t="str">
        <x:v>Auto</x:v>
      </x:c>
      <x:c r="D441" s="9" t="str">
        <x:v>South</x:v>
      </x:c>
      <x:c r="E441" s="9" t="n">
        <x:v>751</x:v>
      </x:c>
      <x:c r="F441" s="11" t="n">
        <x:v>46071</x:v>
      </x:c>
      <x:c r="G441" s="13" t="n">
        <x:v>8591.96</x:v>
      </x:c>
      <x:c r="H441" s="9" t="n">
        <x:v>236</x:v>
      </x:c>
      <x:c r="I441" s="9" t="n">
        <x:v>1</x:v>
      </x:c>
      <x:c r="J441" s="9" t="n">
        <x:v>0</x:v>
      </x:c>
      <x:c r="K441" s="9" t="n">
        <x:v>0</x:v>
      </x:c>
      <x:c r="L441" s="13" t="n">
        <x:f>SUMIFS('Payments'!$D$5:$D$3014,'Payments'!$B$5:$B$3014,A441)</x:f>
        <x:v>0</x:v>
      </x:c>
      <x:c r="M441" s="13" t="n">
        <x:f>G441-L441</x:f>
        <x:v>8591.96</x:v>
      </x:c>
      <x:c r="N441" s="9" t="str">
        <x:f>IF(H441=0,"0 Current",IF(H441&lt;=30,"1 1-30",IF(H441&lt;=60,"2 31-60",IF(H441&lt;=90,"3 61-90",IF(H441&lt;=120,"4 91-120","5 121+")))))</x:f>
        <x:v>5 121+</x:v>
      </x:c>
      <x:c r="O441" s="9" t="n">
        <x:f>IF(J441&gt;0,1,0)</x:f>
        <x:v>0</x:v>
      </x:c>
    </x:row>
    <x:row r="442">
      <x:c r="A442" s="15" t="str">
        <x:v>438</x:v>
      </x:c>
      <x:c r="B442" s="9" t="str">
        <x:v>Riley</x:v>
      </x:c>
      <x:c r="C442" s="9" t="str">
        <x:v>Medical</x:v>
      </x:c>
      <x:c r="D442" s="9" t="str">
        <x:v>South</x:v>
      </x:c>
      <x:c r="E442" s="9" t="n">
        <x:v>556</x:v>
      </x:c>
      <x:c r="F442" s="11" t="n">
        <x:v>46144</x:v>
      </x:c>
      <x:c r="G442" s="13" t="n">
        <x:v>8972.45</x:v>
      </x:c>
      <x:c r="H442" s="9" t="n">
        <x:v>11</x:v>
      </x:c>
      <x:c r="I442" s="9" t="n">
        <x:v>8</x:v>
      </x:c>
      <x:c r="J442" s="9" t="n">
        <x:v>6</x:v>
      </x:c>
      <x:c r="K442" s="9" t="n">
        <x:v>1</x:v>
      </x:c>
      <x:c r="L442" s="13" t="n">
        <x:f>SUMIFS('Payments'!$D$5:$D$3014,'Payments'!$B$5:$B$3014,A442)</x:f>
        <x:v>261.27</x:v>
      </x:c>
      <x:c r="M442" s="13" t="n">
        <x:f>G442-L442</x:f>
        <x:v>8711.18</x:v>
      </x:c>
      <x:c r="N442" s="9" t="str">
        <x:f>IF(H442=0,"0 Current",IF(H442&lt;=30,"1 1-30",IF(H442&lt;=60,"2 31-60",IF(H442&lt;=90,"3 61-90",IF(H442&lt;=120,"4 91-120","5 121+")))))</x:f>
        <x:v>1 1-30</x:v>
      </x:c>
      <x:c r="O442" s="9" t="n">
        <x:f>IF(J442&gt;0,1,0)</x:f>
        <x:v>1</x:v>
      </x:c>
    </x:row>
    <x:row r="443">
      <x:c r="A443" s="15" t="str">
        <x:v>439</x:v>
      </x:c>
      <x:c r="B443" s="9" t="str">
        <x:v>Casey</x:v>
      </x:c>
      <x:c r="C443" s="9" t="str">
        <x:v>Personal Loan</x:v>
      </x:c>
      <x:c r="D443" s="9" t="str">
        <x:v>South</x:v>
      </x:c>
      <x:c r="E443" s="9" t="n">
        <x:v>456</x:v>
      </x:c>
      <x:c r="F443" s="11" t="n">
        <x:v>46151</x:v>
      </x:c>
      <x:c r="G443" s="13" t="n">
        <x:v>1417.49</x:v>
      </x:c>
      <x:c r="H443" s="9" t="n">
        <x:v>178</x:v>
      </x:c>
      <x:c r="I443" s="9" t="n">
        <x:v>0</x:v>
      </x:c>
      <x:c r="J443" s="9" t="n">
        <x:v>0</x:v>
      </x:c>
      <x:c r="K443" s="9" t="n">
        <x:v>0</x:v>
      </x:c>
      <x:c r="L443" s="13" t="n">
        <x:f>SUMIFS('Payments'!$D$5:$D$3014,'Payments'!$B$5:$B$3014,A443)</x:f>
        <x:v>104.91</x:v>
      </x:c>
      <x:c r="M443" s="13" t="n">
        <x:f>G443-L443</x:f>
        <x:v>1312.58</x:v>
      </x:c>
      <x:c r="N443" s="9" t="str">
        <x:f>IF(H443=0,"0 Current",IF(H443&lt;=30,"1 1-30",IF(H443&lt;=60,"2 31-60",IF(H443&lt;=90,"3 61-90",IF(H443&lt;=120,"4 91-120","5 121+")))))</x:f>
        <x:v>5 121+</x:v>
      </x:c>
      <x:c r="O443" s="9" t="n">
        <x:f>IF(J443&gt;0,1,0)</x:f>
        <x:v>0</x:v>
      </x:c>
    </x:row>
    <x:row r="444">
      <x:c r="A444" s="15" t="str">
        <x:v>440</x:v>
      </x:c>
      <x:c r="B444" s="9" t="str">
        <x:v>Morgan</x:v>
      </x:c>
      <x:c r="C444" s="9" t="str">
        <x:v>Credit Card</x:v>
      </x:c>
      <x:c r="D444" s="9" t="str">
        <x:v>Northeast</x:v>
      </x:c>
      <x:c r="E444" s="9" t="n">
        <x:v>504</x:v>
      </x:c>
      <x:c r="F444" s="11" t="n">
        <x:v>46071</x:v>
      </x:c>
      <x:c r="G444" s="13" t="n">
        <x:v>17172.09</x:v>
      </x:c>
      <x:c r="H444" s="9" t="n">
        <x:v>42</x:v>
      </x:c>
      <x:c r="I444" s="9" t="n">
        <x:v>3</x:v>
      </x:c>
      <x:c r="J444" s="9" t="n">
        <x:v>1</x:v>
      </x:c>
      <x:c r="K444" s="9" t="n">
        <x:v>0</x:v>
      </x:c>
      <x:c r="L444" s="13" t="n">
        <x:f>SUMIFS('Payments'!$D$5:$D$3014,'Payments'!$B$5:$B$3014,A444)</x:f>
        <x:v>4055.8</x:v>
      </x:c>
      <x:c r="M444" s="13" t="n">
        <x:f>G444-L444</x:f>
        <x:v>13116.29</x:v>
      </x:c>
      <x:c r="N444" s="9" t="str">
        <x:f>IF(H444=0,"0 Current",IF(H444&lt;=30,"1 1-30",IF(H444&lt;=60,"2 31-60",IF(H444&lt;=90,"3 61-90",IF(H444&lt;=120,"4 91-120","5 121+")))))</x:f>
        <x:v>2 31-60</x:v>
      </x:c>
      <x:c r="O444" s="9" t="n">
        <x:f>IF(J444&gt;0,1,0)</x:f>
        <x:v>1</x:v>
      </x:c>
    </x:row>
    <x:row r="445">
      <x:c r="A445" s="15" t="str">
        <x:v>441</x:v>
      </x:c>
      <x:c r="B445" s="9" t="str">
        <x:v>Riley</x:v>
      </x:c>
      <x:c r="C445" s="9" t="str">
        <x:v>Personal Loan</x:v>
      </x:c>
      <x:c r="D445" s="9" t="str">
        <x:v>Midwest</x:v>
      </x:c>
      <x:c r="E445" s="9" t="n">
        <x:v>724</x:v>
      </x:c>
      <x:c r="F445" s="11" t="n">
        <x:v>46154</x:v>
      </x:c>
      <x:c r="G445" s="13" t="n">
        <x:v>19602.57</x:v>
      </x:c>
      <x:c r="H445" s="9" t="n">
        <x:v>77</x:v>
      </x:c>
      <x:c r="I445" s="9" t="n">
        <x:v>4</x:v>
      </x:c>
      <x:c r="J445" s="9" t="n">
        <x:v>0</x:v>
      </x:c>
      <x:c r="K445" s="9" t="n">
        <x:v>0</x:v>
      </x:c>
      <x:c r="L445" s="13" t="n">
        <x:f>SUMIFS('Payments'!$D$5:$D$3014,'Payments'!$B$5:$B$3014,A445)</x:f>
        <x:v>786.89</x:v>
      </x:c>
      <x:c r="M445" s="13" t="n">
        <x:f>G445-L445</x:f>
        <x:v>18815.68</x:v>
      </x:c>
      <x:c r="N445" s="9" t="str">
        <x:f>IF(H445=0,"0 Current",IF(H445&lt;=30,"1 1-30",IF(H445&lt;=60,"2 31-60",IF(H445&lt;=90,"3 61-90",IF(H445&lt;=120,"4 91-120","5 121+")))))</x:f>
        <x:v>3 61-90</x:v>
      </x:c>
      <x:c r="O445" s="9" t="n">
        <x:f>IF(J445&gt;0,1,0)</x:f>
        <x:v>0</x:v>
      </x:c>
    </x:row>
    <x:row r="446">
      <x:c r="A446" s="15" t="str">
        <x:v>442</x:v>
      </x:c>
      <x:c r="B446" s="9" t="str">
        <x:v>Jordan</x:v>
      </x:c>
      <x:c r="C446" s="9" t="str">
        <x:v>Credit Card</x:v>
      </x:c>
      <x:c r="D446" s="9" t="str">
        <x:v>Midwest</x:v>
      </x:c>
      <x:c r="E446" s="9" t="n">
        <x:v>644</x:v>
      </x:c>
      <x:c r="F446" s="11" t="n">
        <x:v>46094</x:v>
      </x:c>
      <x:c r="G446" s="13" t="n">
        <x:v>6077.22</x:v>
      </x:c>
      <x:c r="H446" s="9" t="n">
        <x:v>164</x:v>
      </x:c>
      <x:c r="I446" s="9" t="n">
        <x:v>1</x:v>
      </x:c>
      <x:c r="J446" s="9" t="n">
        <x:v>1</x:v>
      </x:c>
      <x:c r="K446" s="9" t="n">
        <x:v>0</x:v>
      </x:c>
      <x:c r="L446" s="13" t="n">
        <x:f>SUMIFS('Payments'!$D$5:$D$3014,'Payments'!$B$5:$B$3014,A446)</x:f>
        <x:v>285.21</x:v>
      </x:c>
      <x:c r="M446" s="13" t="n">
        <x:f>G446-L446</x:f>
        <x:v>5792.01</x:v>
      </x:c>
      <x:c r="N446" s="9" t="str">
        <x:f>IF(H446=0,"0 Current",IF(H446&lt;=30,"1 1-30",IF(H446&lt;=60,"2 31-60",IF(H446&lt;=90,"3 61-90",IF(H446&lt;=120,"4 91-120","5 121+")))))</x:f>
        <x:v>5 121+</x:v>
      </x:c>
      <x:c r="O446" s="9" t="n">
        <x:f>IF(J446&gt;0,1,0)</x:f>
        <x:v>1</x:v>
      </x:c>
    </x:row>
    <x:row r="447">
      <x:c r="A447" s="15" t="str">
        <x:v>443</x:v>
      </x:c>
      <x:c r="B447" s="9" t="str">
        <x:v>Alex</x:v>
      </x:c>
      <x:c r="C447" s="9" t="str">
        <x:v>Personal Loan</x:v>
      </x:c>
      <x:c r="D447" s="9" t="str">
        <x:v>Northeast</x:v>
      </x:c>
      <x:c r="E447" s="9" t="n">
        <x:v>659</x:v>
      </x:c>
      <x:c r="F447" s="11" t="n">
        <x:v>46117</x:v>
      </x:c>
      <x:c r="G447" s="13" t="n">
        <x:v>14113.11</x:v>
      </x:c>
      <x:c r="H447" s="9" t="n">
        <x:v>184</x:v>
      </x:c>
      <x:c r="I447" s="9" t="n">
        <x:v>4</x:v>
      </x:c>
      <x:c r="J447" s="9" t="n">
        <x:v>2</x:v>
      </x:c>
      <x:c r="K447" s="9" t="n">
        <x:v>1</x:v>
      </x:c>
      <x:c r="L447" s="13" t="n">
        <x:f>SUMIFS('Payments'!$D$5:$D$3014,'Payments'!$B$5:$B$3014,A447)</x:f>
        <x:v>1080.44</x:v>
      </x:c>
      <x:c r="M447" s="13" t="n">
        <x:f>G447-L447</x:f>
        <x:v>13032.67</x:v>
      </x:c>
      <x:c r="N447" s="9" t="str">
        <x:f>IF(H447=0,"0 Current",IF(H447&lt;=30,"1 1-30",IF(H447&lt;=60,"2 31-60",IF(H447&lt;=90,"3 61-90",IF(H447&lt;=120,"4 91-120","5 121+")))))</x:f>
        <x:v>5 121+</x:v>
      </x:c>
      <x:c r="O447" s="9" t="n">
        <x:f>IF(J447&gt;0,1,0)</x:f>
        <x:v>1</x:v>
      </x:c>
    </x:row>
    <x:row r="448">
      <x:c r="A448" s="15" t="str">
        <x:v>444</x:v>
      </x:c>
      <x:c r="B448" s="9" t="str">
        <x:v>Taylor</x:v>
      </x:c>
      <x:c r="C448" s="9" t="str">
        <x:v>Credit Card</x:v>
      </x:c>
      <x:c r="D448" s="9" t="str">
        <x:v>Midwest</x:v>
      </x:c>
      <x:c r="E448" s="9" t="n">
        <x:v>778</x:v>
      </x:c>
      <x:c r="F448" s="11" t="n">
        <x:v>46027</x:v>
      </x:c>
      <x:c r="G448" s="13" t="n">
        <x:v>23039.71</x:v>
      </x:c>
      <x:c r="H448" s="9" t="n">
        <x:v>184</x:v>
      </x:c>
      <x:c r="I448" s="9" t="n">
        <x:v>4</x:v>
      </x:c>
      <x:c r="J448" s="9" t="n">
        <x:v>1</x:v>
      </x:c>
      <x:c r="K448" s="9" t="n">
        <x:v>0</x:v>
      </x:c>
      <x:c r="L448" s="13" t="n">
        <x:f>SUMIFS('Payments'!$D$5:$D$3014,'Payments'!$B$5:$B$3014,A448)</x:f>
        <x:v>3616.8599999999997</x:v>
      </x:c>
      <x:c r="M448" s="13" t="n">
        <x:f>G448-L448</x:f>
        <x:v>19422.85</x:v>
      </x:c>
      <x:c r="N448" s="9" t="str">
        <x:f>IF(H448=0,"0 Current",IF(H448&lt;=30,"1 1-30",IF(H448&lt;=60,"2 31-60",IF(H448&lt;=90,"3 61-90",IF(H448&lt;=120,"4 91-120","5 121+")))))</x:f>
        <x:v>5 121+</x:v>
      </x:c>
      <x:c r="O448" s="9" t="n">
        <x:f>IF(J448&gt;0,1,0)</x:f>
        <x:v>1</x:v>
      </x:c>
    </x:row>
    <x:row r="449">
      <x:c r="A449" s="15" t="str">
        <x:v>445</x:v>
      </x:c>
      <x:c r="B449" s="9" t="str">
        <x:v>Morgan</x:v>
      </x:c>
      <x:c r="C449" s="9" t="str">
        <x:v>Medical</x:v>
      </x:c>
      <x:c r="D449" s="9" t="str">
        <x:v>West</x:v>
      </x:c>
      <x:c r="E449" s="9" t="n">
        <x:v>559</x:v>
      </x:c>
      <x:c r="F449" s="11" t="n">
        <x:v>46145</x:v>
      </x:c>
      <x:c r="G449" s="13" t="n">
        <x:v>4429.68</x:v>
      </x:c>
      <x:c r="H449" s="9" t="n">
        <x:v>117</x:v>
      </x:c>
      <x:c r="I449" s="9" t="n">
        <x:v>2</x:v>
      </x:c>
      <x:c r="J449" s="9" t="n">
        <x:v>0</x:v>
      </x:c>
      <x:c r="K449" s="9" t="n">
        <x:v>0</x:v>
      </x:c>
      <x:c r="L449" s="13" t="n">
        <x:f>SUMIFS('Payments'!$D$5:$D$3014,'Payments'!$B$5:$B$3014,A449)</x:f>
        <x:v>544.51</x:v>
      </x:c>
      <x:c r="M449" s="13" t="n">
        <x:f>G449-L449</x:f>
        <x:v>3885.17</x:v>
      </x:c>
      <x:c r="N449" s="9" t="str">
        <x:f>IF(H449=0,"0 Current",IF(H449&lt;=30,"1 1-30",IF(H449&lt;=60,"2 31-60",IF(H449&lt;=90,"3 61-90",IF(H449&lt;=120,"4 91-120","5 121+")))))</x:f>
        <x:v>4 91-120</x:v>
      </x:c>
      <x:c r="O449" s="9" t="n">
        <x:f>IF(J449&gt;0,1,0)</x:f>
        <x:v>0</x:v>
      </x:c>
    </x:row>
    <x:row r="450">
      <x:c r="A450" s="15" t="str">
        <x:v>446</x:v>
      </x:c>
      <x:c r="B450" s="9" t="str">
        <x:v>Jordan</x:v>
      </x:c>
      <x:c r="C450" s="9" t="str">
        <x:v>Medical</x:v>
      </x:c>
      <x:c r="D450" s="9" t="str">
        <x:v>West</x:v>
      </x:c>
      <x:c r="E450" s="9" t="n">
        <x:v>644</x:v>
      </x:c>
      <x:c r="F450" s="11" t="n">
        <x:v>46095</x:v>
      </x:c>
      <x:c r="G450" s="13" t="n">
        <x:v>1382.78</x:v>
      </x:c>
      <x:c r="H450" s="9" t="n">
        <x:v>226</x:v>
      </x:c>
      <x:c r="I450" s="9" t="n">
        <x:v>3</x:v>
      </x:c>
      <x:c r="J450" s="9" t="n">
        <x:v>1</x:v>
      </x:c>
      <x:c r="K450" s="9" t="n">
        <x:v>1</x:v>
      </x:c>
      <x:c r="L450" s="13" t="n">
        <x:f>SUMIFS('Payments'!$D$5:$D$3014,'Payments'!$B$5:$B$3014,A450)</x:f>
        <x:v>143.93</x:v>
      </x:c>
      <x:c r="M450" s="13" t="n">
        <x:f>G450-L450</x:f>
        <x:v>1238.85</x:v>
      </x:c>
      <x:c r="N450" s="9" t="str">
        <x:f>IF(H450=0,"0 Current",IF(H450&lt;=30,"1 1-30",IF(H450&lt;=60,"2 31-60",IF(H450&lt;=90,"3 61-90",IF(H450&lt;=120,"4 91-120","5 121+")))))</x:f>
        <x:v>5 121+</x:v>
      </x:c>
      <x:c r="O450" s="9" t="n">
        <x:f>IF(J450&gt;0,1,0)</x:f>
        <x:v>1</x:v>
      </x:c>
    </x:row>
    <x:row r="451">
      <x:c r="A451" s="15" t="str">
        <x:v>447</x:v>
      </x:c>
      <x:c r="B451" s="9" t="str">
        <x:v>Casey</x:v>
      </x:c>
      <x:c r="C451" s="9" t="str">
        <x:v>Credit Card</x:v>
      </x:c>
      <x:c r="D451" s="9" t="str">
        <x:v>Northeast</x:v>
      </x:c>
      <x:c r="E451" s="9" t="n">
        <x:v>726</x:v>
      </x:c>
      <x:c r="F451" s="11" t="n">
        <x:v>46048</x:v>
      </x:c>
      <x:c r="G451" s="13" t="n">
        <x:v>22594.69</x:v>
      </x:c>
      <x:c r="H451" s="9" t="n">
        <x:v>154</x:v>
      </x:c>
      <x:c r="I451" s="9" t="n">
        <x:v>6</x:v>
      </x:c>
      <x:c r="J451" s="9" t="n">
        <x:v>2</x:v>
      </x:c>
      <x:c r="K451" s="9" t="n">
        <x:v>1</x:v>
      </x:c>
      <x:c r="L451" s="13" t="n">
        <x:f>SUMIFS('Payments'!$D$5:$D$3014,'Payments'!$B$5:$B$3014,A451)</x:f>
        <x:v>0</x:v>
      </x:c>
      <x:c r="M451" s="13" t="n">
        <x:f>G451-L451</x:f>
        <x:v>22594.69</x:v>
      </x:c>
      <x:c r="N451" s="9" t="str">
        <x:f>IF(H451=0,"0 Current",IF(H451&lt;=30,"1 1-30",IF(H451&lt;=60,"2 31-60",IF(H451&lt;=90,"3 61-90",IF(H451&lt;=120,"4 91-120","5 121+")))))</x:f>
        <x:v>5 121+</x:v>
      </x:c>
      <x:c r="O451" s="9" t="n">
        <x:f>IF(J451&gt;0,1,0)</x:f>
        <x:v>1</x:v>
      </x:c>
    </x:row>
    <x:row r="452">
      <x:c r="A452" s="15" t="str">
        <x:v>448</x:v>
      </x:c>
      <x:c r="B452" s="9" t="str">
        <x:v>Taylor</x:v>
      </x:c>
      <x:c r="C452" s="9" t="str">
        <x:v>Personal Loan</x:v>
      </x:c>
      <x:c r="D452" s="9" t="str">
        <x:v>Northeast</x:v>
      </x:c>
      <x:c r="E452" s="9" t="n">
        <x:v>641</x:v>
      </x:c>
      <x:c r="F452" s="11" t="n">
        <x:v>46050</x:v>
      </x:c>
      <x:c r="G452" s="13" t="n">
        <x:v>23248.65</x:v>
      </x:c>
      <x:c r="H452" s="9" t="n">
        <x:v>218</x:v>
      </x:c>
      <x:c r="I452" s="9" t="n">
        <x:v>3</x:v>
      </x:c>
      <x:c r="J452" s="9" t="n">
        <x:v>1</x:v>
      </x:c>
      <x:c r="K452" s="9" t="n">
        <x:v>0</x:v>
      </x:c>
      <x:c r="L452" s="13" t="n">
        <x:f>SUMIFS('Payments'!$D$5:$D$3014,'Payments'!$B$5:$B$3014,A452)</x:f>
        <x:v>0</x:v>
      </x:c>
      <x:c r="M452" s="13" t="n">
        <x:f>G452-L452</x:f>
        <x:v>23248.65</x:v>
      </x:c>
      <x:c r="N452" s="9" t="str">
        <x:f>IF(H452=0,"0 Current",IF(H452&lt;=30,"1 1-30",IF(H452&lt;=60,"2 31-60",IF(H452&lt;=90,"3 61-90",IF(H452&lt;=120,"4 91-120","5 121+")))))</x:f>
        <x:v>5 121+</x:v>
      </x:c>
      <x:c r="O452" s="9" t="n">
        <x:f>IF(J452&gt;0,1,0)</x:f>
        <x:v>1</x:v>
      </x:c>
    </x:row>
    <x:row r="453">
      <x:c r="A453" s="15" t="str">
        <x:v>449</x:v>
      </x:c>
      <x:c r="B453" s="9" t="str">
        <x:v>Casey</x:v>
      </x:c>
      <x:c r="C453" s="9" t="str">
        <x:v>Credit Card</x:v>
      </x:c>
      <x:c r="D453" s="9" t="str">
        <x:v>Midwest</x:v>
      </x:c>
      <x:c r="E453" s="9" t="n">
        <x:v>729</x:v>
      </x:c>
      <x:c r="F453" s="11" t="n">
        <x:v>46145</x:v>
      </x:c>
      <x:c r="G453" s="13" t="n">
        <x:v>6980.75</x:v>
      </x:c>
      <x:c r="H453" s="9" t="n">
        <x:v>139</x:v>
      </x:c>
      <x:c r="I453" s="9" t="n">
        <x:v>0</x:v>
      </x:c>
      <x:c r="J453" s="9" t="n">
        <x:v>0</x:v>
      </x:c>
      <x:c r="K453" s="9" t="n">
        <x:v>0</x:v>
      </x:c>
      <x:c r="L453" s="13" t="n">
        <x:f>SUMIFS('Payments'!$D$5:$D$3014,'Payments'!$B$5:$B$3014,A453)</x:f>
        <x:v>1003.76</x:v>
      </x:c>
      <x:c r="M453" s="13" t="n">
        <x:f>G453-L453</x:f>
        <x:v>5976.99</x:v>
      </x:c>
      <x:c r="N453" s="9" t="str">
        <x:f>IF(H453=0,"0 Current",IF(H453&lt;=30,"1 1-30",IF(H453&lt;=60,"2 31-60",IF(H453&lt;=90,"3 61-90",IF(H453&lt;=120,"4 91-120","5 121+")))))</x:f>
        <x:v>5 121+</x:v>
      </x:c>
      <x:c r="O453" s="9" t="n">
        <x:f>IF(J453&gt;0,1,0)</x:f>
        <x:v>0</x:v>
      </x:c>
    </x:row>
    <x:row r="454">
      <x:c r="A454" s="15" t="str">
        <x:v>450</x:v>
      </x:c>
      <x:c r="B454" s="9" t="str">
        <x:v>Jordan</x:v>
      </x:c>
      <x:c r="C454" s="9" t="str">
        <x:v>Credit Card</x:v>
      </x:c>
      <x:c r="D454" s="9" t="str">
        <x:v>Midwest</x:v>
      </x:c>
      <x:c r="E454" s="9" t="n">
        <x:v>433</x:v>
      </x:c>
      <x:c r="F454" s="11" t="n">
        <x:v>46049</x:v>
      </x:c>
      <x:c r="G454" s="13" t="n">
        <x:v>23343.94</x:v>
      </x:c>
      <x:c r="H454" s="9" t="n">
        <x:v>130</x:v>
      </x:c>
      <x:c r="I454" s="9" t="n">
        <x:v>6</x:v>
      </x:c>
      <x:c r="J454" s="9" t="n">
        <x:v>1</x:v>
      </x:c>
      <x:c r="K454" s="9" t="n">
        <x:v>0</x:v>
      </x:c>
      <x:c r="L454" s="13" t="n">
        <x:f>SUMIFS('Payments'!$D$5:$D$3014,'Payments'!$B$5:$B$3014,A454)</x:f>
        <x:v>3138.09</x:v>
      </x:c>
      <x:c r="M454" s="13" t="n">
        <x:f>G454-L454</x:f>
        <x:v>20205.85</x:v>
      </x:c>
      <x:c r="N454" s="9" t="str">
        <x:f>IF(H454=0,"0 Current",IF(H454&lt;=30,"1 1-30",IF(H454&lt;=60,"2 31-60",IF(H454&lt;=90,"3 61-90",IF(H454&lt;=120,"4 91-120","5 121+")))))</x:f>
        <x:v>5 121+</x:v>
      </x:c>
      <x:c r="O454" s="9" t="n">
        <x:f>IF(J454&gt;0,1,0)</x:f>
        <x:v>1</x:v>
      </x:c>
    </x:row>
    <x:row r="455">
      <x:c r="A455" s="15" t="str">
        <x:v>451</x:v>
      </x:c>
      <x:c r="B455" s="9" t="str">
        <x:v>Jordan</x:v>
      </x:c>
      <x:c r="C455" s="9" t="str">
        <x:v>Credit Card</x:v>
      </x:c>
      <x:c r="D455" s="9" t="str">
        <x:v>Northeast</x:v>
      </x:c>
      <x:c r="E455" s="9" t="n">
        <x:v>537</x:v>
      </x:c>
      <x:c r="F455" s="11" t="n">
        <x:v>46108</x:v>
      </x:c>
      <x:c r="G455" s="13" t="n">
        <x:v>5463.99</x:v>
      </x:c>
      <x:c r="H455" s="9" t="n">
        <x:v>229</x:v>
      </x:c>
      <x:c r="I455" s="9" t="n">
        <x:v>2</x:v>
      </x:c>
      <x:c r="J455" s="9" t="n">
        <x:v>0</x:v>
      </x:c>
      <x:c r="K455" s="9" t="n">
        <x:v>0</x:v>
      </x:c>
      <x:c r="L455" s="13" t="n">
        <x:f>SUMIFS('Payments'!$D$5:$D$3014,'Payments'!$B$5:$B$3014,A455)</x:f>
        <x:v>0</x:v>
      </x:c>
      <x:c r="M455" s="13" t="n">
        <x:f>G455-L455</x:f>
        <x:v>5463.99</x:v>
      </x:c>
      <x:c r="N455" s="9" t="str">
        <x:f>IF(H455=0,"0 Current",IF(H455&lt;=30,"1 1-30",IF(H455&lt;=60,"2 31-60",IF(H455&lt;=90,"3 61-90",IF(H455&lt;=120,"4 91-120","5 121+")))))</x:f>
        <x:v>5 121+</x:v>
      </x:c>
      <x:c r="O455" s="9" t="n">
        <x:f>IF(J455&gt;0,1,0)</x:f>
        <x:v>0</x:v>
      </x:c>
    </x:row>
    <x:row r="456">
      <x:c r="A456" s="15" t="str">
        <x:v>452</x:v>
      </x:c>
      <x:c r="B456" s="9" t="str">
        <x:v>Taylor</x:v>
      </x:c>
      <x:c r="C456" s="9" t="str">
        <x:v>Personal Loan</x:v>
      </x:c>
      <x:c r="D456" s="9" t="str">
        <x:v>Northeast</x:v>
      </x:c>
      <x:c r="E456" s="9" t="n">
        <x:v>811</x:v>
      </x:c>
      <x:c r="F456" s="11" t="n">
        <x:v>46131</x:v>
      </x:c>
      <x:c r="G456" s="13" t="n">
        <x:v>6800.68</x:v>
      </x:c>
      <x:c r="H456" s="9" t="n">
        <x:v>159</x:v>
      </x:c>
      <x:c r="I456" s="9" t="n">
        <x:v>5</x:v>
      </x:c>
      <x:c r="J456" s="9" t="n">
        <x:v>3</x:v>
      </x:c>
      <x:c r="K456" s="9" t="n">
        <x:v>0</x:v>
      </x:c>
      <x:c r="L456" s="13" t="n">
        <x:f>SUMIFS('Payments'!$D$5:$D$3014,'Payments'!$B$5:$B$3014,A456)</x:f>
        <x:v>831.95</x:v>
      </x:c>
      <x:c r="M456" s="13" t="n">
        <x:f>G456-L456</x:f>
        <x:v>5968.7300000000005</x:v>
      </x:c>
      <x:c r="N456" s="9" t="str">
        <x:f>IF(H456=0,"0 Current",IF(H456&lt;=30,"1 1-30",IF(H456&lt;=60,"2 31-60",IF(H456&lt;=90,"3 61-90",IF(H456&lt;=120,"4 91-120","5 121+")))))</x:f>
        <x:v>5 121+</x:v>
      </x:c>
      <x:c r="O456" s="9" t="n">
        <x:f>IF(J456&gt;0,1,0)</x:f>
        <x:v>1</x:v>
      </x:c>
    </x:row>
    <x:row r="457">
      <x:c r="A457" s="15" t="str">
        <x:v>453</x:v>
      </x:c>
      <x:c r="B457" s="9" t="str">
        <x:v>Alex</x:v>
      </x:c>
      <x:c r="C457" s="9" t="str">
        <x:v>Auto</x:v>
      </x:c>
      <x:c r="D457" s="9" t="str">
        <x:v>Midwest</x:v>
      </x:c>
      <x:c r="E457" s="9" t="n">
        <x:v>715</x:v>
      </x:c>
      <x:c r="F457" s="11" t="n">
        <x:v>46145</x:v>
      </x:c>
      <x:c r="G457" s="13" t="n">
        <x:v>3323.33</x:v>
      </x:c>
      <x:c r="H457" s="9" t="n">
        <x:v>186</x:v>
      </x:c>
      <x:c r="I457" s="9" t="n">
        <x:v>2</x:v>
      </x:c>
      <x:c r="J457" s="9" t="n">
        <x:v>0</x:v>
      </x:c>
      <x:c r="K457" s="9" t="n">
        <x:v>0</x:v>
      </x:c>
      <x:c r="L457" s="13" t="n">
        <x:f>SUMIFS('Payments'!$D$5:$D$3014,'Payments'!$B$5:$B$3014,A457)</x:f>
        <x:v>326.51</x:v>
      </x:c>
      <x:c r="M457" s="13" t="n">
        <x:f>G457-L457</x:f>
        <x:v>2996.8199999999997</x:v>
      </x:c>
      <x:c r="N457" s="9" t="str">
        <x:f>IF(H457=0,"0 Current",IF(H457&lt;=30,"1 1-30",IF(H457&lt;=60,"2 31-60",IF(H457&lt;=90,"3 61-90",IF(H457&lt;=120,"4 91-120","5 121+")))))</x:f>
        <x:v>5 121+</x:v>
      </x:c>
      <x:c r="O457" s="9" t="n">
        <x:f>IF(J457&gt;0,1,0)</x:f>
        <x:v>0</x:v>
      </x:c>
    </x:row>
    <x:row r="458">
      <x:c r="A458" s="15" t="str">
        <x:v>454</x:v>
      </x:c>
      <x:c r="B458" s="9" t="str">
        <x:v>Riley</x:v>
      </x:c>
      <x:c r="C458" s="9" t="str">
        <x:v>Personal Loan</x:v>
      </x:c>
      <x:c r="D458" s="9" t="str">
        <x:v>Northeast</x:v>
      </x:c>
      <x:c r="E458" s="9" t="n">
        <x:v>810</x:v>
      </x:c>
      <x:c r="F458" s="11" t="n">
        <x:v>46146</x:v>
      </x:c>
      <x:c r="G458" s="13" t="n">
        <x:v>17862.08</x:v>
      </x:c>
      <x:c r="H458" s="9" t="n">
        <x:v>35</x:v>
      </x:c>
      <x:c r="I458" s="9" t="n">
        <x:v>8</x:v>
      </x:c>
      <x:c r="J458" s="9" t="n">
        <x:v>1</x:v>
      </x:c>
      <x:c r="K458" s="9" t="n">
        <x:v>0</x:v>
      </x:c>
      <x:c r="L458" s="13" t="n">
        <x:f>SUMIFS('Payments'!$D$5:$D$3014,'Payments'!$B$5:$B$3014,A458)</x:f>
        <x:v>1014.49</x:v>
      </x:c>
      <x:c r="M458" s="13" t="n">
        <x:f>G458-L458</x:f>
        <x:v>16847.59</x:v>
      </x:c>
      <x:c r="N458" s="9" t="str">
        <x:f>IF(H458=0,"0 Current",IF(H458&lt;=30,"1 1-30",IF(H458&lt;=60,"2 31-60",IF(H458&lt;=90,"3 61-90",IF(H458&lt;=120,"4 91-120","5 121+")))))</x:f>
        <x:v>2 31-60</x:v>
      </x:c>
      <x:c r="O458" s="9" t="n">
        <x:f>IF(J458&gt;0,1,0)</x:f>
        <x:v>1</x:v>
      </x:c>
    </x:row>
    <x:row r="459">
      <x:c r="A459" s="15" t="str">
        <x:v>455</x:v>
      </x:c>
      <x:c r="B459" s="9" t="str">
        <x:v>Alex</x:v>
      </x:c>
      <x:c r="C459" s="9" t="str">
        <x:v>Personal Loan</x:v>
      </x:c>
      <x:c r="D459" s="9" t="str">
        <x:v>South</x:v>
      </x:c>
      <x:c r="E459" s="9" t="n">
        <x:v>660</x:v>
      </x:c>
      <x:c r="F459" s="11" t="n">
        <x:v>46023</x:v>
      </x:c>
      <x:c r="G459" s="13" t="n">
        <x:v>9026.16</x:v>
      </x:c>
      <x:c r="H459" s="9" t="n">
        <x:v>142</x:v>
      </x:c>
      <x:c r="I459" s="9" t="n">
        <x:v>4</x:v>
      </x:c>
      <x:c r="J459" s="9" t="n">
        <x:v>1</x:v>
      </x:c>
      <x:c r="K459" s="9" t="n">
        <x:v>1</x:v>
      </x:c>
      <x:c r="L459" s="13" t="n">
        <x:f>SUMIFS('Payments'!$D$5:$D$3014,'Payments'!$B$5:$B$3014,A459)</x:f>
        <x:v>756.1600000000001</x:v>
      </x:c>
      <x:c r="M459" s="13" t="n">
        <x:f>G459-L459</x:f>
        <x:v>8270</x:v>
      </x:c>
      <x:c r="N459" s="9" t="str">
        <x:f>IF(H459=0,"0 Current",IF(H459&lt;=30,"1 1-30",IF(H459&lt;=60,"2 31-60",IF(H459&lt;=90,"3 61-90",IF(H459&lt;=120,"4 91-120","5 121+")))))</x:f>
        <x:v>5 121+</x:v>
      </x:c>
      <x:c r="O459" s="9" t="n">
        <x:f>IF(J459&gt;0,1,0)</x:f>
        <x:v>1</x:v>
      </x:c>
    </x:row>
    <x:row r="460">
      <x:c r="A460" s="15" t="str">
        <x:v>456</x:v>
      </x:c>
      <x:c r="B460" s="9" t="str">
        <x:v>Taylor</x:v>
      </x:c>
      <x:c r="C460" s="9" t="str">
        <x:v>Medical</x:v>
      </x:c>
      <x:c r="D460" s="9" t="str">
        <x:v>West</x:v>
      </x:c>
      <x:c r="E460" s="9" t="n">
        <x:v>562</x:v>
      </x:c>
      <x:c r="F460" s="11" t="n">
        <x:v>46058</x:v>
      </x:c>
      <x:c r="G460" s="13" t="n">
        <x:v>5417.22</x:v>
      </x:c>
      <x:c r="H460" s="9" t="n">
        <x:v>96</x:v>
      </x:c>
      <x:c r="I460" s="9" t="n">
        <x:v>6</x:v>
      </x:c>
      <x:c r="J460" s="9" t="n">
        <x:v>1</x:v>
      </x:c>
      <x:c r="K460" s="9" t="n">
        <x:v>0</x:v>
      </x:c>
      <x:c r="L460" s="13" t="n">
        <x:f>SUMIFS('Payments'!$D$5:$D$3014,'Payments'!$B$5:$B$3014,A460)</x:f>
        <x:v>0</x:v>
      </x:c>
      <x:c r="M460" s="13" t="n">
        <x:f>G460-L460</x:f>
        <x:v>5417.22</x:v>
      </x:c>
      <x:c r="N460" s="9" t="str">
        <x:f>IF(H460=0,"0 Current",IF(H460&lt;=30,"1 1-30",IF(H460&lt;=60,"2 31-60",IF(H460&lt;=90,"3 61-90",IF(H460&lt;=120,"4 91-120","5 121+")))))</x:f>
        <x:v>4 91-120</x:v>
      </x:c>
      <x:c r="O460" s="9" t="n">
        <x:f>IF(J460&gt;0,1,0)</x:f>
        <x:v>1</x:v>
      </x:c>
    </x:row>
    <x:row r="461">
      <x:c r="A461" s="15" t="str">
        <x:v>457</x:v>
      </x:c>
      <x:c r="B461" s="9" t="str">
        <x:v>Casey</x:v>
      </x:c>
      <x:c r="C461" s="9" t="str">
        <x:v>Medical</x:v>
      </x:c>
      <x:c r="D461" s="9" t="str">
        <x:v>South</x:v>
      </x:c>
      <x:c r="E461" s="9" t="n">
        <x:v>719</x:v>
      </x:c>
      <x:c r="F461" s="11" t="n">
        <x:v>46168</x:v>
      </x:c>
      <x:c r="G461" s="13" t="n">
        <x:v>17969.06</x:v>
      </x:c>
      <x:c r="H461" s="9" t="n">
        <x:v>120</x:v>
      </x:c>
      <x:c r="I461" s="9" t="n">
        <x:v>4</x:v>
      </x:c>
      <x:c r="J461" s="9" t="n">
        <x:v>0</x:v>
      </x:c>
      <x:c r="K461" s="9" t="n">
        <x:v>0</x:v>
      </x:c>
      <x:c r="L461" s="13" t="n">
        <x:f>SUMIFS('Payments'!$D$5:$D$3014,'Payments'!$B$5:$B$3014,A461)</x:f>
        <x:v>1971.11</x:v>
      </x:c>
      <x:c r="M461" s="13" t="n">
        <x:f>G461-L461</x:f>
        <x:v>15997.95</x:v>
      </x:c>
      <x:c r="N461" s="9" t="str">
        <x:f>IF(H461=0,"0 Current",IF(H461&lt;=30,"1 1-30",IF(H461&lt;=60,"2 31-60",IF(H461&lt;=90,"3 61-90",IF(H461&lt;=120,"4 91-120","5 121+")))))</x:f>
        <x:v>4 91-120</x:v>
      </x:c>
      <x:c r="O461" s="9" t="n">
        <x:f>IF(J461&gt;0,1,0)</x:f>
        <x:v>0</x:v>
      </x:c>
    </x:row>
    <x:row r="462">
      <x:c r="A462" s="15" t="str">
        <x:v>458</x:v>
      </x:c>
      <x:c r="B462" s="9" t="str">
        <x:v>Riley</x:v>
      </x:c>
      <x:c r="C462" s="9" t="str">
        <x:v>Medical</x:v>
      </x:c>
      <x:c r="D462" s="9" t="str">
        <x:v>West</x:v>
      </x:c>
      <x:c r="E462" s="9" t="n">
        <x:v>745</x:v>
      </x:c>
      <x:c r="F462" s="11" t="n">
        <x:v>46031</x:v>
      </x:c>
      <x:c r="G462" s="13" t="n">
        <x:v>7780.48</x:v>
      </x:c>
      <x:c r="H462" s="9" t="n">
        <x:v>2</x:v>
      </x:c>
      <x:c r="I462" s="9" t="n">
        <x:v>4</x:v>
      </x:c>
      <x:c r="J462" s="9" t="n">
        <x:v>1</x:v>
      </x:c>
      <x:c r="K462" s="9" t="n">
        <x:v>0</x:v>
      </x:c>
      <x:c r="L462" s="13" t="n">
        <x:f>SUMIFS('Payments'!$D$5:$D$3014,'Payments'!$B$5:$B$3014,A462)</x:f>
        <x:v>2061.39</x:v>
      </x:c>
      <x:c r="M462" s="13" t="n">
        <x:f>G462-L462</x:f>
        <x:v>5719.09</x:v>
      </x:c>
      <x:c r="N462" s="9" t="str">
        <x:f>IF(H462=0,"0 Current",IF(H462&lt;=30,"1 1-30",IF(H462&lt;=60,"2 31-60",IF(H462&lt;=90,"3 61-90",IF(H462&lt;=120,"4 91-120","5 121+")))))</x:f>
        <x:v>1 1-30</x:v>
      </x:c>
      <x:c r="O462" s="9" t="n">
        <x:f>IF(J462&gt;0,1,0)</x:f>
        <x:v>1</x:v>
      </x:c>
    </x:row>
    <x:row r="463">
      <x:c r="A463" s="15" t="str">
        <x:v>459</x:v>
      </x:c>
      <x:c r="B463" s="9" t="str">
        <x:v>Casey</x:v>
      </x:c>
      <x:c r="C463" s="9" t="str">
        <x:v>Auto</x:v>
      </x:c>
      <x:c r="D463" s="9" t="str">
        <x:v>West</x:v>
      </x:c>
      <x:c r="E463" s="9" t="n">
        <x:v>466</x:v>
      </x:c>
      <x:c r="F463" s="11" t="n">
        <x:v>46125</x:v>
      </x:c>
      <x:c r="G463" s="13" t="n">
        <x:v>2848.67</x:v>
      </x:c>
      <x:c r="H463" s="9" t="n">
        <x:v>47</x:v>
      </x:c>
      <x:c r="I463" s="9" t="n">
        <x:v>5</x:v>
      </x:c>
      <x:c r="J463" s="9" t="n">
        <x:v>1</x:v>
      </x:c>
      <x:c r="K463" s="9" t="n">
        <x:v>0</x:v>
      </x:c>
      <x:c r="L463" s="13" t="n">
        <x:f>SUMIFS('Payments'!$D$5:$D$3014,'Payments'!$B$5:$B$3014,A463)</x:f>
        <x:v>776.95</x:v>
      </x:c>
      <x:c r="M463" s="13" t="n">
        <x:f>G463-L463</x:f>
        <x:v>2071.7200000000003</x:v>
      </x:c>
      <x:c r="N463" s="9" t="str">
        <x:f>IF(H463=0,"0 Current",IF(H463&lt;=30,"1 1-30",IF(H463&lt;=60,"2 31-60",IF(H463&lt;=90,"3 61-90",IF(H463&lt;=120,"4 91-120","5 121+")))))</x:f>
        <x:v>2 31-60</x:v>
      </x:c>
      <x:c r="O463" s="9" t="n">
        <x:f>IF(J463&gt;0,1,0)</x:f>
        <x:v>1</x:v>
      </x:c>
    </x:row>
    <x:row r="464">
      <x:c r="A464" s="15" t="str">
        <x:v>460</x:v>
      </x:c>
      <x:c r="B464" s="9" t="str">
        <x:v>Casey</x:v>
      </x:c>
      <x:c r="C464" s="9" t="str">
        <x:v>Credit Card</x:v>
      </x:c>
      <x:c r="D464" s="9" t="str">
        <x:v>West</x:v>
      </x:c>
      <x:c r="E464" s="9" t="n">
        <x:v>598</x:v>
      </x:c>
      <x:c r="F464" s="11" t="n">
        <x:v>46050</x:v>
      </x:c>
      <x:c r="G464" s="13" t="n">
        <x:v>3239.68</x:v>
      </x:c>
      <x:c r="H464" s="9" t="n">
        <x:v>193</x:v>
      </x:c>
      <x:c r="I464" s="9" t="n">
        <x:v>3</x:v>
      </x:c>
      <x:c r="J464" s="9" t="n">
        <x:v>1</x:v>
      </x:c>
      <x:c r="K464" s="9" t="n">
        <x:v>1</x:v>
      </x:c>
      <x:c r="L464" s="13" t="n">
        <x:f>SUMIFS('Payments'!$D$5:$D$3014,'Payments'!$B$5:$B$3014,A464)</x:f>
        <x:v>275.23</x:v>
      </x:c>
      <x:c r="M464" s="13" t="n">
        <x:f>G464-L464</x:f>
        <x:v>2964.45</x:v>
      </x:c>
      <x:c r="N464" s="9" t="str">
        <x:f>IF(H464=0,"0 Current",IF(H464&lt;=30,"1 1-30",IF(H464&lt;=60,"2 31-60",IF(H464&lt;=90,"3 61-90",IF(H464&lt;=120,"4 91-120","5 121+")))))</x:f>
        <x:v>5 121+</x:v>
      </x:c>
      <x:c r="O464" s="9" t="n">
        <x:f>IF(J464&gt;0,1,0)</x:f>
        <x:v>1</x:v>
      </x:c>
    </x:row>
    <x:row r="465">
      <x:c r="A465" s="15" t="str">
        <x:v>461</x:v>
      </x:c>
      <x:c r="B465" s="9" t="str">
        <x:v>Alex</x:v>
      </x:c>
      <x:c r="C465" s="9" t="str">
        <x:v>Personal Loan</x:v>
      </x:c>
      <x:c r="D465" s="9" t="str">
        <x:v>West</x:v>
      </x:c>
      <x:c r="E465" s="9" t="n">
        <x:v>590</x:v>
      </x:c>
      <x:c r="F465" s="11" t="n">
        <x:v>46146</x:v>
      </x:c>
      <x:c r="G465" s="13" t="n">
        <x:v>2415.98</x:v>
      </x:c>
      <x:c r="H465" s="9" t="n">
        <x:v>23</x:v>
      </x:c>
      <x:c r="I465" s="9" t="n">
        <x:v>6</x:v>
      </x:c>
      <x:c r="J465" s="9" t="n">
        <x:v>2</x:v>
      </x:c>
      <x:c r="K465" s="9" t="n">
        <x:v>1</x:v>
      </x:c>
      <x:c r="L465" s="13" t="n">
        <x:f>SUMIFS('Payments'!$D$5:$D$3014,'Payments'!$B$5:$B$3014,A465)</x:f>
        <x:v>269.08</x:v>
      </x:c>
      <x:c r="M465" s="13" t="n">
        <x:f>G465-L465</x:f>
        <x:v>2146.9</x:v>
      </x:c>
      <x:c r="N465" s="9" t="str">
        <x:f>IF(H465=0,"0 Current",IF(H465&lt;=30,"1 1-30",IF(H465&lt;=60,"2 31-60",IF(H465&lt;=90,"3 61-90",IF(H465&lt;=120,"4 91-120","5 121+")))))</x:f>
        <x:v>1 1-30</x:v>
      </x:c>
      <x:c r="O465" s="9" t="n">
        <x:f>IF(J465&gt;0,1,0)</x:f>
        <x:v>1</x:v>
      </x:c>
    </x:row>
    <x:row r="466">
      <x:c r="A466" s="15" t="str">
        <x:v>462</x:v>
      </x:c>
      <x:c r="B466" s="9" t="str">
        <x:v>Alex</x:v>
      </x:c>
      <x:c r="C466" s="9" t="str">
        <x:v>Auto</x:v>
      </x:c>
      <x:c r="D466" s="9" t="str">
        <x:v>Midwest</x:v>
      </x:c>
      <x:c r="E466" s="9" t="n">
        <x:v>763</x:v>
      </x:c>
      <x:c r="F466" s="11" t="n">
        <x:v>46151</x:v>
      </x:c>
      <x:c r="G466" s="13" t="n">
        <x:v>6799.28</x:v>
      </x:c>
      <x:c r="H466" s="9" t="n">
        <x:v>122</x:v>
      </x:c>
      <x:c r="I466" s="9" t="n">
        <x:v>3</x:v>
      </x:c>
      <x:c r="J466" s="9" t="n">
        <x:v>1</x:v>
      </x:c>
      <x:c r="K466" s="9" t="n">
        <x:v>0</x:v>
      </x:c>
      <x:c r="L466" s="13" t="n">
        <x:f>SUMIFS('Payments'!$D$5:$D$3014,'Payments'!$B$5:$B$3014,A466)</x:f>
        <x:v>1727.7800000000002</x:v>
      </x:c>
      <x:c r="M466" s="13" t="n">
        <x:f>G466-L466</x:f>
        <x:v>5071.5</x:v>
      </x:c>
      <x:c r="N466" s="9" t="str">
        <x:f>IF(H466=0,"0 Current",IF(H466&lt;=30,"1 1-30",IF(H466&lt;=60,"2 31-60",IF(H466&lt;=90,"3 61-90",IF(H466&lt;=120,"4 91-120","5 121+")))))</x:f>
        <x:v>5 121+</x:v>
      </x:c>
      <x:c r="O466" s="9" t="n">
        <x:f>IF(J466&gt;0,1,0)</x:f>
        <x:v>1</x:v>
      </x:c>
    </x:row>
    <x:row r="467">
      <x:c r="A467" s="15" t="str">
        <x:v>463</x:v>
      </x:c>
      <x:c r="B467" s="9" t="str">
        <x:v>Taylor</x:v>
      </x:c>
      <x:c r="C467" s="9" t="str">
        <x:v>Personal Loan</x:v>
      </x:c>
      <x:c r="D467" s="9" t="str">
        <x:v>Northeast</x:v>
      </x:c>
      <x:c r="E467" s="9" t="n">
        <x:v>502</x:v>
      </x:c>
      <x:c r="F467" s="11" t="n">
        <x:v>46151</x:v>
      </x:c>
      <x:c r="G467" s="13" t="n">
        <x:v>22155.22</x:v>
      </x:c>
      <x:c r="H467" s="9" t="n">
        <x:v>114</x:v>
      </x:c>
      <x:c r="I467" s="9" t="n">
        <x:v>5</x:v>
      </x:c>
      <x:c r="J467" s="9" t="n">
        <x:v>3</x:v>
      </x:c>
      <x:c r="K467" s="9" t="n">
        <x:v>0</x:v>
      </x:c>
      <x:c r="L467" s="13" t="n">
        <x:f>SUMIFS('Payments'!$D$5:$D$3014,'Payments'!$B$5:$B$3014,A467)</x:f>
        <x:v>1787.44</x:v>
      </x:c>
      <x:c r="M467" s="13" t="n">
        <x:f>G467-L467</x:f>
        <x:v>20367.780000000002</x:v>
      </x:c>
      <x:c r="N467" s="9" t="str">
        <x:f>IF(H467=0,"0 Current",IF(H467&lt;=30,"1 1-30",IF(H467&lt;=60,"2 31-60",IF(H467&lt;=90,"3 61-90",IF(H467&lt;=120,"4 91-120","5 121+")))))</x:f>
        <x:v>4 91-120</x:v>
      </x:c>
      <x:c r="O467" s="9" t="n">
        <x:f>IF(J467&gt;0,1,0)</x:f>
        <x:v>1</x:v>
      </x:c>
    </x:row>
    <x:row r="468">
      <x:c r="A468" s="15" t="str">
        <x:v>464</x:v>
      </x:c>
      <x:c r="B468" s="9" t="str">
        <x:v>Taylor</x:v>
      </x:c>
      <x:c r="C468" s="9" t="str">
        <x:v>Auto</x:v>
      </x:c>
      <x:c r="D468" s="9" t="str">
        <x:v>Midwest</x:v>
      </x:c>
      <x:c r="E468" s="9" t="n">
        <x:v>630</x:v>
      </x:c>
      <x:c r="F468" s="11" t="n">
        <x:v>46062</x:v>
      </x:c>
      <x:c r="G468" s="13" t="n">
        <x:v>24277.54</x:v>
      </x:c>
      <x:c r="H468" s="9" t="n">
        <x:v>24</x:v>
      </x:c>
      <x:c r="I468" s="9" t="n">
        <x:v>2</x:v>
      </x:c>
      <x:c r="J468" s="9" t="n">
        <x:v>0</x:v>
      </x:c>
      <x:c r="K468" s="9" t="n">
        <x:v>0</x:v>
      </x:c>
      <x:c r="L468" s="13" t="n">
        <x:f>SUMIFS('Payments'!$D$5:$D$3014,'Payments'!$B$5:$B$3014,A468)</x:f>
        <x:v>0</x:v>
      </x:c>
      <x:c r="M468" s="13" t="n">
        <x:f>G468-L468</x:f>
        <x:v>24277.54</x:v>
      </x:c>
      <x:c r="N468" s="9" t="str">
        <x:f>IF(H468=0,"0 Current",IF(H468&lt;=30,"1 1-30",IF(H468&lt;=60,"2 31-60",IF(H468&lt;=90,"3 61-90",IF(H468&lt;=120,"4 91-120","5 121+")))))</x:f>
        <x:v>1 1-30</x:v>
      </x:c>
      <x:c r="O468" s="9" t="n">
        <x:f>IF(J468&gt;0,1,0)</x:f>
        <x:v>0</x:v>
      </x:c>
    </x:row>
    <x:row r="469">
      <x:c r="A469" s="15" t="str">
        <x:v>465</x:v>
      </x:c>
      <x:c r="B469" s="9" t="str">
        <x:v>Casey</x:v>
      </x:c>
      <x:c r="C469" s="9" t="str">
        <x:v>Personal Loan</x:v>
      </x:c>
      <x:c r="D469" s="9" t="str">
        <x:v>West</x:v>
      </x:c>
      <x:c r="E469" s="9" t="n">
        <x:v>567</x:v>
      </x:c>
      <x:c r="F469" s="11" t="n">
        <x:v>46139</x:v>
      </x:c>
      <x:c r="G469" s="13" t="n">
        <x:v>13658.31</x:v>
      </x:c>
      <x:c r="H469" s="9" t="n">
        <x:v>41</x:v>
      </x:c>
      <x:c r="I469" s="9" t="n">
        <x:v>4</x:v>
      </x:c>
      <x:c r="J469" s="9" t="n">
        <x:v>1</x:v>
      </x:c>
      <x:c r="K469" s="9" t="n">
        <x:v>1</x:v>
      </x:c>
      <x:c r="L469" s="13" t="n">
        <x:f>SUMIFS('Payments'!$D$5:$D$3014,'Payments'!$B$5:$B$3014,A469)</x:f>
        <x:v>0</x:v>
      </x:c>
      <x:c r="M469" s="13" t="n">
        <x:f>G469-L469</x:f>
        <x:v>13658.31</x:v>
      </x:c>
      <x:c r="N469" s="9" t="str">
        <x:f>IF(H469=0,"0 Current",IF(H469&lt;=30,"1 1-30",IF(H469&lt;=60,"2 31-60",IF(H469&lt;=90,"3 61-90",IF(H469&lt;=120,"4 91-120","5 121+")))))</x:f>
        <x:v>2 31-60</x:v>
      </x:c>
      <x:c r="O469" s="9" t="n">
        <x:f>IF(J469&gt;0,1,0)</x:f>
        <x:v>1</x:v>
      </x:c>
    </x:row>
    <x:row r="470">
      <x:c r="A470" s="15" t="str">
        <x:v>466</x:v>
      </x:c>
      <x:c r="B470" s="9" t="str">
        <x:v>Alex</x:v>
      </x:c>
      <x:c r="C470" s="9" t="str">
        <x:v>Auto</x:v>
      </x:c>
      <x:c r="D470" s="9" t="str">
        <x:v>West</x:v>
      </x:c>
      <x:c r="E470" s="9" t="n">
        <x:v>809</x:v>
      </x:c>
      <x:c r="F470" s="11" t="n">
        <x:v>46136</x:v>
      </x:c>
      <x:c r="G470" s="13" t="n">
        <x:v>6390.78</x:v>
      </x:c>
      <x:c r="H470" s="9" t="n">
        <x:v>10</x:v>
      </x:c>
      <x:c r="I470" s="9" t="n">
        <x:v>7</x:v>
      </x:c>
      <x:c r="J470" s="9" t="n">
        <x:v>4</x:v>
      </x:c>
      <x:c r="K470" s="9" t="n">
        <x:v>0</x:v>
      </x:c>
      <x:c r="L470" s="13" t="n">
        <x:f>SUMIFS('Payments'!$D$5:$D$3014,'Payments'!$B$5:$B$3014,A470)</x:f>
        <x:v>931.8</x:v>
      </x:c>
      <x:c r="M470" s="13" t="n">
        <x:f>G470-L470</x:f>
        <x:v>5458.98</x:v>
      </x:c>
      <x:c r="N470" s="9" t="str">
        <x:f>IF(H470=0,"0 Current",IF(H470&lt;=30,"1 1-30",IF(H470&lt;=60,"2 31-60",IF(H470&lt;=90,"3 61-90",IF(H470&lt;=120,"4 91-120","5 121+")))))</x:f>
        <x:v>1 1-30</x:v>
      </x:c>
      <x:c r="O470" s="9" t="n">
        <x:f>IF(J470&gt;0,1,0)</x:f>
        <x:v>1</x:v>
      </x:c>
    </x:row>
    <x:row r="471">
      <x:c r="A471" s="15" t="str">
        <x:v>467</x:v>
      </x:c>
      <x:c r="B471" s="9" t="str">
        <x:v>Casey</x:v>
      </x:c>
      <x:c r="C471" s="9" t="str">
        <x:v>Credit Card</x:v>
      </x:c>
      <x:c r="D471" s="9" t="str">
        <x:v>Northeast</x:v>
      </x:c>
      <x:c r="E471" s="9" t="n">
        <x:v>652</x:v>
      </x:c>
      <x:c r="F471" s="11" t="n">
        <x:v>46166</x:v>
      </x:c>
      <x:c r="G471" s="13" t="n">
        <x:v>833.15</x:v>
      </x:c>
      <x:c r="H471" s="9" t="n">
        <x:v>74</x:v>
      </x:c>
      <x:c r="I471" s="9" t="n">
        <x:v>7</x:v>
      </x:c>
      <x:c r="J471" s="9" t="n">
        <x:v>3</x:v>
      </x:c>
      <x:c r="K471" s="9" t="n">
        <x:v>0</x:v>
      </x:c>
      <x:c r="L471" s="13" t="n">
        <x:f>SUMIFS('Payments'!$D$5:$D$3014,'Payments'!$B$5:$B$3014,A471)</x:f>
        <x:v>157.87</x:v>
      </x:c>
      <x:c r="M471" s="13" t="n">
        <x:f>G471-L471</x:f>
        <x:v>675.28</x:v>
      </x:c>
      <x:c r="N471" s="9" t="str">
        <x:f>IF(H471=0,"0 Current",IF(H471&lt;=30,"1 1-30",IF(H471&lt;=60,"2 31-60",IF(H471&lt;=90,"3 61-90",IF(H471&lt;=120,"4 91-120","5 121+")))))</x:f>
        <x:v>3 61-90</x:v>
      </x:c>
      <x:c r="O471" s="9" t="n">
        <x:f>IF(J471&gt;0,1,0)</x:f>
        <x:v>1</x:v>
      </x:c>
    </x:row>
    <x:row r="472">
      <x:c r="A472" s="15" t="str">
        <x:v>468</x:v>
      </x:c>
      <x:c r="B472" s="9" t="str">
        <x:v>Taylor</x:v>
      </x:c>
      <x:c r="C472" s="9" t="str">
        <x:v>Auto</x:v>
      </x:c>
      <x:c r="D472" s="9" t="str">
        <x:v>Northeast</x:v>
      </x:c>
      <x:c r="E472" s="9" t="n">
        <x:v>581</x:v>
      </x:c>
      <x:c r="F472" s="11" t="n">
        <x:v>46147</x:v>
      </x:c>
      <x:c r="G472" s="13" t="n">
        <x:v>9418.56</x:v>
      </x:c>
      <x:c r="H472" s="9" t="n">
        <x:v>29</x:v>
      </x:c>
      <x:c r="I472" s="9" t="n">
        <x:v>7</x:v>
      </x:c>
      <x:c r="J472" s="9" t="n">
        <x:v>5</x:v>
      </x:c>
      <x:c r="K472" s="9" t="n">
        <x:v>1</x:v>
      </x:c>
      <x:c r="L472" s="13" t="n">
        <x:f>SUMIFS('Payments'!$D$5:$D$3014,'Payments'!$B$5:$B$3014,A472)</x:f>
        <x:v>1330.2600000000002</x:v>
      </x:c>
      <x:c r="M472" s="13" t="n">
        <x:f>G472-L472</x:f>
        <x:v>8088.299999999999</x:v>
      </x:c>
      <x:c r="N472" s="9" t="str">
        <x:f>IF(H472=0,"0 Current",IF(H472&lt;=30,"1 1-30",IF(H472&lt;=60,"2 31-60",IF(H472&lt;=90,"3 61-90",IF(H472&lt;=120,"4 91-120","5 121+")))))</x:f>
        <x:v>1 1-30</x:v>
      </x:c>
      <x:c r="O472" s="9" t="n">
        <x:f>IF(J472&gt;0,1,0)</x:f>
        <x:v>1</x:v>
      </x:c>
    </x:row>
    <x:row r="473">
      <x:c r="A473" s="15" t="str">
        <x:v>469</x:v>
      </x:c>
      <x:c r="B473" s="9" t="str">
        <x:v>Jordan</x:v>
      </x:c>
      <x:c r="C473" s="9" t="str">
        <x:v>Medical</x:v>
      </x:c>
      <x:c r="D473" s="9" t="str">
        <x:v>Midwest</x:v>
      </x:c>
      <x:c r="E473" s="9" t="n">
        <x:v>585</x:v>
      </x:c>
      <x:c r="F473" s="11" t="n">
        <x:v>46131</x:v>
      </x:c>
      <x:c r="G473" s="13" t="n">
        <x:v>11818.25</x:v>
      </x:c>
      <x:c r="H473" s="9" t="n">
        <x:v>21</x:v>
      </x:c>
      <x:c r="I473" s="9" t="n">
        <x:v>6</x:v>
      </x:c>
      <x:c r="J473" s="9" t="n">
        <x:v>1</x:v>
      </x:c>
      <x:c r="K473" s="9" t="n">
        <x:v>0</x:v>
      </x:c>
      <x:c r="L473" s="13" t="n">
        <x:f>SUMIFS('Payments'!$D$5:$D$3014,'Payments'!$B$5:$B$3014,A473)</x:f>
        <x:v>191.55</x:v>
      </x:c>
      <x:c r="M473" s="13" t="n">
        <x:f>G473-L473</x:f>
        <x:v>11626.7</x:v>
      </x:c>
      <x:c r="N473" s="9" t="str">
        <x:f>IF(H473=0,"0 Current",IF(H473&lt;=30,"1 1-30",IF(H473&lt;=60,"2 31-60",IF(H473&lt;=90,"3 61-90",IF(H473&lt;=120,"4 91-120","5 121+")))))</x:f>
        <x:v>1 1-30</x:v>
      </x:c>
      <x:c r="O473" s="9" t="n">
        <x:f>IF(J473&gt;0,1,0)</x:f>
        <x:v>1</x:v>
      </x:c>
    </x:row>
    <x:row r="474">
      <x:c r="A474" s="15" t="str">
        <x:v>470</x:v>
      </x:c>
      <x:c r="B474" s="9" t="str">
        <x:v>Casey</x:v>
      </x:c>
      <x:c r="C474" s="9" t="str">
        <x:v>Personal Loan</x:v>
      </x:c>
      <x:c r="D474" s="9" t="str">
        <x:v>Northeast</x:v>
      </x:c>
      <x:c r="E474" s="9" t="n">
        <x:v>815</x:v>
      </x:c>
      <x:c r="F474" s="11" t="n">
        <x:v>46099</x:v>
      </x:c>
      <x:c r="G474" s="13" t="n">
        <x:v>7401.02</x:v>
      </x:c>
      <x:c r="H474" s="9" t="n">
        <x:v>107</x:v>
      </x:c>
      <x:c r="I474" s="9" t="n">
        <x:v>6</x:v>
      </x:c>
      <x:c r="J474" s="9" t="n">
        <x:v>2</x:v>
      </x:c>
      <x:c r="K474" s="9" t="n">
        <x:v>1</x:v>
      </x:c>
      <x:c r="L474" s="13" t="n">
        <x:f>SUMIFS('Payments'!$D$5:$D$3014,'Payments'!$B$5:$B$3014,A474)</x:f>
        <x:v>1766.71</x:v>
      </x:c>
      <x:c r="M474" s="13" t="n">
        <x:f>G474-L474</x:f>
        <x:v>5634.31</x:v>
      </x:c>
      <x:c r="N474" s="9" t="str">
        <x:f>IF(H474=0,"0 Current",IF(H474&lt;=30,"1 1-30",IF(H474&lt;=60,"2 31-60",IF(H474&lt;=90,"3 61-90",IF(H474&lt;=120,"4 91-120","5 121+")))))</x:f>
        <x:v>4 91-120</x:v>
      </x:c>
      <x:c r="O474" s="9" t="n">
        <x:f>IF(J474&gt;0,1,0)</x:f>
        <x:v>1</x:v>
      </x:c>
    </x:row>
    <x:row r="475">
      <x:c r="A475" s="15" t="str">
        <x:v>471</x:v>
      </x:c>
      <x:c r="B475" s="9" t="str">
        <x:v>Casey</x:v>
      </x:c>
      <x:c r="C475" s="9" t="str">
        <x:v>Auto</x:v>
      </x:c>
      <x:c r="D475" s="9" t="str">
        <x:v>West</x:v>
      </x:c>
      <x:c r="E475" s="9" t="n">
        <x:v>683</x:v>
      </x:c>
      <x:c r="F475" s="11" t="n">
        <x:v>46104</x:v>
      </x:c>
      <x:c r="G475" s="13" t="n">
        <x:v>1095.03</x:v>
      </x:c>
      <x:c r="H475" s="9" t="n">
        <x:v>239</x:v>
      </x:c>
      <x:c r="I475" s="9" t="n">
        <x:v>1</x:v>
      </x:c>
      <x:c r="J475" s="9" t="n">
        <x:v>0</x:v>
      </x:c>
      <x:c r="K475" s="9" t="n">
        <x:v>0</x:v>
      </x:c>
      <x:c r="L475" s="13" t="n">
        <x:f>SUMIFS('Payments'!$D$5:$D$3014,'Payments'!$B$5:$B$3014,A475)</x:f>
        <x:v>91.82</x:v>
      </x:c>
      <x:c r="M475" s="13" t="n">
        <x:f>G475-L475</x:f>
        <x:v>1003.21</x:v>
      </x:c>
      <x:c r="N475" s="9" t="str">
        <x:f>IF(H475=0,"0 Current",IF(H475&lt;=30,"1 1-30",IF(H475&lt;=60,"2 31-60",IF(H475&lt;=90,"3 61-90",IF(H475&lt;=120,"4 91-120","5 121+")))))</x:f>
        <x:v>5 121+</x:v>
      </x:c>
      <x:c r="O475" s="9" t="n">
        <x:f>IF(J475&gt;0,1,0)</x:f>
        <x:v>0</x:v>
      </x:c>
    </x:row>
    <x:row r="476">
      <x:c r="A476" s="15" t="str">
        <x:v>472</x:v>
      </x:c>
      <x:c r="B476" s="9" t="str">
        <x:v>Morgan</x:v>
      </x:c>
      <x:c r="C476" s="9" t="str">
        <x:v>Medical</x:v>
      </x:c>
      <x:c r="D476" s="9" t="str">
        <x:v>Northeast</x:v>
      </x:c>
      <x:c r="E476" s="9" t="n">
        <x:v>756</x:v>
      </x:c>
      <x:c r="F476" s="11" t="n">
        <x:v>46156</x:v>
      </x:c>
      <x:c r="G476" s="13" t="n">
        <x:v>654.21</x:v>
      </x:c>
      <x:c r="H476" s="9" t="n">
        <x:v>162</x:v>
      </x:c>
      <x:c r="I476" s="9" t="n">
        <x:v>3</x:v>
      </x:c>
      <x:c r="J476" s="9" t="n">
        <x:v>2</x:v>
      </x:c>
      <x:c r="K476" s="9" t="n">
        <x:v>0</x:v>
      </x:c>
      <x:c r="L476" s="13" t="n">
        <x:f>SUMIFS('Payments'!$D$5:$D$3014,'Payments'!$B$5:$B$3014,A476)</x:f>
        <x:v>108.22</x:v>
      </x:c>
      <x:c r="M476" s="13" t="n">
        <x:f>G476-L476</x:f>
        <x:v>545.99</x:v>
      </x:c>
      <x:c r="N476" s="9" t="str">
        <x:f>IF(H476=0,"0 Current",IF(H476&lt;=30,"1 1-30",IF(H476&lt;=60,"2 31-60",IF(H476&lt;=90,"3 61-90",IF(H476&lt;=120,"4 91-120","5 121+")))))</x:f>
        <x:v>5 121+</x:v>
      </x:c>
      <x:c r="O476" s="9" t="n">
        <x:f>IF(J476&gt;0,1,0)</x:f>
        <x:v>1</x:v>
      </x:c>
    </x:row>
    <x:row r="477">
      <x:c r="A477" s="15" t="str">
        <x:v>473</x:v>
      </x:c>
      <x:c r="B477" s="9" t="str">
        <x:v>Alex</x:v>
      </x:c>
      <x:c r="C477" s="9" t="str">
        <x:v>Personal Loan</x:v>
      </x:c>
      <x:c r="D477" s="9" t="str">
        <x:v>West</x:v>
      </x:c>
      <x:c r="E477" s="9" t="n">
        <x:v>631</x:v>
      </x:c>
      <x:c r="F477" s="11" t="n">
        <x:v>46071</x:v>
      </x:c>
      <x:c r="G477" s="13" t="n">
        <x:v>24694.27</x:v>
      </x:c>
      <x:c r="H477" s="9" t="n">
        <x:v>208</x:v>
      </x:c>
      <x:c r="I477" s="9" t="n">
        <x:v>1</x:v>
      </x:c>
      <x:c r="J477" s="9" t="n">
        <x:v>1</x:v>
      </x:c>
      <x:c r="K477" s="9" t="n">
        <x:v>0</x:v>
      </x:c>
      <x:c r="L477" s="13" t="n">
        <x:f>SUMIFS('Payments'!$D$5:$D$3014,'Payments'!$B$5:$B$3014,A477)</x:f>
        <x:v>1714.2600000000002</x:v>
      </x:c>
      <x:c r="M477" s="13" t="n">
        <x:f>G477-L477</x:f>
        <x:v>22980.010000000002</x:v>
      </x:c>
      <x:c r="N477" s="9" t="str">
        <x:f>IF(H477=0,"0 Current",IF(H477&lt;=30,"1 1-30",IF(H477&lt;=60,"2 31-60",IF(H477&lt;=90,"3 61-90",IF(H477&lt;=120,"4 91-120","5 121+")))))</x:f>
        <x:v>5 121+</x:v>
      </x:c>
      <x:c r="O477" s="9" t="n">
        <x:f>IF(J477&gt;0,1,0)</x:f>
        <x:v>1</x:v>
      </x:c>
    </x:row>
    <x:row r="478">
      <x:c r="A478" s="15" t="str">
        <x:v>474</x:v>
      </x:c>
      <x:c r="B478" s="9" t="str">
        <x:v>Morgan</x:v>
      </x:c>
      <x:c r="C478" s="9" t="str">
        <x:v>Personal Loan</x:v>
      </x:c>
      <x:c r="D478" s="9" t="str">
        <x:v>Northeast</x:v>
      </x:c>
      <x:c r="E478" s="9" t="n">
        <x:v>516</x:v>
      </x:c>
      <x:c r="F478" s="11" t="n">
        <x:v>46139</x:v>
      </x:c>
      <x:c r="G478" s="13" t="n">
        <x:v>17866.67</x:v>
      </x:c>
      <x:c r="H478" s="9" t="n">
        <x:v>90</x:v>
      </x:c>
      <x:c r="I478" s="9" t="n">
        <x:v>8</x:v>
      </x:c>
      <x:c r="J478" s="9" t="n">
        <x:v>4</x:v>
      </x:c>
      <x:c r="K478" s="9" t="n">
        <x:v>1</x:v>
      </x:c>
      <x:c r="L478" s="13" t="n">
        <x:f>SUMIFS('Payments'!$D$5:$D$3014,'Payments'!$B$5:$B$3014,A478)</x:f>
        <x:v>3634.42</x:v>
      </x:c>
      <x:c r="M478" s="13" t="n">
        <x:f>G478-L478</x:f>
        <x:v>14232.249999999998</x:v>
      </x:c>
      <x:c r="N478" s="9" t="str">
        <x:f>IF(H478=0,"0 Current",IF(H478&lt;=30,"1 1-30",IF(H478&lt;=60,"2 31-60",IF(H478&lt;=90,"3 61-90",IF(H478&lt;=120,"4 91-120","5 121+")))))</x:f>
        <x:v>3 61-90</x:v>
      </x:c>
      <x:c r="O478" s="9" t="n">
        <x:f>IF(J478&gt;0,1,0)</x:f>
        <x:v>1</x:v>
      </x:c>
    </x:row>
    <x:row r="479">
      <x:c r="A479" s="15" t="str">
        <x:v>475</x:v>
      </x:c>
      <x:c r="B479" s="9" t="str">
        <x:v>Alex</x:v>
      </x:c>
      <x:c r="C479" s="9" t="str">
        <x:v>Personal Loan</x:v>
      </x:c>
      <x:c r="D479" s="9" t="str">
        <x:v>Midwest</x:v>
      </x:c>
      <x:c r="E479" s="9" t="n">
        <x:v>738</x:v>
      </x:c>
      <x:c r="F479" s="11" t="n">
        <x:v>46151</x:v>
      </x:c>
      <x:c r="G479" s="13" t="n">
        <x:v>24878.7</x:v>
      </x:c>
      <x:c r="H479" s="9" t="n">
        <x:v>218</x:v>
      </x:c>
      <x:c r="I479" s="9" t="n">
        <x:v>3</x:v>
      </x:c>
      <x:c r="J479" s="9" t="n">
        <x:v>2</x:v>
      </x:c>
      <x:c r="K479" s="9" t="n">
        <x:v>1</x:v>
      </x:c>
      <x:c r="L479" s="13" t="n">
        <x:f>SUMIFS('Payments'!$D$5:$D$3014,'Payments'!$B$5:$B$3014,A479)</x:f>
        <x:v>5522.32</x:v>
      </x:c>
      <x:c r="M479" s="13" t="n">
        <x:f>G479-L479</x:f>
        <x:v>19356.38</x:v>
      </x:c>
      <x:c r="N479" s="9" t="str">
        <x:f>IF(H479=0,"0 Current",IF(H479&lt;=30,"1 1-30",IF(H479&lt;=60,"2 31-60",IF(H479&lt;=90,"3 61-90",IF(H479&lt;=120,"4 91-120","5 121+")))))</x:f>
        <x:v>5 121+</x:v>
      </x:c>
      <x:c r="O479" s="9" t="n">
        <x:f>IF(J479&gt;0,1,0)</x:f>
        <x:v>1</x:v>
      </x:c>
    </x:row>
    <x:row r="480">
      <x:c r="A480" s="15" t="str">
        <x:v>476</x:v>
      </x:c>
      <x:c r="B480" s="9" t="str">
        <x:v>Jordan</x:v>
      </x:c>
      <x:c r="C480" s="9" t="str">
        <x:v>Medical</x:v>
      </x:c>
      <x:c r="D480" s="9" t="str">
        <x:v>West</x:v>
      </x:c>
      <x:c r="E480" s="9" t="n">
        <x:v>740</x:v>
      </x:c>
      <x:c r="F480" s="11" t="n">
        <x:v>46124</x:v>
      </x:c>
      <x:c r="G480" s="13" t="n">
        <x:v>818.98</x:v>
      </x:c>
      <x:c r="H480" s="9" t="n">
        <x:v>129</x:v>
      </x:c>
      <x:c r="I480" s="9" t="n">
        <x:v>3</x:v>
      </x:c>
      <x:c r="J480" s="9" t="n">
        <x:v>1</x:v>
      </x:c>
      <x:c r="K480" s="9" t="n">
        <x:v>1</x:v>
      </x:c>
      <x:c r="L480" s="13" t="n">
        <x:f>SUMIFS('Payments'!$D$5:$D$3014,'Payments'!$B$5:$B$3014,A480)</x:f>
        <x:v>114.2</x:v>
      </x:c>
      <x:c r="M480" s="13" t="n">
        <x:f>G480-L480</x:f>
        <x:v>704.78</x:v>
      </x:c>
      <x:c r="N480" s="9" t="str">
        <x:f>IF(H480=0,"0 Current",IF(H480&lt;=30,"1 1-30",IF(H480&lt;=60,"2 31-60",IF(H480&lt;=90,"3 61-90",IF(H480&lt;=120,"4 91-120","5 121+")))))</x:f>
        <x:v>5 121+</x:v>
      </x:c>
      <x:c r="O480" s="9" t="n">
        <x:f>IF(J480&gt;0,1,0)</x:f>
        <x:v>1</x:v>
      </x:c>
    </x:row>
    <x:row r="481">
      <x:c r="A481" s="15" t="str">
        <x:v>477</x:v>
      </x:c>
      <x:c r="B481" s="9" t="str">
        <x:v>Taylor</x:v>
      </x:c>
      <x:c r="C481" s="9" t="str">
        <x:v>Personal Loan</x:v>
      </x:c>
      <x:c r="D481" s="9" t="str">
        <x:v>West</x:v>
      </x:c>
      <x:c r="E481" s="9" t="n">
        <x:v>809</x:v>
      </x:c>
      <x:c r="F481" s="11" t="n">
        <x:v>46118</x:v>
      </x:c>
      <x:c r="G481" s="13" t="n">
        <x:v>22266.89</x:v>
      </x:c>
      <x:c r="H481" s="9" t="n">
        <x:v>85</x:v>
      </x:c>
      <x:c r="I481" s="9" t="n">
        <x:v>8</x:v>
      </x:c>
      <x:c r="J481" s="9" t="n">
        <x:v>1</x:v>
      </x:c>
      <x:c r="K481" s="9" t="n">
        <x:v>0</x:v>
      </x:c>
      <x:c r="L481" s="13" t="n">
        <x:f>SUMIFS('Payments'!$D$5:$D$3014,'Payments'!$B$5:$B$3014,A481)</x:f>
        <x:v>2264.54</x:v>
      </x:c>
      <x:c r="M481" s="13" t="n">
        <x:f>G481-L481</x:f>
        <x:v>20002.35</x:v>
      </x:c>
      <x:c r="N481" s="9" t="str">
        <x:f>IF(H481=0,"0 Current",IF(H481&lt;=30,"1 1-30",IF(H481&lt;=60,"2 31-60",IF(H481&lt;=90,"3 61-90",IF(H481&lt;=120,"4 91-120","5 121+")))))</x:f>
        <x:v>3 61-90</x:v>
      </x:c>
      <x:c r="O481" s="9" t="n">
        <x:f>IF(J481&gt;0,1,0)</x:f>
        <x:v>1</x:v>
      </x:c>
    </x:row>
    <x:row r="482">
      <x:c r="A482" s="15" t="str">
        <x:v>478</x:v>
      </x:c>
      <x:c r="B482" s="9" t="str">
        <x:v>Alex</x:v>
      </x:c>
      <x:c r="C482" s="9" t="str">
        <x:v>Auto</x:v>
      </x:c>
      <x:c r="D482" s="9" t="str">
        <x:v>Northeast</x:v>
      </x:c>
      <x:c r="E482" s="9" t="n">
        <x:v>524</x:v>
      </x:c>
      <x:c r="F482" s="11" t="n">
        <x:v>46055</x:v>
      </x:c>
      <x:c r="G482" s="13" t="n">
        <x:v>21650.07</x:v>
      </x:c>
      <x:c r="H482" s="9" t="n">
        <x:v>215</x:v>
      </x:c>
      <x:c r="I482" s="9" t="n">
        <x:v>1</x:v>
      </x:c>
      <x:c r="J482" s="9" t="n">
        <x:v>0</x:v>
      </x:c>
      <x:c r="K482" s="9" t="n">
        <x:v>0</x:v>
      </x:c>
      <x:c r="L482" s="13" t="n">
        <x:f>SUMIFS('Payments'!$D$5:$D$3014,'Payments'!$B$5:$B$3014,A482)</x:f>
        <x:v>1922.19</x:v>
      </x:c>
      <x:c r="M482" s="13" t="n">
        <x:f>G482-L482</x:f>
        <x:v>19727.88</x:v>
      </x:c>
      <x:c r="N482" s="9" t="str">
        <x:f>IF(H482=0,"0 Current",IF(H482&lt;=30,"1 1-30",IF(H482&lt;=60,"2 31-60",IF(H482&lt;=90,"3 61-90",IF(H482&lt;=120,"4 91-120","5 121+")))))</x:f>
        <x:v>5 121+</x:v>
      </x:c>
      <x:c r="O482" s="9" t="n">
        <x:f>IF(J482&gt;0,1,0)</x:f>
        <x:v>0</x:v>
      </x:c>
    </x:row>
    <x:row r="483">
      <x:c r="A483" s="15" t="str">
        <x:v>479</x:v>
      </x:c>
      <x:c r="B483" s="9" t="str">
        <x:v>Riley</x:v>
      </x:c>
      <x:c r="C483" s="9" t="str">
        <x:v>Credit Card</x:v>
      </x:c>
      <x:c r="D483" s="9" t="str">
        <x:v>Midwest</x:v>
      </x:c>
      <x:c r="E483" s="9" t="n">
        <x:v>701</x:v>
      </x:c>
      <x:c r="F483" s="11" t="n">
        <x:v>46062</x:v>
      </x:c>
      <x:c r="G483" s="13" t="n">
        <x:v>1666.78</x:v>
      </x:c>
      <x:c r="H483" s="9" t="n">
        <x:v>146</x:v>
      </x:c>
      <x:c r="I483" s="9" t="n">
        <x:v>3</x:v>
      </x:c>
      <x:c r="J483" s="9" t="n">
        <x:v>2</x:v>
      </x:c>
      <x:c r="K483" s="9" t="n">
        <x:v>0</x:v>
      </x:c>
      <x:c r="L483" s="13" t="n">
        <x:f>SUMIFS('Payments'!$D$5:$D$3014,'Payments'!$B$5:$B$3014,A483)</x:f>
        <x:v>248.07999999999998</x:v>
      </x:c>
      <x:c r="M483" s="13" t="n">
        <x:f>G483-L483</x:f>
        <x:v>1418.7</x:v>
      </x:c>
      <x:c r="N483" s="9" t="str">
        <x:f>IF(H483=0,"0 Current",IF(H483&lt;=30,"1 1-30",IF(H483&lt;=60,"2 31-60",IF(H483&lt;=90,"3 61-90",IF(H483&lt;=120,"4 91-120","5 121+")))))</x:f>
        <x:v>5 121+</x:v>
      </x:c>
      <x:c r="O483" s="9" t="n">
        <x:f>IF(J483&gt;0,1,0)</x:f>
        <x:v>1</x:v>
      </x:c>
    </x:row>
    <x:row r="484">
      <x:c r="A484" s="15" t="str">
        <x:v>480</x:v>
      </x:c>
      <x:c r="B484" s="9" t="str">
        <x:v>Alex</x:v>
      </x:c>
      <x:c r="C484" s="9" t="str">
        <x:v>Medical</x:v>
      </x:c>
      <x:c r="D484" s="9" t="str">
        <x:v>South</x:v>
      </x:c>
      <x:c r="E484" s="9" t="n">
        <x:v>567</x:v>
      </x:c>
      <x:c r="F484" s="11" t="n">
        <x:v>46036</x:v>
      </x:c>
      <x:c r="G484" s="13" t="n">
        <x:v>12032.86</x:v>
      </x:c>
      <x:c r="H484" s="9" t="n">
        <x:v>160</x:v>
      </x:c>
      <x:c r="I484" s="9" t="n">
        <x:v>1</x:v>
      </x:c>
      <x:c r="J484" s="9" t="n">
        <x:v>0</x:v>
      </x:c>
      <x:c r="K484" s="9" t="n">
        <x:v>0</x:v>
      </x:c>
      <x:c r="L484" s="13" t="n">
        <x:f>SUMIFS('Payments'!$D$5:$D$3014,'Payments'!$B$5:$B$3014,A484)</x:f>
        <x:v>0</x:v>
      </x:c>
      <x:c r="M484" s="13" t="n">
        <x:f>G484-L484</x:f>
        <x:v>12032.86</x:v>
      </x:c>
      <x:c r="N484" s="9" t="str">
        <x:f>IF(H484=0,"0 Current",IF(H484&lt;=30,"1 1-30",IF(H484&lt;=60,"2 31-60",IF(H484&lt;=90,"3 61-90",IF(H484&lt;=120,"4 91-120","5 121+")))))</x:f>
        <x:v>5 121+</x:v>
      </x:c>
      <x:c r="O484" s="9" t="n">
        <x:f>IF(J484&gt;0,1,0)</x:f>
        <x:v>0</x:v>
      </x:c>
    </x:row>
    <x:row r="485">
      <x:c r="A485" s="15" t="str">
        <x:v>481</x:v>
      </x:c>
      <x:c r="B485" s="9" t="str">
        <x:v>Casey</x:v>
      </x:c>
      <x:c r="C485" s="9" t="str">
        <x:v>Personal Loan</x:v>
      </x:c>
      <x:c r="D485" s="9" t="str">
        <x:v>West</x:v>
      </x:c>
      <x:c r="E485" s="9" t="n">
        <x:v>777</x:v>
      </x:c>
      <x:c r="F485" s="11" t="n">
        <x:v>46054</x:v>
      </x:c>
      <x:c r="G485" s="13" t="n">
        <x:v>4991.12</x:v>
      </x:c>
      <x:c r="H485" s="9" t="n">
        <x:v>67</x:v>
      </x:c>
      <x:c r="I485" s="9" t="n">
        <x:v>7</x:v>
      </x:c>
      <x:c r="J485" s="9" t="n">
        <x:v>3</x:v>
      </x:c>
      <x:c r="K485" s="9" t="n">
        <x:v>1</x:v>
      </x:c>
      <x:c r="L485" s="13" t="n">
        <x:f>SUMIFS('Payments'!$D$5:$D$3014,'Payments'!$B$5:$B$3014,A485)</x:f>
        <x:v>70.8</x:v>
      </x:c>
      <x:c r="M485" s="13" t="n">
        <x:f>G485-L485</x:f>
        <x:v>4920.32</x:v>
      </x:c>
      <x:c r="N485" s="9" t="str">
        <x:f>IF(H485=0,"0 Current",IF(H485&lt;=30,"1 1-30",IF(H485&lt;=60,"2 31-60",IF(H485&lt;=90,"3 61-90",IF(H485&lt;=120,"4 91-120","5 121+")))))</x:f>
        <x:v>3 61-90</x:v>
      </x:c>
      <x:c r="O485" s="9" t="n">
        <x:f>IF(J485&gt;0,1,0)</x:f>
        <x:v>1</x:v>
      </x:c>
    </x:row>
    <x:row r="486">
      <x:c r="A486" s="15" t="str">
        <x:v>482</x:v>
      </x:c>
      <x:c r="B486" s="9" t="str">
        <x:v>Casey</x:v>
      </x:c>
      <x:c r="C486" s="9" t="str">
        <x:v>Personal Loan</x:v>
      </x:c>
      <x:c r="D486" s="9" t="str">
        <x:v>West</x:v>
      </x:c>
      <x:c r="E486" s="9" t="n">
        <x:v>482</x:v>
      </x:c>
      <x:c r="F486" s="11" t="n">
        <x:v>46138</x:v>
      </x:c>
      <x:c r="G486" s="13" t="n">
        <x:v>7257.17</x:v>
      </x:c>
      <x:c r="H486" s="9" t="n">
        <x:v>2</x:v>
      </x:c>
      <x:c r="I486" s="9" t="n">
        <x:v>1</x:v>
      </x:c>
      <x:c r="J486" s="9" t="n">
        <x:v>1</x:v>
      </x:c>
      <x:c r="K486" s="9" t="n">
        <x:v>1</x:v>
      </x:c>
      <x:c r="L486" s="13" t="n">
        <x:f>SUMIFS('Payments'!$D$5:$D$3014,'Payments'!$B$5:$B$3014,A486)</x:f>
        <x:v>874.63</x:v>
      </x:c>
      <x:c r="M486" s="13" t="n">
        <x:f>G486-L486</x:f>
        <x:v>6382.54</x:v>
      </x:c>
      <x:c r="N486" s="9" t="str">
        <x:f>IF(H486=0,"0 Current",IF(H486&lt;=30,"1 1-30",IF(H486&lt;=60,"2 31-60",IF(H486&lt;=90,"3 61-90",IF(H486&lt;=120,"4 91-120","5 121+")))))</x:f>
        <x:v>1 1-30</x:v>
      </x:c>
      <x:c r="O486" s="9" t="n">
        <x:f>IF(J486&gt;0,1,0)</x:f>
        <x:v>1</x:v>
      </x:c>
    </x:row>
    <x:row r="487">
      <x:c r="A487" s="15" t="str">
        <x:v>483</x:v>
      </x:c>
      <x:c r="B487" s="9" t="str">
        <x:v>Alex</x:v>
      </x:c>
      <x:c r="C487" s="9" t="str">
        <x:v>Medical</x:v>
      </x:c>
      <x:c r="D487" s="9" t="str">
        <x:v>Northeast</x:v>
      </x:c>
      <x:c r="E487" s="9" t="n">
        <x:v>742</x:v>
      </x:c>
      <x:c r="F487" s="11" t="n">
        <x:v>46146</x:v>
      </x:c>
      <x:c r="G487" s="13" t="n">
        <x:v>23421.14</x:v>
      </x:c>
      <x:c r="H487" s="9" t="n">
        <x:v>133</x:v>
      </x:c>
      <x:c r="I487" s="9" t="n">
        <x:v>0</x:v>
      </x:c>
      <x:c r="J487" s="9" t="n">
        <x:v>0</x:v>
      </x:c>
      <x:c r="K487" s="9" t="n">
        <x:v>0</x:v>
      </x:c>
      <x:c r="L487" s="13" t="n">
        <x:f>SUMIFS('Payments'!$D$5:$D$3014,'Payments'!$B$5:$B$3014,A487)</x:f>
        <x:v>812.45</x:v>
      </x:c>
      <x:c r="M487" s="13" t="n">
        <x:f>G487-L487</x:f>
        <x:v>22608.69</x:v>
      </x:c>
      <x:c r="N487" s="9" t="str">
        <x:f>IF(H487=0,"0 Current",IF(H487&lt;=30,"1 1-30",IF(H487&lt;=60,"2 31-60",IF(H487&lt;=90,"3 61-90",IF(H487&lt;=120,"4 91-120","5 121+")))))</x:f>
        <x:v>5 121+</x:v>
      </x:c>
      <x:c r="O487" s="9" t="n">
        <x:f>IF(J487&gt;0,1,0)</x:f>
        <x:v>0</x:v>
      </x:c>
    </x:row>
    <x:row r="488">
      <x:c r="A488" s="15" t="str">
        <x:v>484</x:v>
      </x:c>
      <x:c r="B488" s="9" t="str">
        <x:v>Casey</x:v>
      </x:c>
      <x:c r="C488" s="9" t="str">
        <x:v>Medical</x:v>
      </x:c>
      <x:c r="D488" s="9" t="str">
        <x:v>South</x:v>
      </x:c>
      <x:c r="E488" s="9" t="n">
        <x:v>783</x:v>
      </x:c>
      <x:c r="F488" s="11" t="n">
        <x:v>46155</x:v>
      </x:c>
      <x:c r="G488" s="13" t="n">
        <x:v>21964.12</x:v>
      </x:c>
      <x:c r="H488" s="9" t="n">
        <x:v>221</x:v>
      </x:c>
      <x:c r="I488" s="9" t="n">
        <x:v>2</x:v>
      </x:c>
      <x:c r="J488" s="9" t="n">
        <x:v>1</x:v>
      </x:c>
      <x:c r="K488" s="9" t="n">
        <x:v>1</x:v>
      </x:c>
      <x:c r="L488" s="13" t="n">
        <x:f>SUMIFS('Payments'!$D$5:$D$3014,'Payments'!$B$5:$B$3014,A488)</x:f>
        <x:v>776.47</x:v>
      </x:c>
      <x:c r="M488" s="13" t="n">
        <x:f>G488-L488</x:f>
        <x:v>21187.649999999998</x:v>
      </x:c>
      <x:c r="N488" s="9" t="str">
        <x:f>IF(H488=0,"0 Current",IF(H488&lt;=30,"1 1-30",IF(H488&lt;=60,"2 31-60",IF(H488&lt;=90,"3 61-90",IF(H488&lt;=120,"4 91-120","5 121+")))))</x:f>
        <x:v>5 121+</x:v>
      </x:c>
      <x:c r="O488" s="9" t="n">
        <x:f>IF(J488&gt;0,1,0)</x:f>
        <x:v>1</x:v>
      </x:c>
    </x:row>
    <x:row r="489">
      <x:c r="A489" s="15" t="str">
        <x:v>485</x:v>
      </x:c>
      <x:c r="B489" s="9" t="str">
        <x:v>Morgan</x:v>
      </x:c>
      <x:c r="C489" s="9" t="str">
        <x:v>Medical</x:v>
      </x:c>
      <x:c r="D489" s="9" t="str">
        <x:v>South</x:v>
      </x:c>
      <x:c r="E489" s="9" t="n">
        <x:v>579</x:v>
      </x:c>
      <x:c r="F489" s="11" t="n">
        <x:v>46091</x:v>
      </x:c>
      <x:c r="G489" s="13" t="n">
        <x:v>11978.4</x:v>
      </x:c>
      <x:c r="H489" s="9" t="n">
        <x:v>23</x:v>
      </x:c>
      <x:c r="I489" s="9" t="n">
        <x:v>7</x:v>
      </x:c>
      <x:c r="J489" s="9" t="n">
        <x:v>3</x:v>
      </x:c>
      <x:c r="K489" s="9" t="n">
        <x:v>1</x:v>
      </x:c>
      <x:c r="L489" s="13" t="n">
        <x:f>SUMIFS('Payments'!$D$5:$D$3014,'Payments'!$B$5:$B$3014,A489)</x:f>
        <x:v>2237.25</x:v>
      </x:c>
      <x:c r="M489" s="13" t="n">
        <x:f>G489-L489</x:f>
        <x:v>9741.15</x:v>
      </x:c>
      <x:c r="N489" s="9" t="str">
        <x:f>IF(H489=0,"0 Current",IF(H489&lt;=30,"1 1-30",IF(H489&lt;=60,"2 31-60",IF(H489&lt;=90,"3 61-90",IF(H489&lt;=120,"4 91-120","5 121+")))))</x:f>
        <x:v>1 1-30</x:v>
      </x:c>
      <x:c r="O489" s="9" t="n">
        <x:f>IF(J489&gt;0,1,0)</x:f>
        <x:v>1</x:v>
      </x:c>
    </x:row>
    <x:row r="490">
      <x:c r="A490" s="15" t="str">
        <x:v>486</x:v>
      </x:c>
      <x:c r="B490" s="9" t="str">
        <x:v>Casey</x:v>
      </x:c>
      <x:c r="C490" s="9" t="str">
        <x:v>Auto</x:v>
      </x:c>
      <x:c r="D490" s="9" t="str">
        <x:v>Northeast</x:v>
      </x:c>
      <x:c r="E490" s="9" t="n">
        <x:v>702</x:v>
      </x:c>
      <x:c r="F490" s="11" t="n">
        <x:v>46102</x:v>
      </x:c>
      <x:c r="G490" s="13" t="n">
        <x:v>7447.99</x:v>
      </x:c>
      <x:c r="H490" s="9" t="n">
        <x:v>110</x:v>
      </x:c>
      <x:c r="I490" s="9" t="n">
        <x:v>6</x:v>
      </x:c>
      <x:c r="J490" s="9" t="n">
        <x:v>2</x:v>
      </x:c>
      <x:c r="K490" s="9" t="n">
        <x:v>1</x:v>
      </x:c>
      <x:c r="L490" s="13" t="n">
        <x:f>SUMIFS('Payments'!$D$5:$D$3014,'Payments'!$B$5:$B$3014,A490)</x:f>
        <x:v>1757.94</x:v>
      </x:c>
      <x:c r="M490" s="13" t="n">
        <x:f>G490-L490</x:f>
        <x:v>5690.049999999999</x:v>
      </x:c>
      <x:c r="N490" s="9" t="str">
        <x:f>IF(H490=0,"0 Current",IF(H490&lt;=30,"1 1-30",IF(H490&lt;=60,"2 31-60",IF(H490&lt;=90,"3 61-90",IF(H490&lt;=120,"4 91-120","5 121+")))))</x:f>
        <x:v>4 91-120</x:v>
      </x:c>
      <x:c r="O490" s="9" t="n">
        <x:f>IF(J490&gt;0,1,0)</x:f>
        <x:v>1</x:v>
      </x:c>
    </x:row>
    <x:row r="491">
      <x:c r="A491" s="15" t="str">
        <x:v>487</x:v>
      </x:c>
      <x:c r="B491" s="9" t="str">
        <x:v>Jordan</x:v>
      </x:c>
      <x:c r="C491" s="9" t="str">
        <x:v>Auto</x:v>
      </x:c>
      <x:c r="D491" s="9" t="str">
        <x:v>West</x:v>
      </x:c>
      <x:c r="E491" s="9" t="n">
        <x:v>467</x:v>
      </x:c>
      <x:c r="F491" s="11" t="n">
        <x:v>46098</x:v>
      </x:c>
      <x:c r="G491" s="13" t="n">
        <x:v>22750.7</x:v>
      </x:c>
      <x:c r="H491" s="9" t="n">
        <x:v>7</x:v>
      </x:c>
      <x:c r="I491" s="9" t="n">
        <x:v>2</x:v>
      </x:c>
      <x:c r="J491" s="9" t="n">
        <x:v>0</x:v>
      </x:c>
      <x:c r="K491" s="9" t="n">
        <x:v>0</x:v>
      </x:c>
      <x:c r="L491" s="13" t="n">
        <x:f>SUMIFS('Payments'!$D$5:$D$3014,'Payments'!$B$5:$B$3014,A491)</x:f>
        <x:v>0</x:v>
      </x:c>
      <x:c r="M491" s="13" t="n">
        <x:f>G491-L491</x:f>
        <x:v>22750.7</x:v>
      </x:c>
      <x:c r="N491" s="9" t="str">
        <x:f>IF(H491=0,"0 Current",IF(H491&lt;=30,"1 1-30",IF(H491&lt;=60,"2 31-60",IF(H491&lt;=90,"3 61-90",IF(H491&lt;=120,"4 91-120","5 121+")))))</x:f>
        <x:v>1 1-30</x:v>
      </x:c>
      <x:c r="O491" s="9" t="n">
        <x:f>IF(J491&gt;0,1,0)</x:f>
        <x:v>0</x:v>
      </x:c>
    </x:row>
    <x:row r="492">
      <x:c r="A492" s="15" t="str">
        <x:v>488</x:v>
      </x:c>
      <x:c r="B492" s="9" t="str">
        <x:v>Casey</x:v>
      </x:c>
      <x:c r="C492" s="9" t="str">
        <x:v>Personal Loan</x:v>
      </x:c>
      <x:c r="D492" s="9" t="str">
        <x:v>South</x:v>
      </x:c>
      <x:c r="E492" s="9" t="n">
        <x:v>478</x:v>
      </x:c>
      <x:c r="F492" s="11" t="n">
        <x:v>46085</x:v>
      </x:c>
      <x:c r="G492" s="13" t="n">
        <x:v>3546.75</x:v>
      </x:c>
      <x:c r="H492" s="9" t="n">
        <x:v>95</x:v>
      </x:c>
      <x:c r="I492" s="9" t="n">
        <x:v>0</x:v>
      </x:c>
      <x:c r="J492" s="9" t="n">
        <x:v>0</x:v>
      </x:c>
      <x:c r="K492" s="9" t="n">
        <x:v>0</x:v>
      </x:c>
      <x:c r="L492" s="13" t="n">
        <x:f>SUMIFS('Payments'!$D$5:$D$3014,'Payments'!$B$5:$B$3014,A492)</x:f>
        <x:v>216.07</x:v>
      </x:c>
      <x:c r="M492" s="13" t="n">
        <x:f>G492-L492</x:f>
        <x:v>3330.68</x:v>
      </x:c>
      <x:c r="N492" s="9" t="str">
        <x:f>IF(H492=0,"0 Current",IF(H492&lt;=30,"1 1-30",IF(H492&lt;=60,"2 31-60",IF(H492&lt;=90,"3 61-90",IF(H492&lt;=120,"4 91-120","5 121+")))))</x:f>
        <x:v>4 91-120</x:v>
      </x:c>
      <x:c r="O492" s="9" t="n">
        <x:f>IF(J492&gt;0,1,0)</x:f>
        <x:v>0</x:v>
      </x:c>
    </x:row>
    <x:row r="493">
      <x:c r="A493" s="15" t="str">
        <x:v>489</x:v>
      </x:c>
      <x:c r="B493" s="9" t="str">
        <x:v>Taylor</x:v>
      </x:c>
      <x:c r="C493" s="9" t="str">
        <x:v>Personal Loan</x:v>
      </x:c>
      <x:c r="D493" s="9" t="str">
        <x:v>West</x:v>
      </x:c>
      <x:c r="E493" s="9" t="n">
        <x:v>480</x:v>
      </x:c>
      <x:c r="F493" s="11" t="n">
        <x:v>46104</x:v>
      </x:c>
      <x:c r="G493" s="13" t="n">
        <x:v>957.22</x:v>
      </x:c>
      <x:c r="H493" s="9" t="n">
        <x:v>54</x:v>
      </x:c>
      <x:c r="I493" s="9" t="n">
        <x:v>4</x:v>
      </x:c>
      <x:c r="J493" s="9" t="n">
        <x:v>1</x:v>
      </x:c>
      <x:c r="K493" s="9" t="n">
        <x:v>0</x:v>
      </x:c>
      <x:c r="L493" s="13" t="n">
        <x:f>SUMIFS('Payments'!$D$5:$D$3014,'Payments'!$B$5:$B$3014,A493)</x:f>
        <x:v>171.92999999999998</x:v>
      </x:c>
      <x:c r="M493" s="13" t="n">
        <x:f>G493-L493</x:f>
        <x:v>785.2900000000001</x:v>
      </x:c>
      <x:c r="N493" s="9" t="str">
        <x:f>IF(H493=0,"0 Current",IF(H493&lt;=30,"1 1-30",IF(H493&lt;=60,"2 31-60",IF(H493&lt;=90,"3 61-90",IF(H493&lt;=120,"4 91-120","5 121+")))))</x:f>
        <x:v>2 31-60</x:v>
      </x:c>
      <x:c r="O493" s="9" t="n">
        <x:f>IF(J493&gt;0,1,0)</x:f>
        <x:v>1</x:v>
      </x:c>
    </x:row>
    <x:row r="494">
      <x:c r="A494" s="15" t="str">
        <x:v>490</x:v>
      </x:c>
      <x:c r="B494" s="9" t="str">
        <x:v>Jordan</x:v>
      </x:c>
      <x:c r="C494" s="9" t="str">
        <x:v>Personal Loan</x:v>
      </x:c>
      <x:c r="D494" s="9" t="str">
        <x:v>South</x:v>
      </x:c>
      <x:c r="E494" s="9" t="n">
        <x:v>675</x:v>
      </x:c>
      <x:c r="F494" s="11" t="n">
        <x:v>46130</x:v>
      </x:c>
      <x:c r="G494" s="13" t="n">
        <x:v>18753.84</x:v>
      </x:c>
      <x:c r="H494" s="9" t="n">
        <x:v>50</x:v>
      </x:c>
      <x:c r="I494" s="9" t="n">
        <x:v>7</x:v>
      </x:c>
      <x:c r="J494" s="9" t="n">
        <x:v>2</x:v>
      </x:c>
      <x:c r="K494" s="9" t="n">
        <x:v>1</x:v>
      </x:c>
      <x:c r="L494" s="13" t="n">
        <x:f>SUMIFS('Payments'!$D$5:$D$3014,'Payments'!$B$5:$B$3014,A494)</x:f>
        <x:v>140.18</x:v>
      </x:c>
      <x:c r="M494" s="13" t="n">
        <x:f>G494-L494</x:f>
        <x:v>18613.66</x:v>
      </x:c>
      <x:c r="N494" s="9" t="str">
        <x:f>IF(H494=0,"0 Current",IF(H494&lt;=30,"1 1-30",IF(H494&lt;=60,"2 31-60",IF(H494&lt;=90,"3 61-90",IF(H494&lt;=120,"4 91-120","5 121+")))))</x:f>
        <x:v>2 31-60</x:v>
      </x:c>
      <x:c r="O494" s="9" t="n">
        <x:f>IF(J494&gt;0,1,0)</x:f>
        <x:v>1</x:v>
      </x:c>
    </x:row>
    <x:row r="495">
      <x:c r="A495" s="15" t="str">
        <x:v>491</x:v>
      </x:c>
      <x:c r="B495" s="9" t="str">
        <x:v>Casey</x:v>
      </x:c>
      <x:c r="C495" s="9" t="str">
        <x:v>Auto</x:v>
      </x:c>
      <x:c r="D495" s="9" t="str">
        <x:v>Midwest</x:v>
      </x:c>
      <x:c r="E495" s="9" t="n">
        <x:v>680</x:v>
      </x:c>
      <x:c r="F495" s="11" t="n">
        <x:v>46141</x:v>
      </x:c>
      <x:c r="G495" s="13" t="n">
        <x:v>12427.16</x:v>
      </x:c>
      <x:c r="H495" s="9" t="n">
        <x:v>9</x:v>
      </x:c>
      <x:c r="I495" s="9" t="n">
        <x:v>6</x:v>
      </x:c>
      <x:c r="J495" s="9" t="n">
        <x:v>2</x:v>
      </x:c>
      <x:c r="K495" s="9" t="n">
        <x:v>0</x:v>
      </x:c>
      <x:c r="L495" s="13" t="n">
        <x:f>SUMIFS('Payments'!$D$5:$D$3014,'Payments'!$B$5:$B$3014,A495)</x:f>
        <x:v>3581.72</x:v>
      </x:c>
      <x:c r="M495" s="13" t="n">
        <x:f>G495-L495</x:f>
        <x:v>8845.44</x:v>
      </x:c>
      <x:c r="N495" s="9" t="str">
        <x:f>IF(H495=0,"0 Current",IF(H495&lt;=30,"1 1-30",IF(H495&lt;=60,"2 31-60",IF(H495&lt;=90,"3 61-90",IF(H495&lt;=120,"4 91-120","5 121+")))))</x:f>
        <x:v>1 1-30</x:v>
      </x:c>
      <x:c r="O495" s="9" t="n">
        <x:f>IF(J495&gt;0,1,0)</x:f>
        <x:v>1</x:v>
      </x:c>
    </x:row>
    <x:row r="496">
      <x:c r="A496" s="15" t="str">
        <x:v>492</x:v>
      </x:c>
      <x:c r="B496" s="9" t="str">
        <x:v>Taylor</x:v>
      </x:c>
      <x:c r="C496" s="9" t="str">
        <x:v>Credit Card</x:v>
      </x:c>
      <x:c r="D496" s="9" t="str">
        <x:v>Midwest</x:v>
      </x:c>
      <x:c r="E496" s="9" t="n">
        <x:v>632</x:v>
      </x:c>
      <x:c r="F496" s="11" t="n">
        <x:v>46139</x:v>
      </x:c>
      <x:c r="G496" s="13" t="n">
        <x:v>21192.03</x:v>
      </x:c>
      <x:c r="H496" s="9" t="n">
        <x:v>215</x:v>
      </x:c>
      <x:c r="I496" s="9" t="n">
        <x:v>0</x:v>
      </x:c>
      <x:c r="J496" s="9" t="n">
        <x:v>0</x:v>
      </x:c>
      <x:c r="K496" s="9" t="n">
        <x:v>0</x:v>
      </x:c>
      <x:c r="L496" s="13" t="n">
        <x:f>SUMIFS('Payments'!$D$5:$D$3014,'Payments'!$B$5:$B$3014,A496)</x:f>
        <x:v>1733.15</x:v>
      </x:c>
      <x:c r="M496" s="13" t="n">
        <x:f>G496-L496</x:f>
        <x:v>19458.879999999997</x:v>
      </x:c>
      <x:c r="N496" s="9" t="str">
        <x:f>IF(H496=0,"0 Current",IF(H496&lt;=30,"1 1-30",IF(H496&lt;=60,"2 31-60",IF(H496&lt;=90,"3 61-90",IF(H496&lt;=120,"4 91-120","5 121+")))))</x:f>
        <x:v>5 121+</x:v>
      </x:c>
      <x:c r="O496" s="9" t="n">
        <x:f>IF(J496&gt;0,1,0)</x:f>
        <x:v>0</x:v>
      </x:c>
    </x:row>
    <x:row r="497">
      <x:c r="A497" s="15" t="str">
        <x:v>493</x:v>
      </x:c>
      <x:c r="B497" s="9" t="str">
        <x:v>Jordan</x:v>
      </x:c>
      <x:c r="C497" s="9" t="str">
        <x:v>Auto</x:v>
      </x:c>
      <x:c r="D497" s="9" t="str">
        <x:v>West</x:v>
      </x:c>
      <x:c r="E497" s="9" t="n">
        <x:v>661</x:v>
      </x:c>
      <x:c r="F497" s="11" t="n">
        <x:v>46058</x:v>
      </x:c>
      <x:c r="G497" s="13" t="n">
        <x:v>4909.71</x:v>
      </x:c>
      <x:c r="H497" s="9" t="n">
        <x:v>57</x:v>
      </x:c>
      <x:c r="I497" s="9" t="n">
        <x:v>5</x:v>
      </x:c>
      <x:c r="J497" s="9" t="n">
        <x:v>2</x:v>
      </x:c>
      <x:c r="K497" s="9" t="n">
        <x:v>1</x:v>
      </x:c>
      <x:c r="L497" s="13" t="n">
        <x:f>SUMIFS('Payments'!$D$5:$D$3014,'Payments'!$B$5:$B$3014,A497)</x:f>
        <x:v>67.68</x:v>
      </x:c>
      <x:c r="M497" s="13" t="n">
        <x:f>G497-L497</x:f>
        <x:v>4842.03</x:v>
      </x:c>
      <x:c r="N497" s="9" t="str">
        <x:f>IF(H497=0,"0 Current",IF(H497&lt;=30,"1 1-30",IF(H497&lt;=60,"2 31-60",IF(H497&lt;=90,"3 61-90",IF(H497&lt;=120,"4 91-120","5 121+")))))</x:f>
        <x:v>2 31-60</x:v>
      </x:c>
      <x:c r="O497" s="9" t="n">
        <x:f>IF(J497&gt;0,1,0)</x:f>
        <x:v>1</x:v>
      </x:c>
    </x:row>
    <x:row r="498">
      <x:c r="A498" s="15" t="str">
        <x:v>494</x:v>
      </x:c>
      <x:c r="B498" s="9" t="str">
        <x:v>Taylor</x:v>
      </x:c>
      <x:c r="C498" s="9" t="str">
        <x:v>Medical</x:v>
      </x:c>
      <x:c r="D498" s="9" t="str">
        <x:v>South</x:v>
      </x:c>
      <x:c r="E498" s="9" t="n">
        <x:v>653</x:v>
      </x:c>
      <x:c r="F498" s="11" t="n">
        <x:v>46120</x:v>
      </x:c>
      <x:c r="G498" s="13" t="n">
        <x:v>11820.93</x:v>
      </x:c>
      <x:c r="H498" s="9" t="n">
        <x:v>236</x:v>
      </x:c>
      <x:c r="I498" s="9" t="n">
        <x:v>2</x:v>
      </x:c>
      <x:c r="J498" s="9" t="n">
        <x:v>2</x:v>
      </x:c>
      <x:c r="K498" s="9" t="n">
        <x:v>0</x:v>
      </x:c>
      <x:c r="L498" s="13" t="n">
        <x:f>SUMIFS('Payments'!$D$5:$D$3014,'Payments'!$B$5:$B$3014,A498)</x:f>
        <x:v>1217.68</x:v>
      </x:c>
      <x:c r="M498" s="13" t="n">
        <x:f>G498-L498</x:f>
        <x:v>10603.25</x:v>
      </x:c>
      <x:c r="N498" s="9" t="str">
        <x:f>IF(H498=0,"0 Current",IF(H498&lt;=30,"1 1-30",IF(H498&lt;=60,"2 31-60",IF(H498&lt;=90,"3 61-90",IF(H498&lt;=120,"4 91-120","5 121+")))))</x:f>
        <x:v>5 121+</x:v>
      </x:c>
      <x:c r="O498" s="9" t="n">
        <x:f>IF(J498&gt;0,1,0)</x:f>
        <x:v>1</x:v>
      </x:c>
    </x:row>
    <x:row r="499">
      <x:c r="A499" s="15" t="str">
        <x:v>495</x:v>
      </x:c>
      <x:c r="B499" s="9" t="str">
        <x:v>Taylor</x:v>
      </x:c>
      <x:c r="C499" s="9" t="str">
        <x:v>Credit Card</x:v>
      </x:c>
      <x:c r="D499" s="9" t="str">
        <x:v>South</x:v>
      </x:c>
      <x:c r="E499" s="9" t="n">
        <x:v>616</x:v>
      </x:c>
      <x:c r="F499" s="11" t="n">
        <x:v>46128</x:v>
      </x:c>
      <x:c r="G499" s="13" t="n">
        <x:v>19239.3</x:v>
      </x:c>
      <x:c r="H499" s="9" t="n">
        <x:v>133</x:v>
      </x:c>
      <x:c r="I499" s="9" t="n">
        <x:v>3</x:v>
      </x:c>
      <x:c r="J499" s="9" t="n">
        <x:v>1</x:v>
      </x:c>
      <x:c r="K499" s="9" t="n">
        <x:v>0</x:v>
      </x:c>
      <x:c r="L499" s="13" t="n">
        <x:f>SUMIFS('Payments'!$D$5:$D$3014,'Payments'!$B$5:$B$3014,A499)</x:f>
        <x:v>4684.21</x:v>
      </x:c>
      <x:c r="M499" s="13" t="n">
        <x:f>G499-L499</x:f>
        <x:v>14555.09</x:v>
      </x:c>
      <x:c r="N499" s="9" t="str">
        <x:f>IF(H499=0,"0 Current",IF(H499&lt;=30,"1 1-30",IF(H499&lt;=60,"2 31-60",IF(H499&lt;=90,"3 61-90",IF(H499&lt;=120,"4 91-120","5 121+")))))</x:f>
        <x:v>5 121+</x:v>
      </x:c>
      <x:c r="O499" s="9" t="n">
        <x:f>IF(J499&gt;0,1,0)</x:f>
        <x:v>1</x:v>
      </x:c>
    </x:row>
    <x:row r="500">
      <x:c r="A500" s="15" t="str">
        <x:v>496</x:v>
      </x:c>
      <x:c r="B500" s="9" t="str">
        <x:v>Taylor</x:v>
      </x:c>
      <x:c r="C500" s="9" t="str">
        <x:v>Credit Card</x:v>
      </x:c>
      <x:c r="D500" s="9" t="str">
        <x:v>South</x:v>
      </x:c>
      <x:c r="E500" s="9" t="n">
        <x:v>726</x:v>
      </x:c>
      <x:c r="F500" s="11" t="n">
        <x:v>46085</x:v>
      </x:c>
      <x:c r="G500" s="13" t="n">
        <x:v>9135.7</x:v>
      </x:c>
      <x:c r="H500" s="9" t="n">
        <x:v>19</x:v>
      </x:c>
      <x:c r="I500" s="9" t="n">
        <x:v>6</x:v>
      </x:c>
      <x:c r="J500" s="9" t="n">
        <x:v>3</x:v>
      </x:c>
      <x:c r="K500" s="9" t="n">
        <x:v>1</x:v>
      </x:c>
      <x:c r="L500" s="13" t="n">
        <x:f>SUMIFS('Payments'!$D$5:$D$3014,'Payments'!$B$5:$B$3014,A500)</x:f>
        <x:v>409.48</x:v>
      </x:c>
      <x:c r="M500" s="13" t="n">
        <x:f>G500-L500</x:f>
        <x:v>8726.220000000001</x:v>
      </x:c>
      <x:c r="N500" s="9" t="str">
        <x:f>IF(H500=0,"0 Current",IF(H500&lt;=30,"1 1-30",IF(H500&lt;=60,"2 31-60",IF(H500&lt;=90,"3 61-90",IF(H500&lt;=120,"4 91-120","5 121+")))))</x:f>
        <x:v>1 1-30</x:v>
      </x:c>
      <x:c r="O500" s="9" t="n">
        <x:f>IF(J500&gt;0,1,0)</x:f>
        <x:v>1</x:v>
      </x:c>
    </x:row>
    <x:row r="501">
      <x:c r="A501" s="15" t="str">
        <x:v>497</x:v>
      </x:c>
      <x:c r="B501" s="9" t="str">
        <x:v>Alex</x:v>
      </x:c>
      <x:c r="C501" s="9" t="str">
        <x:v>Medical</x:v>
      </x:c>
      <x:c r="D501" s="9" t="str">
        <x:v>South</x:v>
      </x:c>
      <x:c r="E501" s="9" t="n">
        <x:v>455</x:v>
      </x:c>
      <x:c r="F501" s="11" t="n">
        <x:v>46062</x:v>
      </x:c>
      <x:c r="G501" s="13" t="n">
        <x:v>21660.74</x:v>
      </x:c>
      <x:c r="H501" s="9" t="n">
        <x:v>56</x:v>
      </x:c>
      <x:c r="I501" s="9" t="n">
        <x:v>6</x:v>
      </x:c>
      <x:c r="J501" s="9" t="n">
        <x:v>2</x:v>
      </x:c>
      <x:c r="K501" s="9" t="n">
        <x:v>1</x:v>
      </x:c>
      <x:c r="L501" s="13" t="n">
        <x:f>SUMIFS('Payments'!$D$5:$D$3014,'Payments'!$B$5:$B$3014,A501)</x:f>
        <x:v>4733.55</x:v>
      </x:c>
      <x:c r="M501" s="13" t="n">
        <x:f>G501-L501</x:f>
        <x:v>16927.190000000002</x:v>
      </x:c>
      <x:c r="N501" s="9" t="str">
        <x:f>IF(H501=0,"0 Current",IF(H501&lt;=30,"1 1-30",IF(H501&lt;=60,"2 31-60",IF(H501&lt;=90,"3 61-90",IF(H501&lt;=120,"4 91-120","5 121+")))))</x:f>
        <x:v>2 31-60</x:v>
      </x:c>
      <x:c r="O501" s="9" t="n">
        <x:f>IF(J501&gt;0,1,0)</x:f>
        <x:v>1</x:v>
      </x:c>
    </x:row>
    <x:row r="502">
      <x:c r="A502" s="15" t="str">
        <x:v>498</x:v>
      </x:c>
      <x:c r="B502" s="9" t="str">
        <x:v>Jordan</x:v>
      </x:c>
      <x:c r="C502" s="9" t="str">
        <x:v>Credit Card</x:v>
      </x:c>
      <x:c r="D502" s="9" t="str">
        <x:v>Midwest</x:v>
      </x:c>
      <x:c r="E502" s="9" t="n">
        <x:v>815</x:v>
      </x:c>
      <x:c r="F502" s="11" t="n">
        <x:v>46140</x:v>
      </x:c>
      <x:c r="G502" s="13" t="n">
        <x:v>8344.59</x:v>
      </x:c>
      <x:c r="H502" s="9" t="n">
        <x:v>121</x:v>
      </x:c>
      <x:c r="I502" s="9" t="n">
        <x:v>3</x:v>
      </x:c>
      <x:c r="J502" s="9" t="n">
        <x:v>0</x:v>
      </x:c>
      <x:c r="K502" s="9" t="n">
        <x:v>0</x:v>
      </x:c>
      <x:c r="L502" s="13" t="n">
        <x:f>SUMIFS('Payments'!$D$5:$D$3014,'Payments'!$B$5:$B$3014,A502)</x:f>
        <x:v>2167.21</x:v>
      </x:c>
      <x:c r="M502" s="13" t="n">
        <x:f>G502-L502</x:f>
        <x:v>6177.38</x:v>
      </x:c>
      <x:c r="N502" s="9" t="str">
        <x:f>IF(H502=0,"0 Current",IF(H502&lt;=30,"1 1-30",IF(H502&lt;=60,"2 31-60",IF(H502&lt;=90,"3 61-90",IF(H502&lt;=120,"4 91-120","5 121+")))))</x:f>
        <x:v>5 121+</x:v>
      </x:c>
      <x:c r="O502" s="9" t="n">
        <x:f>IF(J502&gt;0,1,0)</x:f>
        <x:v>0</x:v>
      </x:c>
    </x:row>
    <x:row r="503">
      <x:c r="A503" s="15" t="str">
        <x:v>499</x:v>
      </x:c>
      <x:c r="B503" s="9" t="str">
        <x:v>Alex</x:v>
      </x:c>
      <x:c r="C503" s="9" t="str">
        <x:v>Auto</x:v>
      </x:c>
      <x:c r="D503" s="9" t="str">
        <x:v>West</x:v>
      </x:c>
      <x:c r="E503" s="9" t="n">
        <x:v>594</x:v>
      </x:c>
      <x:c r="F503" s="11" t="n">
        <x:v>46117</x:v>
      </x:c>
      <x:c r="G503" s="13" t="n">
        <x:v>4602.56</x:v>
      </x:c>
      <x:c r="H503" s="9" t="n">
        <x:v>187</x:v>
      </x:c>
      <x:c r="I503" s="9" t="n">
        <x:v>4</x:v>
      </x:c>
      <x:c r="J503" s="9" t="n">
        <x:v>2</x:v>
      </x:c>
      <x:c r="K503" s="9" t="n">
        <x:v>0</x:v>
      </x:c>
      <x:c r="L503" s="13" t="n">
        <x:f>SUMIFS('Payments'!$D$5:$D$3014,'Payments'!$B$5:$B$3014,A503)</x:f>
        <x:v>397</x:v>
      </x:c>
      <x:c r="M503" s="13" t="n">
        <x:f>G503-L503</x:f>
        <x:v>4205.56</x:v>
      </x:c>
      <x:c r="N503" s="9" t="str">
        <x:f>IF(H503=0,"0 Current",IF(H503&lt;=30,"1 1-30",IF(H503&lt;=60,"2 31-60",IF(H503&lt;=90,"3 61-90",IF(H503&lt;=120,"4 91-120","5 121+")))))</x:f>
        <x:v>5 121+</x:v>
      </x:c>
      <x:c r="O503" s="9" t="n">
        <x:f>IF(J503&gt;0,1,0)</x:f>
        <x:v>1</x:v>
      </x:c>
    </x:row>
    <x:row r="504">
      <x:c r="A504" s="15" t="str">
        <x:v>500</x:v>
      </x:c>
      <x:c r="B504" s="9" t="str">
        <x:v>Riley</x:v>
      </x:c>
      <x:c r="C504" s="9" t="str">
        <x:v>Personal Loan</x:v>
      </x:c>
      <x:c r="D504" s="9" t="str">
        <x:v>Midwest</x:v>
      </x:c>
      <x:c r="E504" s="9" t="n">
        <x:v>421</x:v>
      </x:c>
      <x:c r="F504" s="11" t="n">
        <x:v>46036</x:v>
      </x:c>
      <x:c r="G504" s="13" t="n">
        <x:v>1996.86</x:v>
      </x:c>
      <x:c r="H504" s="9" t="n">
        <x:v>61</x:v>
      </x:c>
      <x:c r="I504" s="9" t="n">
        <x:v>8</x:v>
      </x:c>
      <x:c r="J504" s="9" t="n">
        <x:v>3</x:v>
      </x:c>
      <x:c r="K504" s="9" t="n">
        <x:v>0</x:v>
      </x:c>
      <x:c r="L504" s="13" t="n">
        <x:f>SUMIFS('Payments'!$D$5:$D$3014,'Payments'!$B$5:$B$3014,A504)</x:f>
        <x:v>0</x:v>
      </x:c>
      <x:c r="M504" s="13" t="n">
        <x:f>G504-L504</x:f>
        <x:v>1996.86</x:v>
      </x:c>
      <x:c r="N504" s="9" t="str">
        <x:f>IF(H504=0,"0 Current",IF(H504&lt;=30,"1 1-30",IF(H504&lt;=60,"2 31-60",IF(H504&lt;=90,"3 61-90",IF(H504&lt;=120,"4 91-120","5 121+")))))</x:f>
        <x:v>3 61-90</x:v>
      </x:c>
      <x:c r="O504" s="9" t="n">
        <x:f>IF(J504&gt;0,1,0)</x:f>
        <x:v>1</x:v>
      </x:c>
    </x:row>
    <x:row r="505">
      <x:c r="A505" s="15" t="str">
        <x:v>501</x:v>
      </x:c>
      <x:c r="B505" s="9" t="str">
        <x:v>Casey</x:v>
      </x:c>
      <x:c r="C505" s="9" t="str">
        <x:v>Auto</x:v>
      </x:c>
      <x:c r="D505" s="9" t="str">
        <x:v>Midwest</x:v>
      </x:c>
      <x:c r="E505" s="9" t="n">
        <x:v>791</x:v>
      </x:c>
      <x:c r="F505" s="11" t="n">
        <x:v>46023</x:v>
      </x:c>
      <x:c r="G505" s="13" t="n">
        <x:v>4452.81</x:v>
      </x:c>
      <x:c r="H505" s="9" t="n">
        <x:v>189</x:v>
      </x:c>
      <x:c r="I505" s="9" t="n">
        <x:v>1</x:v>
      </x:c>
      <x:c r="J505" s="9" t="n">
        <x:v>0</x:v>
      </x:c>
      <x:c r="K505" s="9" t="n">
        <x:v>0</x:v>
      </x:c>
      <x:c r="L505" s="13" t="n">
        <x:f>SUMIFS('Payments'!$D$5:$D$3014,'Payments'!$B$5:$B$3014,A505)</x:f>
        <x:v>582.4</x:v>
      </x:c>
      <x:c r="M505" s="13" t="n">
        <x:f>G505-L505</x:f>
        <x:v>3870.4100000000003</x:v>
      </x:c>
      <x:c r="N505" s="9" t="str">
        <x:f>IF(H505=0,"0 Current",IF(H505&lt;=30,"1 1-30",IF(H505&lt;=60,"2 31-60",IF(H505&lt;=90,"3 61-90",IF(H505&lt;=120,"4 91-120","5 121+")))))</x:f>
        <x:v>5 121+</x:v>
      </x:c>
      <x:c r="O505" s="9" t="n">
        <x:f>IF(J505&gt;0,1,0)</x:f>
        <x:v>0</x:v>
      </x:c>
    </x:row>
    <x:row r="506">
      <x:c r="A506" s="15" t="str">
        <x:v>502</x:v>
      </x:c>
      <x:c r="B506" s="9" t="str">
        <x:v>Alex</x:v>
      </x:c>
      <x:c r="C506" s="9" t="str">
        <x:v>Auto</x:v>
      </x:c>
      <x:c r="D506" s="9" t="str">
        <x:v>Midwest</x:v>
      </x:c>
      <x:c r="E506" s="9" t="n">
        <x:v>720</x:v>
      </x:c>
      <x:c r="F506" s="11" t="n">
        <x:v>46139</x:v>
      </x:c>
      <x:c r="G506" s="13" t="n">
        <x:v>6448.93</x:v>
      </x:c>
      <x:c r="H506" s="9" t="n">
        <x:v>109</x:v>
      </x:c>
      <x:c r="I506" s="9" t="n">
        <x:v>2</x:v>
      </x:c>
      <x:c r="J506" s="9" t="n">
        <x:v>0</x:v>
      </x:c>
      <x:c r="K506" s="9" t="n">
        <x:v>0</x:v>
      </x:c>
      <x:c r="L506" s="13" t="n">
        <x:f>SUMIFS('Payments'!$D$5:$D$3014,'Payments'!$B$5:$B$3014,A506)</x:f>
        <x:v>393.1</x:v>
      </x:c>
      <x:c r="M506" s="13" t="n">
        <x:f>G506-L506</x:f>
        <x:v>6055.83</x:v>
      </x:c>
      <x:c r="N506" s="9" t="str">
        <x:f>IF(H506=0,"0 Current",IF(H506&lt;=30,"1 1-30",IF(H506&lt;=60,"2 31-60",IF(H506&lt;=90,"3 61-90",IF(H506&lt;=120,"4 91-120","5 121+")))))</x:f>
        <x:v>4 91-120</x:v>
      </x:c>
      <x:c r="O506" s="9" t="n">
        <x:f>IF(J506&gt;0,1,0)</x:f>
        <x:v>0</x:v>
      </x:c>
    </x:row>
    <x:row r="507">
      <x:c r="A507" s="15" t="str">
        <x:v>503</x:v>
      </x:c>
      <x:c r="B507" s="9" t="str">
        <x:v>Morgan</x:v>
      </x:c>
      <x:c r="C507" s="9" t="str">
        <x:v>Credit Card</x:v>
      </x:c>
      <x:c r="D507" s="9" t="str">
        <x:v>West</x:v>
      </x:c>
      <x:c r="E507" s="9" t="n">
        <x:v>496</x:v>
      </x:c>
      <x:c r="F507" s="11" t="n">
        <x:v>46148</x:v>
      </x:c>
      <x:c r="G507" s="13" t="n">
        <x:v>10881.33</x:v>
      </x:c>
      <x:c r="H507" s="9" t="n">
        <x:v>11</x:v>
      </x:c>
      <x:c r="I507" s="9" t="n">
        <x:v>4</x:v>
      </x:c>
      <x:c r="J507" s="9" t="n">
        <x:v>1</x:v>
      </x:c>
      <x:c r="K507" s="9" t="n">
        <x:v>0</x:v>
      </x:c>
      <x:c r="L507" s="13" t="n">
        <x:f>SUMIFS('Payments'!$D$5:$D$3014,'Payments'!$B$5:$B$3014,A507)</x:f>
        <x:v>0</x:v>
      </x:c>
      <x:c r="M507" s="13" t="n">
        <x:f>G507-L507</x:f>
        <x:v>10881.33</x:v>
      </x:c>
      <x:c r="N507" s="9" t="str">
        <x:f>IF(H507=0,"0 Current",IF(H507&lt;=30,"1 1-30",IF(H507&lt;=60,"2 31-60",IF(H507&lt;=90,"3 61-90",IF(H507&lt;=120,"4 91-120","5 121+")))))</x:f>
        <x:v>1 1-30</x:v>
      </x:c>
      <x:c r="O507" s="9" t="n">
        <x:f>IF(J507&gt;0,1,0)</x:f>
        <x:v>1</x:v>
      </x:c>
    </x:row>
    <x:row r="508">
      <x:c r="A508" s="15" t="str">
        <x:v>504</x:v>
      </x:c>
      <x:c r="B508" s="9" t="str">
        <x:v>Morgan</x:v>
      </x:c>
      <x:c r="C508" s="9" t="str">
        <x:v>Personal Loan</x:v>
      </x:c>
      <x:c r="D508" s="9" t="str">
        <x:v>West</x:v>
      </x:c>
      <x:c r="E508" s="9" t="n">
        <x:v>695</x:v>
      </x:c>
      <x:c r="F508" s="11" t="n">
        <x:v>46108</x:v>
      </x:c>
      <x:c r="G508" s="13" t="n">
        <x:v>19484.1</x:v>
      </x:c>
      <x:c r="H508" s="9" t="n">
        <x:v>139</x:v>
      </x:c>
      <x:c r="I508" s="9" t="n">
        <x:v>7</x:v>
      </x:c>
      <x:c r="J508" s="9" t="n">
        <x:v>6</x:v>
      </x:c>
      <x:c r="K508" s="9" t="n">
        <x:v>1</x:v>
      </x:c>
      <x:c r="L508" s="13" t="n">
        <x:f>SUMIFS('Payments'!$D$5:$D$3014,'Payments'!$B$5:$B$3014,A508)</x:f>
        <x:v>2423.71</x:v>
      </x:c>
      <x:c r="M508" s="13" t="n">
        <x:f>G508-L508</x:f>
        <x:v>17060.39</x:v>
      </x:c>
      <x:c r="N508" s="9" t="str">
        <x:f>IF(H508=0,"0 Current",IF(H508&lt;=30,"1 1-30",IF(H508&lt;=60,"2 31-60",IF(H508&lt;=90,"3 61-90",IF(H508&lt;=120,"4 91-120","5 121+")))))</x:f>
        <x:v>5 121+</x:v>
      </x:c>
      <x:c r="O508" s="9" t="n">
        <x:f>IF(J508&gt;0,1,0)</x:f>
        <x:v>1</x:v>
      </x:c>
    </x:row>
    <x:row r="509">
      <x:c r="A509" s="15" t="str">
        <x:v>505</x:v>
      </x:c>
      <x:c r="B509" s="9" t="str">
        <x:v>Jordan</x:v>
      </x:c>
      <x:c r="C509" s="9" t="str">
        <x:v>Auto</x:v>
      </x:c>
      <x:c r="D509" s="9" t="str">
        <x:v>West</x:v>
      </x:c>
      <x:c r="E509" s="9" t="n">
        <x:v>596</x:v>
      </x:c>
      <x:c r="F509" s="11" t="n">
        <x:v>46079</x:v>
      </x:c>
      <x:c r="G509" s="13" t="n">
        <x:v>6440.52</x:v>
      </x:c>
      <x:c r="H509" s="9" t="n">
        <x:v>7</x:v>
      </x:c>
      <x:c r="I509" s="9" t="n">
        <x:v>6</x:v>
      </x:c>
      <x:c r="J509" s="9" t="n">
        <x:v>3</x:v>
      </x:c>
      <x:c r="K509" s="9" t="n">
        <x:v>1</x:v>
      </x:c>
      <x:c r="L509" s="13" t="n">
        <x:f>SUMIFS('Payments'!$D$5:$D$3014,'Payments'!$B$5:$B$3014,A509)</x:f>
        <x:v>767.05</x:v>
      </x:c>
      <x:c r="M509" s="13" t="n">
        <x:f>G509-L509</x:f>
        <x:v>5673.47</x:v>
      </x:c>
      <x:c r="N509" s="9" t="str">
        <x:f>IF(H509=0,"0 Current",IF(H509&lt;=30,"1 1-30",IF(H509&lt;=60,"2 31-60",IF(H509&lt;=90,"3 61-90",IF(H509&lt;=120,"4 91-120","5 121+")))))</x:f>
        <x:v>1 1-30</x:v>
      </x:c>
      <x:c r="O509" s="9" t="n">
        <x:f>IF(J509&gt;0,1,0)</x:f>
        <x:v>1</x:v>
      </x:c>
    </x:row>
    <x:row r="510">
      <x:c r="A510" s="15" t="str">
        <x:v>506</x:v>
      </x:c>
      <x:c r="B510" s="9" t="str">
        <x:v>Casey</x:v>
      </x:c>
      <x:c r="C510" s="9" t="str">
        <x:v>Personal Loan</x:v>
      </x:c>
      <x:c r="D510" s="9" t="str">
        <x:v>Midwest</x:v>
      </x:c>
      <x:c r="E510" s="9" t="n">
        <x:v>702</x:v>
      </x:c>
      <x:c r="F510" s="11" t="n">
        <x:v>46138</x:v>
      </x:c>
      <x:c r="G510" s="13" t="n">
        <x:v>22600.07</x:v>
      </x:c>
      <x:c r="H510" s="9" t="n">
        <x:v>233</x:v>
      </x:c>
      <x:c r="I510" s="9" t="n">
        <x:v>4</x:v>
      </x:c>
      <x:c r="J510" s="9" t="n">
        <x:v>1</x:v>
      </x:c>
      <x:c r="K510" s="9" t="n">
        <x:v>0</x:v>
      </x:c>
      <x:c r="L510" s="13" t="n">
        <x:f>SUMIFS('Payments'!$D$5:$D$3014,'Payments'!$B$5:$B$3014,A510)</x:f>
        <x:v>3944.2300000000005</x:v>
      </x:c>
      <x:c r="M510" s="13" t="n">
        <x:f>G510-L510</x:f>
        <x:v>18655.84</x:v>
      </x:c>
      <x:c r="N510" s="9" t="str">
        <x:f>IF(H510=0,"0 Current",IF(H510&lt;=30,"1 1-30",IF(H510&lt;=60,"2 31-60",IF(H510&lt;=90,"3 61-90",IF(H510&lt;=120,"4 91-120","5 121+")))))</x:f>
        <x:v>5 121+</x:v>
      </x:c>
      <x:c r="O510" s="9" t="n">
        <x:f>IF(J510&gt;0,1,0)</x:f>
        <x:v>1</x:v>
      </x:c>
    </x:row>
    <x:row r="511">
      <x:c r="A511" s="15" t="str">
        <x:v>507</x:v>
      </x:c>
      <x:c r="B511" s="9" t="str">
        <x:v>Alex</x:v>
      </x:c>
      <x:c r="C511" s="9" t="str">
        <x:v>Credit Card</x:v>
      </x:c>
      <x:c r="D511" s="9" t="str">
        <x:v>West</x:v>
      </x:c>
      <x:c r="E511" s="9" t="n">
        <x:v>653</x:v>
      </x:c>
      <x:c r="F511" s="11" t="n">
        <x:v>46111</x:v>
      </x:c>
      <x:c r="G511" s="13" t="n">
        <x:v>12596.73</x:v>
      </x:c>
      <x:c r="H511" s="9" t="n">
        <x:v>127</x:v>
      </x:c>
      <x:c r="I511" s="9" t="n">
        <x:v>2</x:v>
      </x:c>
      <x:c r="J511" s="9" t="n">
        <x:v>1</x:v>
      </x:c>
      <x:c r="K511" s="9" t="n">
        <x:v>1</x:v>
      </x:c>
      <x:c r="L511" s="13" t="n">
        <x:f>SUMIFS('Payments'!$D$5:$D$3014,'Payments'!$B$5:$B$3014,A511)</x:f>
        <x:v>1232.42</x:v>
      </x:c>
      <x:c r="M511" s="13" t="n">
        <x:f>G511-L511</x:f>
        <x:v>11364.31</x:v>
      </x:c>
      <x:c r="N511" s="9" t="str">
        <x:f>IF(H511=0,"0 Current",IF(H511&lt;=30,"1 1-30",IF(H511&lt;=60,"2 31-60",IF(H511&lt;=90,"3 61-90",IF(H511&lt;=120,"4 91-120","5 121+")))))</x:f>
        <x:v>5 121+</x:v>
      </x:c>
      <x:c r="O511" s="9" t="n">
        <x:f>IF(J511&gt;0,1,0)</x:f>
        <x:v>1</x:v>
      </x:c>
    </x:row>
    <x:row r="512">
      <x:c r="A512" s="15" t="str">
        <x:v>508</x:v>
      </x:c>
      <x:c r="B512" s="9" t="str">
        <x:v>Morgan</x:v>
      </x:c>
      <x:c r="C512" s="9" t="str">
        <x:v>Personal Loan</x:v>
      </x:c>
      <x:c r="D512" s="9" t="str">
        <x:v>Midwest</x:v>
      </x:c>
      <x:c r="E512" s="9" t="n">
        <x:v>516</x:v>
      </x:c>
      <x:c r="F512" s="11" t="n">
        <x:v>46064</x:v>
      </x:c>
      <x:c r="G512" s="13" t="n">
        <x:v>13235.81</x:v>
      </x:c>
      <x:c r="H512" s="9" t="n">
        <x:v>16</x:v>
      </x:c>
      <x:c r="I512" s="9" t="n">
        <x:v>4</x:v>
      </x:c>
      <x:c r="J512" s="9" t="n">
        <x:v>1</x:v>
      </x:c>
      <x:c r="K512" s="9" t="n">
        <x:v>0</x:v>
      </x:c>
      <x:c r="L512" s="13" t="n">
        <x:f>SUMIFS('Payments'!$D$5:$D$3014,'Payments'!$B$5:$B$3014,A512)</x:f>
        <x:v>168.22</x:v>
      </x:c>
      <x:c r="M512" s="13" t="n">
        <x:f>G512-L512</x:f>
        <x:v>13067.59</x:v>
      </x:c>
      <x:c r="N512" s="9" t="str">
        <x:f>IF(H512=0,"0 Current",IF(H512&lt;=30,"1 1-30",IF(H512&lt;=60,"2 31-60",IF(H512&lt;=90,"3 61-90",IF(H512&lt;=120,"4 91-120","5 121+")))))</x:f>
        <x:v>1 1-30</x:v>
      </x:c>
      <x:c r="O512" s="9" t="n">
        <x:f>IF(J512&gt;0,1,0)</x:f>
        <x:v>1</x:v>
      </x:c>
    </x:row>
    <x:row r="513">
      <x:c r="A513" s="15" t="str">
        <x:v>509</x:v>
      </x:c>
      <x:c r="B513" s="9" t="str">
        <x:v>Jordan</x:v>
      </x:c>
      <x:c r="C513" s="9" t="str">
        <x:v>Medical</x:v>
      </x:c>
      <x:c r="D513" s="9" t="str">
        <x:v>South</x:v>
      </x:c>
      <x:c r="E513" s="9" t="n">
        <x:v>712</x:v>
      </x:c>
      <x:c r="F513" s="11" t="n">
        <x:v>46058</x:v>
      </x:c>
      <x:c r="G513" s="13" t="n">
        <x:v>15189.21</x:v>
      </x:c>
      <x:c r="H513" s="9" t="n">
        <x:v>22</x:v>
      </x:c>
      <x:c r="I513" s="9" t="n">
        <x:v>4</x:v>
      </x:c>
      <x:c r="J513" s="9" t="n">
        <x:v>1</x:v>
      </x:c>
      <x:c r="K513" s="9" t="n">
        <x:v>0</x:v>
      </x:c>
      <x:c r="L513" s="13" t="n">
        <x:f>SUMIFS('Payments'!$D$5:$D$3014,'Payments'!$B$5:$B$3014,A513)</x:f>
        <x:v>1526.52</x:v>
      </x:c>
      <x:c r="M513" s="13" t="n">
        <x:f>G513-L513</x:f>
        <x:v>13662.689999999999</x:v>
      </x:c>
      <x:c r="N513" s="9" t="str">
        <x:f>IF(H513=0,"0 Current",IF(H513&lt;=30,"1 1-30",IF(H513&lt;=60,"2 31-60",IF(H513&lt;=90,"3 61-90",IF(H513&lt;=120,"4 91-120","5 121+")))))</x:f>
        <x:v>1 1-30</x:v>
      </x:c>
      <x:c r="O513" s="9" t="n">
        <x:f>IF(J513&gt;0,1,0)</x:f>
        <x:v>1</x:v>
      </x:c>
    </x:row>
    <x:row r="514">
      <x:c r="A514" s="15" t="str">
        <x:v>510</x:v>
      </x:c>
      <x:c r="B514" s="9" t="str">
        <x:v>Casey</x:v>
      </x:c>
      <x:c r="C514" s="9" t="str">
        <x:v>Auto</x:v>
      </x:c>
      <x:c r="D514" s="9" t="str">
        <x:v>West</x:v>
      </x:c>
      <x:c r="E514" s="9" t="n">
        <x:v>539</x:v>
      </x:c>
      <x:c r="F514" s="11" t="n">
        <x:v>46100</x:v>
      </x:c>
      <x:c r="G514" s="13" t="n">
        <x:v>13533.2</x:v>
      </x:c>
      <x:c r="H514" s="9" t="n">
        <x:v>173</x:v>
      </x:c>
      <x:c r="I514" s="9" t="n">
        <x:v>2</x:v>
      </x:c>
      <x:c r="J514" s="9" t="n">
        <x:v>0</x:v>
      </x:c>
      <x:c r="K514" s="9" t="n">
        <x:v>0</x:v>
      </x:c>
      <x:c r="L514" s="13" t="n">
        <x:f>SUMIFS('Payments'!$D$5:$D$3014,'Payments'!$B$5:$B$3014,A514)</x:f>
        <x:v>2058.62</x:v>
      </x:c>
      <x:c r="M514" s="13" t="n">
        <x:f>G514-L514</x:f>
        <x:v>11474.580000000002</x:v>
      </x:c>
      <x:c r="N514" s="9" t="str">
        <x:f>IF(H514=0,"0 Current",IF(H514&lt;=30,"1 1-30",IF(H514&lt;=60,"2 31-60",IF(H514&lt;=90,"3 61-90",IF(H514&lt;=120,"4 91-120","5 121+")))))</x:f>
        <x:v>5 121+</x:v>
      </x:c>
      <x:c r="O514" s="9" t="n">
        <x:f>IF(J514&gt;0,1,0)</x:f>
        <x:v>0</x:v>
      </x:c>
    </x:row>
    <x:row r="515">
      <x:c r="A515" s="15" t="str">
        <x:v>511</x:v>
      </x:c>
      <x:c r="B515" s="9" t="str">
        <x:v>Taylor</x:v>
      </x:c>
      <x:c r="C515" s="9" t="str">
        <x:v>Auto</x:v>
      </x:c>
      <x:c r="D515" s="9" t="str">
        <x:v>West</x:v>
      </x:c>
      <x:c r="E515" s="9" t="n">
        <x:v>442</x:v>
      </x:c>
      <x:c r="F515" s="11" t="n">
        <x:v>46099</x:v>
      </x:c>
      <x:c r="G515" s="13" t="n">
        <x:v>24267.65</x:v>
      </x:c>
      <x:c r="H515" s="9" t="n">
        <x:v>139</x:v>
      </x:c>
      <x:c r="I515" s="9" t="n">
        <x:v>6</x:v>
      </x:c>
      <x:c r="J515" s="9" t="n">
        <x:v>3</x:v>
      </x:c>
      <x:c r="K515" s="9" t="n">
        <x:v>1</x:v>
      </x:c>
      <x:c r="L515" s="13" t="n">
        <x:f>SUMIFS('Payments'!$D$5:$D$3014,'Payments'!$B$5:$B$3014,A515)</x:f>
        <x:v>1981.14</x:v>
      </x:c>
      <x:c r="M515" s="13" t="n">
        <x:f>G515-L515</x:f>
        <x:v>22286.510000000002</x:v>
      </x:c>
      <x:c r="N515" s="9" t="str">
        <x:f>IF(H515=0,"0 Current",IF(H515&lt;=30,"1 1-30",IF(H515&lt;=60,"2 31-60",IF(H515&lt;=90,"3 61-90",IF(H515&lt;=120,"4 91-120","5 121+")))))</x:f>
        <x:v>5 121+</x:v>
      </x:c>
      <x:c r="O515" s="9" t="n">
        <x:f>IF(J515&gt;0,1,0)</x:f>
        <x:v>1</x:v>
      </x:c>
    </x:row>
    <x:row r="516">
      <x:c r="A516" s="15" t="str">
        <x:v>512</x:v>
      </x:c>
      <x:c r="B516" s="9" t="str">
        <x:v>Riley</x:v>
      </x:c>
      <x:c r="C516" s="9" t="str">
        <x:v>Credit Card</x:v>
      </x:c>
      <x:c r="D516" s="9" t="str">
        <x:v>Midwest</x:v>
      </x:c>
      <x:c r="E516" s="9" t="n">
        <x:v>801</x:v>
      </x:c>
      <x:c r="F516" s="11" t="n">
        <x:v>46141</x:v>
      </x:c>
      <x:c r="G516" s="13" t="n">
        <x:v>1660.68</x:v>
      </x:c>
      <x:c r="H516" s="9" t="n">
        <x:v>196</x:v>
      </x:c>
      <x:c r="I516" s="9" t="n">
        <x:v>3</x:v>
      </x:c>
      <x:c r="J516" s="9" t="n">
        <x:v>1</x:v>
      </x:c>
      <x:c r="K516" s="9" t="n">
        <x:v>0</x:v>
      </x:c>
      <x:c r="L516" s="13" t="n">
        <x:f>SUMIFS('Payments'!$D$5:$D$3014,'Payments'!$B$5:$B$3014,A516)</x:f>
        <x:v>204.11</x:v>
      </x:c>
      <x:c r="M516" s="13" t="n">
        <x:f>G516-L516</x:f>
        <x:v>1456.5700000000002</x:v>
      </x:c>
      <x:c r="N516" s="9" t="str">
        <x:f>IF(H516=0,"0 Current",IF(H516&lt;=30,"1 1-30",IF(H516&lt;=60,"2 31-60",IF(H516&lt;=90,"3 61-90",IF(H516&lt;=120,"4 91-120","5 121+")))))</x:f>
        <x:v>5 121+</x:v>
      </x:c>
      <x:c r="O516" s="9" t="n">
        <x:f>IF(J516&gt;0,1,0)</x:f>
        <x:v>1</x:v>
      </x:c>
    </x:row>
    <x:row r="517">
      <x:c r="A517" s="15" t="str">
        <x:v>513</x:v>
      </x:c>
      <x:c r="B517" s="9" t="str">
        <x:v>Morgan</x:v>
      </x:c>
      <x:c r="C517" s="9" t="str">
        <x:v>Medical</x:v>
      </x:c>
      <x:c r="D517" s="9" t="str">
        <x:v>West</x:v>
      </x:c>
      <x:c r="E517" s="9" t="n">
        <x:v>781</x:v>
      </x:c>
      <x:c r="F517" s="11" t="n">
        <x:v>46098</x:v>
      </x:c>
      <x:c r="G517" s="13" t="n">
        <x:v>2745.46</x:v>
      </x:c>
      <x:c r="H517" s="9" t="n">
        <x:v>103</x:v>
      </x:c>
      <x:c r="I517" s="9" t="n">
        <x:v>7</x:v>
      </x:c>
      <x:c r="J517" s="9" t="n">
        <x:v>2</x:v>
      </x:c>
      <x:c r="K517" s="9" t="n">
        <x:v>0</x:v>
      </x:c>
      <x:c r="L517" s="13" t="n">
        <x:f>SUMIFS('Payments'!$D$5:$D$3014,'Payments'!$B$5:$B$3014,A517)</x:f>
        <x:v>0</x:v>
      </x:c>
      <x:c r="M517" s="13" t="n">
        <x:f>G517-L517</x:f>
        <x:v>2745.46</x:v>
      </x:c>
      <x:c r="N517" s="9" t="str">
        <x:f>IF(H517=0,"0 Current",IF(H517&lt;=30,"1 1-30",IF(H517&lt;=60,"2 31-60",IF(H517&lt;=90,"3 61-90",IF(H517&lt;=120,"4 91-120","5 121+")))))</x:f>
        <x:v>4 91-120</x:v>
      </x:c>
      <x:c r="O517" s="9" t="n">
        <x:f>IF(J517&gt;0,1,0)</x:f>
        <x:v>1</x:v>
      </x:c>
    </x:row>
    <x:row r="518">
      <x:c r="A518" s="15" t="str">
        <x:v>514</x:v>
      </x:c>
      <x:c r="B518" s="9" t="str">
        <x:v>Alex</x:v>
      </x:c>
      <x:c r="C518" s="9" t="str">
        <x:v>Credit Card</x:v>
      </x:c>
      <x:c r="D518" s="9" t="str">
        <x:v>West</x:v>
      </x:c>
      <x:c r="E518" s="9" t="n">
        <x:v>617</x:v>
      </x:c>
      <x:c r="F518" s="11" t="n">
        <x:v>46107</x:v>
      </x:c>
      <x:c r="G518" s="13" t="n">
        <x:v>3052.85</x:v>
      </x:c>
      <x:c r="H518" s="9" t="n">
        <x:v>179</x:v>
      </x:c>
      <x:c r="I518" s="9" t="n">
        <x:v>8</x:v>
      </x:c>
      <x:c r="J518" s="9" t="n">
        <x:v>5</x:v>
      </x:c>
      <x:c r="K518" s="9" t="n">
        <x:v>1</x:v>
      </x:c>
      <x:c r="L518" s="13" t="n">
        <x:f>SUMIFS('Payments'!$D$5:$D$3014,'Payments'!$B$5:$B$3014,A518)</x:f>
        <x:v>348.33</x:v>
      </x:c>
      <x:c r="M518" s="13" t="n">
        <x:f>G518-L518</x:f>
        <x:v>2704.52</x:v>
      </x:c>
      <x:c r="N518" s="9" t="str">
        <x:f>IF(H518=0,"0 Current",IF(H518&lt;=30,"1 1-30",IF(H518&lt;=60,"2 31-60",IF(H518&lt;=90,"3 61-90",IF(H518&lt;=120,"4 91-120","5 121+")))))</x:f>
        <x:v>5 121+</x:v>
      </x:c>
      <x:c r="O518" s="9" t="n">
        <x:f>IF(J518&gt;0,1,0)</x:f>
        <x:v>1</x:v>
      </x:c>
    </x:row>
    <x:row r="519">
      <x:c r="A519" s="15" t="str">
        <x:v>515</x:v>
      </x:c>
      <x:c r="B519" s="9" t="str">
        <x:v>Riley</x:v>
      </x:c>
      <x:c r="C519" s="9" t="str">
        <x:v>Credit Card</x:v>
      </x:c>
      <x:c r="D519" s="9" t="str">
        <x:v>South</x:v>
      </x:c>
      <x:c r="E519" s="9" t="n">
        <x:v>673</x:v>
      </x:c>
      <x:c r="F519" s="11" t="n">
        <x:v>46062</x:v>
      </x:c>
      <x:c r="G519" s="13" t="n">
        <x:v>5576.55</x:v>
      </x:c>
      <x:c r="H519" s="9" t="n">
        <x:v>63</x:v>
      </x:c>
      <x:c r="I519" s="9" t="n">
        <x:v>0</x:v>
      </x:c>
      <x:c r="J519" s="9" t="n">
        <x:v>0</x:v>
      </x:c>
      <x:c r="K519" s="9" t="n">
        <x:v>0</x:v>
      </x:c>
      <x:c r="L519" s="13" t="n">
        <x:f>SUMIFS('Payments'!$D$5:$D$3014,'Payments'!$B$5:$B$3014,A519)</x:f>
        <x:v>145.79</x:v>
      </x:c>
      <x:c r="M519" s="13" t="n">
        <x:f>G519-L519</x:f>
        <x:v>5430.76</x:v>
      </x:c>
      <x:c r="N519" s="9" t="str">
        <x:f>IF(H519=0,"0 Current",IF(H519&lt;=30,"1 1-30",IF(H519&lt;=60,"2 31-60",IF(H519&lt;=90,"3 61-90",IF(H519&lt;=120,"4 91-120","5 121+")))))</x:f>
        <x:v>3 61-90</x:v>
      </x:c>
      <x:c r="O519" s="9" t="n">
        <x:f>IF(J519&gt;0,1,0)</x:f>
        <x:v>0</x:v>
      </x:c>
    </x:row>
    <x:row r="520">
      <x:c r="A520" s="15" t="str">
        <x:v>516</x:v>
      </x:c>
      <x:c r="B520" s="9" t="str">
        <x:v>Morgan</x:v>
      </x:c>
      <x:c r="C520" s="9" t="str">
        <x:v>Credit Card</x:v>
      </x:c>
      <x:c r="D520" s="9" t="str">
        <x:v>Northeast</x:v>
      </x:c>
      <x:c r="E520" s="9" t="n">
        <x:v>484</x:v>
      </x:c>
      <x:c r="F520" s="11" t="n">
        <x:v>46152</x:v>
      </x:c>
      <x:c r="G520" s="13" t="n">
        <x:v>19114.98</x:v>
      </x:c>
      <x:c r="H520" s="9" t="n">
        <x:v>237</x:v>
      </x:c>
      <x:c r="I520" s="9" t="n">
        <x:v>4</x:v>
      </x:c>
      <x:c r="J520" s="9" t="n">
        <x:v>2</x:v>
      </x:c>
      <x:c r="K520" s="9" t="n">
        <x:v>0</x:v>
      </x:c>
      <x:c r="L520" s="13" t="n">
        <x:f>SUMIFS('Payments'!$D$5:$D$3014,'Payments'!$B$5:$B$3014,A520)</x:f>
        <x:v>0</x:v>
      </x:c>
      <x:c r="M520" s="13" t="n">
        <x:f>G520-L520</x:f>
        <x:v>19114.98</x:v>
      </x:c>
      <x:c r="N520" s="9" t="str">
        <x:f>IF(H520=0,"0 Current",IF(H520&lt;=30,"1 1-30",IF(H520&lt;=60,"2 31-60",IF(H520&lt;=90,"3 61-90",IF(H520&lt;=120,"4 91-120","5 121+")))))</x:f>
        <x:v>5 121+</x:v>
      </x:c>
      <x:c r="O520" s="9" t="n">
        <x:f>IF(J520&gt;0,1,0)</x:f>
        <x:v>1</x:v>
      </x:c>
    </x:row>
    <x:row r="521">
      <x:c r="A521" s="15" t="str">
        <x:v>517</x:v>
      </x:c>
      <x:c r="B521" s="9" t="str">
        <x:v>Casey</x:v>
      </x:c>
      <x:c r="C521" s="9" t="str">
        <x:v>Credit Card</x:v>
      </x:c>
      <x:c r="D521" s="9" t="str">
        <x:v>Midwest</x:v>
      </x:c>
      <x:c r="E521" s="9" t="n">
        <x:v>471</x:v>
      </x:c>
      <x:c r="F521" s="11" t="n">
        <x:v>46054</x:v>
      </x:c>
      <x:c r="G521" s="13" t="n">
        <x:v>18634.22</x:v>
      </x:c>
      <x:c r="H521" s="9" t="n">
        <x:v>47</x:v>
      </x:c>
      <x:c r="I521" s="9" t="n">
        <x:v>2</x:v>
      </x:c>
      <x:c r="J521" s="9" t="n">
        <x:v>1</x:v>
      </x:c>
      <x:c r="K521" s="9" t="n">
        <x:v>0</x:v>
      </x:c>
      <x:c r="L521" s="13" t="n">
        <x:f>SUMIFS('Payments'!$D$5:$D$3014,'Payments'!$B$5:$B$3014,A521)</x:f>
        <x:v>2155.77</x:v>
      </x:c>
      <x:c r="M521" s="13" t="n">
        <x:f>G521-L521</x:f>
        <x:v>16478.45</x:v>
      </x:c>
      <x:c r="N521" s="9" t="str">
        <x:f>IF(H521=0,"0 Current",IF(H521&lt;=30,"1 1-30",IF(H521&lt;=60,"2 31-60",IF(H521&lt;=90,"3 61-90",IF(H521&lt;=120,"4 91-120","5 121+")))))</x:f>
        <x:v>2 31-60</x:v>
      </x:c>
      <x:c r="O521" s="9" t="n">
        <x:f>IF(J521&gt;0,1,0)</x:f>
        <x:v>1</x:v>
      </x:c>
    </x:row>
    <x:row r="522">
      <x:c r="A522" s="15" t="str">
        <x:v>518</x:v>
      </x:c>
      <x:c r="B522" s="9" t="str">
        <x:v>Jordan</x:v>
      </x:c>
      <x:c r="C522" s="9" t="str">
        <x:v>Credit Card</x:v>
      </x:c>
      <x:c r="D522" s="9" t="str">
        <x:v>West</x:v>
      </x:c>
      <x:c r="E522" s="9" t="n">
        <x:v>471</x:v>
      </x:c>
      <x:c r="F522" s="11" t="n">
        <x:v>46145</x:v>
      </x:c>
      <x:c r="G522" s="13" t="n">
        <x:v>12664.99</x:v>
      </x:c>
      <x:c r="H522" s="9" t="n">
        <x:v>150</x:v>
      </x:c>
      <x:c r="I522" s="9" t="n">
        <x:v>1</x:v>
      </x:c>
      <x:c r="J522" s="9" t="n">
        <x:v>0</x:v>
      </x:c>
      <x:c r="K522" s="9" t="n">
        <x:v>0</x:v>
      </x:c>
      <x:c r="L522" s="13" t="n">
        <x:f>SUMIFS('Payments'!$D$5:$D$3014,'Payments'!$B$5:$B$3014,A522)</x:f>
        <x:v>2725.7200000000003</x:v>
      </x:c>
      <x:c r="M522" s="13" t="n">
        <x:f>G522-L522</x:f>
        <x:v>9939.27</x:v>
      </x:c>
      <x:c r="N522" s="9" t="str">
        <x:f>IF(H522=0,"0 Current",IF(H522&lt;=30,"1 1-30",IF(H522&lt;=60,"2 31-60",IF(H522&lt;=90,"3 61-90",IF(H522&lt;=120,"4 91-120","5 121+")))))</x:f>
        <x:v>5 121+</x:v>
      </x:c>
      <x:c r="O522" s="9" t="n">
        <x:f>IF(J522&gt;0,1,0)</x:f>
        <x:v>0</x:v>
      </x:c>
    </x:row>
    <x:row r="523">
      <x:c r="A523" s="15" t="str">
        <x:v>519</x:v>
      </x:c>
      <x:c r="B523" s="9" t="str">
        <x:v>Alex</x:v>
      </x:c>
      <x:c r="C523" s="9" t="str">
        <x:v>Personal Loan</x:v>
      </x:c>
      <x:c r="D523" s="9" t="str">
        <x:v>West</x:v>
      </x:c>
      <x:c r="E523" s="9" t="n">
        <x:v>427</x:v>
      </x:c>
      <x:c r="F523" s="11" t="n">
        <x:v>46131</x:v>
      </x:c>
      <x:c r="G523" s="13" t="n">
        <x:v>6714.55</x:v>
      </x:c>
      <x:c r="H523" s="9" t="n">
        <x:v>117</x:v>
      </x:c>
      <x:c r="I523" s="9" t="n">
        <x:v>6</x:v>
      </x:c>
      <x:c r="J523" s="9" t="n">
        <x:v>3</x:v>
      </x:c>
      <x:c r="K523" s="9" t="n">
        <x:v>1</x:v>
      </x:c>
      <x:c r="L523" s="13" t="n">
        <x:f>SUMIFS('Payments'!$D$5:$D$3014,'Payments'!$B$5:$B$3014,A523)</x:f>
        <x:v>0</x:v>
      </x:c>
      <x:c r="M523" s="13" t="n">
        <x:f>G523-L523</x:f>
        <x:v>6714.55</x:v>
      </x:c>
      <x:c r="N523" s="9" t="str">
        <x:f>IF(H523=0,"0 Current",IF(H523&lt;=30,"1 1-30",IF(H523&lt;=60,"2 31-60",IF(H523&lt;=90,"3 61-90",IF(H523&lt;=120,"4 91-120","5 121+")))))</x:f>
        <x:v>4 91-120</x:v>
      </x:c>
      <x:c r="O523" s="9" t="n">
        <x:f>IF(J523&gt;0,1,0)</x:f>
        <x:v>1</x:v>
      </x:c>
    </x:row>
    <x:row r="524">
      <x:c r="A524" s="15" t="str">
        <x:v>520</x:v>
      </x:c>
      <x:c r="B524" s="9" t="str">
        <x:v>Riley</x:v>
      </x:c>
      <x:c r="C524" s="9" t="str">
        <x:v>Medical</x:v>
      </x:c>
      <x:c r="D524" s="9" t="str">
        <x:v>South</x:v>
      </x:c>
      <x:c r="E524" s="9" t="n">
        <x:v>629</x:v>
      </x:c>
      <x:c r="F524" s="11" t="n">
        <x:v>46063</x:v>
      </x:c>
      <x:c r="G524" s="13" t="n">
        <x:v>15505.02</x:v>
      </x:c>
      <x:c r="H524" s="9" t="n">
        <x:v>89</x:v>
      </x:c>
      <x:c r="I524" s="9" t="n">
        <x:v>7</x:v>
      </x:c>
      <x:c r="J524" s="9" t="n">
        <x:v>4</x:v>
      </x:c>
      <x:c r="K524" s="9" t="n">
        <x:v>1</x:v>
      </x:c>
      <x:c r="L524" s="13" t="n">
        <x:f>SUMIFS('Payments'!$D$5:$D$3014,'Payments'!$B$5:$B$3014,A524)</x:f>
        <x:v>3870.36</x:v>
      </x:c>
      <x:c r="M524" s="13" t="n">
        <x:f>G524-L524</x:f>
        <x:v>11634.66</x:v>
      </x:c>
      <x:c r="N524" s="9" t="str">
        <x:f>IF(H524=0,"0 Current",IF(H524&lt;=30,"1 1-30",IF(H524&lt;=60,"2 31-60",IF(H524&lt;=90,"3 61-90",IF(H524&lt;=120,"4 91-120","5 121+")))))</x:f>
        <x:v>3 61-90</x:v>
      </x:c>
      <x:c r="O524" s="9" t="n">
        <x:f>IF(J524&gt;0,1,0)</x:f>
        <x:v>1</x:v>
      </x:c>
    </x:row>
    <x:row r="525">
      <x:c r="A525" s="15" t="str">
        <x:v>521</x:v>
      </x:c>
      <x:c r="B525" s="9" t="str">
        <x:v>Casey</x:v>
      </x:c>
      <x:c r="C525" s="9" t="str">
        <x:v>Personal Loan</x:v>
      </x:c>
      <x:c r="D525" s="9" t="str">
        <x:v>South</x:v>
      </x:c>
      <x:c r="E525" s="9" t="n">
        <x:v>458</x:v>
      </x:c>
      <x:c r="F525" s="11" t="n">
        <x:v>46157</x:v>
      </x:c>
      <x:c r="G525" s="13" t="n">
        <x:v>11372.72</x:v>
      </x:c>
      <x:c r="H525" s="9" t="n">
        <x:v>150</x:v>
      </x:c>
      <x:c r="I525" s="9" t="n">
        <x:v>1</x:v>
      </x:c>
      <x:c r="J525" s="9" t="n">
        <x:v>0</x:v>
      </x:c>
      <x:c r="K525" s="9" t="n">
        <x:v>0</x:v>
      </x:c>
      <x:c r="L525" s="13" t="n">
        <x:f>SUMIFS('Payments'!$D$5:$D$3014,'Payments'!$B$5:$B$3014,A525)</x:f>
        <x:v>2546.01</x:v>
      </x:c>
      <x:c r="M525" s="13" t="n">
        <x:f>G525-L525</x:f>
        <x:v>8826.71</x:v>
      </x:c>
      <x:c r="N525" s="9" t="str">
        <x:f>IF(H525=0,"0 Current",IF(H525&lt;=30,"1 1-30",IF(H525&lt;=60,"2 31-60",IF(H525&lt;=90,"3 61-90",IF(H525&lt;=120,"4 91-120","5 121+")))))</x:f>
        <x:v>5 121+</x:v>
      </x:c>
      <x:c r="O525" s="9" t="n">
        <x:f>IF(J525&gt;0,1,0)</x:f>
        <x:v>0</x:v>
      </x:c>
    </x:row>
    <x:row r="526">
      <x:c r="A526" s="15" t="str">
        <x:v>522</x:v>
      </x:c>
      <x:c r="B526" s="9" t="str">
        <x:v>Casey</x:v>
      </x:c>
      <x:c r="C526" s="9" t="str">
        <x:v>Medical</x:v>
      </x:c>
      <x:c r="D526" s="9" t="str">
        <x:v>West</x:v>
      </x:c>
      <x:c r="E526" s="9" t="n">
        <x:v>820</x:v>
      </x:c>
      <x:c r="F526" s="11" t="n">
        <x:v>46144</x:v>
      </x:c>
      <x:c r="G526" s="13" t="n">
        <x:v>14075.25</x:v>
      </x:c>
      <x:c r="H526" s="9" t="n">
        <x:v>26</x:v>
      </x:c>
      <x:c r="I526" s="9" t="n">
        <x:v>6</x:v>
      </x:c>
      <x:c r="J526" s="9" t="n">
        <x:v>2</x:v>
      </x:c>
      <x:c r="K526" s="9" t="n">
        <x:v>0</x:v>
      </x:c>
      <x:c r="L526" s="13" t="n">
        <x:f>SUMIFS('Payments'!$D$5:$D$3014,'Payments'!$B$5:$B$3014,A526)</x:f>
        <x:v>1016.85</x:v>
      </x:c>
      <x:c r="M526" s="13" t="n">
        <x:f>G526-L526</x:f>
        <x:v>13058.4</x:v>
      </x:c>
      <x:c r="N526" s="9" t="str">
        <x:f>IF(H526=0,"0 Current",IF(H526&lt;=30,"1 1-30",IF(H526&lt;=60,"2 31-60",IF(H526&lt;=90,"3 61-90",IF(H526&lt;=120,"4 91-120","5 121+")))))</x:f>
        <x:v>1 1-30</x:v>
      </x:c>
      <x:c r="O526" s="9" t="n">
        <x:f>IF(J526&gt;0,1,0)</x:f>
        <x:v>1</x:v>
      </x:c>
    </x:row>
    <x:row r="527">
      <x:c r="A527" s="15" t="str">
        <x:v>523</x:v>
      </x:c>
      <x:c r="B527" s="9" t="str">
        <x:v>Alex</x:v>
      </x:c>
      <x:c r="C527" s="9" t="str">
        <x:v>Auto</x:v>
      </x:c>
      <x:c r="D527" s="9" t="str">
        <x:v>Midwest</x:v>
      </x:c>
      <x:c r="E527" s="9" t="n">
        <x:v>593</x:v>
      </x:c>
      <x:c r="F527" s="11" t="n">
        <x:v>46067</x:v>
      </x:c>
      <x:c r="G527" s="13" t="n">
        <x:v>13970.39</x:v>
      </x:c>
      <x:c r="H527" s="9" t="n">
        <x:v>96</x:v>
      </x:c>
      <x:c r="I527" s="9" t="n">
        <x:v>3</x:v>
      </x:c>
      <x:c r="J527" s="9" t="n">
        <x:v>0</x:v>
      </x:c>
      <x:c r="K527" s="9" t="n">
        <x:v>0</x:v>
      </x:c>
      <x:c r="L527" s="13" t="n">
        <x:f>SUMIFS('Payments'!$D$5:$D$3014,'Payments'!$B$5:$B$3014,A527)</x:f>
        <x:v>1680.89</x:v>
      </x:c>
      <x:c r="M527" s="13" t="n">
        <x:f>G527-L527</x:f>
        <x:v>12289.5</x:v>
      </x:c>
      <x:c r="N527" s="9" t="str">
        <x:f>IF(H527=0,"0 Current",IF(H527&lt;=30,"1 1-30",IF(H527&lt;=60,"2 31-60",IF(H527&lt;=90,"3 61-90",IF(H527&lt;=120,"4 91-120","5 121+")))))</x:f>
        <x:v>4 91-120</x:v>
      </x:c>
      <x:c r="O527" s="9" t="n">
        <x:f>IF(J527&gt;0,1,0)</x:f>
        <x:v>0</x:v>
      </x:c>
    </x:row>
    <x:row r="528">
      <x:c r="A528" s="15" t="str">
        <x:v>524</x:v>
      </x:c>
      <x:c r="B528" s="9" t="str">
        <x:v>Alex</x:v>
      </x:c>
      <x:c r="C528" s="9" t="str">
        <x:v>Credit Card</x:v>
      </x:c>
      <x:c r="D528" s="9" t="str">
        <x:v>West</x:v>
      </x:c>
      <x:c r="E528" s="9" t="n">
        <x:v>752</x:v>
      </x:c>
      <x:c r="F528" s="11" t="n">
        <x:v>46158</x:v>
      </x:c>
      <x:c r="G528" s="13" t="n">
        <x:v>8565.47</x:v>
      </x:c>
      <x:c r="H528" s="9" t="n">
        <x:v>161</x:v>
      </x:c>
      <x:c r="I528" s="9" t="n">
        <x:v>3</x:v>
      </x:c>
      <x:c r="J528" s="9" t="n">
        <x:v>1</x:v>
      </x:c>
      <x:c r="K528" s="9" t="n">
        <x:v>0</x:v>
      </x:c>
      <x:c r="L528" s="13" t="n">
        <x:f>SUMIFS('Payments'!$D$5:$D$3014,'Payments'!$B$5:$B$3014,A528)</x:f>
        <x:v>0</x:v>
      </x:c>
      <x:c r="M528" s="13" t="n">
        <x:f>G528-L528</x:f>
        <x:v>8565.47</x:v>
      </x:c>
      <x:c r="N528" s="9" t="str">
        <x:f>IF(H528=0,"0 Current",IF(H528&lt;=30,"1 1-30",IF(H528&lt;=60,"2 31-60",IF(H528&lt;=90,"3 61-90",IF(H528&lt;=120,"4 91-120","5 121+")))))</x:f>
        <x:v>5 121+</x:v>
      </x:c>
      <x:c r="O528" s="9" t="n">
        <x:f>IF(J528&gt;0,1,0)</x:f>
        <x:v>1</x:v>
      </x:c>
    </x:row>
    <x:row r="529">
      <x:c r="A529" s="15" t="str">
        <x:v>525</x:v>
      </x:c>
      <x:c r="B529" s="9" t="str">
        <x:v>Casey</x:v>
      </x:c>
      <x:c r="C529" s="9" t="str">
        <x:v>Auto</x:v>
      </x:c>
      <x:c r="D529" s="9" t="str">
        <x:v>Northeast</x:v>
      </x:c>
      <x:c r="E529" s="9" t="n">
        <x:v>588</x:v>
      </x:c>
      <x:c r="F529" s="11" t="n">
        <x:v>46041</x:v>
      </x:c>
      <x:c r="G529" s="13" t="n">
        <x:v>14790.46</x:v>
      </x:c>
      <x:c r="H529" s="9" t="n">
        <x:v>48</x:v>
      </x:c>
      <x:c r="I529" s="9" t="n">
        <x:v>8</x:v>
      </x:c>
      <x:c r="J529" s="9" t="n">
        <x:v>2</x:v>
      </x:c>
      <x:c r="K529" s="9" t="n">
        <x:v>0</x:v>
      </x:c>
      <x:c r="L529" s="13" t="n">
        <x:f>SUMIFS('Payments'!$D$5:$D$3014,'Payments'!$B$5:$B$3014,A529)</x:f>
        <x:v>1505.19</x:v>
      </x:c>
      <x:c r="M529" s="13" t="n">
        <x:f>G529-L529</x:f>
        <x:v>13285.269999999999</x:v>
      </x:c>
      <x:c r="N529" s="9" t="str">
        <x:f>IF(H529=0,"0 Current",IF(H529&lt;=30,"1 1-30",IF(H529&lt;=60,"2 31-60",IF(H529&lt;=90,"3 61-90",IF(H529&lt;=120,"4 91-120","5 121+")))))</x:f>
        <x:v>2 31-60</x:v>
      </x:c>
      <x:c r="O529" s="9" t="n">
        <x:f>IF(J529&gt;0,1,0)</x:f>
        <x:v>1</x:v>
      </x:c>
    </x:row>
    <x:row r="530">
      <x:c r="A530" s="15" t="str">
        <x:v>526</x:v>
      </x:c>
      <x:c r="B530" s="9" t="str">
        <x:v>Alex</x:v>
      </x:c>
      <x:c r="C530" s="9" t="str">
        <x:v>Medical</x:v>
      </x:c>
      <x:c r="D530" s="9" t="str">
        <x:v>West</x:v>
      </x:c>
      <x:c r="E530" s="9" t="n">
        <x:v>582</x:v>
      </x:c>
      <x:c r="F530" s="11" t="n">
        <x:v>46161</x:v>
      </x:c>
      <x:c r="G530" s="13" t="n">
        <x:v>14379.78</x:v>
      </x:c>
      <x:c r="H530" s="9" t="n">
        <x:v>210</x:v>
      </x:c>
      <x:c r="I530" s="9" t="n">
        <x:v>2</x:v>
      </x:c>
      <x:c r="J530" s="9" t="n">
        <x:v>0</x:v>
      </x:c>
      <x:c r="K530" s="9" t="n">
        <x:v>0</x:v>
      </x:c>
      <x:c r="L530" s="13" t="n">
        <x:f>SUMIFS('Payments'!$D$5:$D$3014,'Payments'!$B$5:$B$3014,A530)</x:f>
        <x:v>1617.2</x:v>
      </x:c>
      <x:c r="M530" s="13" t="n">
        <x:f>G530-L530</x:f>
        <x:v>12762.58</x:v>
      </x:c>
      <x:c r="N530" s="9" t="str">
        <x:f>IF(H530=0,"0 Current",IF(H530&lt;=30,"1 1-30",IF(H530&lt;=60,"2 31-60",IF(H530&lt;=90,"3 61-90",IF(H530&lt;=120,"4 91-120","5 121+")))))</x:f>
        <x:v>5 121+</x:v>
      </x:c>
      <x:c r="O530" s="9" t="n">
        <x:f>IF(J530&gt;0,1,0)</x:f>
        <x:v>0</x:v>
      </x:c>
    </x:row>
    <x:row r="531">
      <x:c r="A531" s="15" t="str">
        <x:v>527</x:v>
      </x:c>
      <x:c r="B531" s="9" t="str">
        <x:v>Jordan</x:v>
      </x:c>
      <x:c r="C531" s="9" t="str">
        <x:v>Auto</x:v>
      </x:c>
      <x:c r="D531" s="9" t="str">
        <x:v>West</x:v>
      </x:c>
      <x:c r="E531" s="9" t="n">
        <x:v>697</x:v>
      </x:c>
      <x:c r="F531" s="11" t="n">
        <x:v>46155</x:v>
      </x:c>
      <x:c r="G531" s="13" t="n">
        <x:v>21473.49</x:v>
      </x:c>
      <x:c r="H531" s="9" t="n">
        <x:v>158</x:v>
      </x:c>
      <x:c r="I531" s="9" t="n">
        <x:v>8</x:v>
      </x:c>
      <x:c r="J531" s="9" t="n">
        <x:v>2</x:v>
      </x:c>
      <x:c r="K531" s="9" t="n">
        <x:v>0</x:v>
      </x:c>
      <x:c r="L531" s="13" t="n">
        <x:f>SUMIFS('Payments'!$D$5:$D$3014,'Payments'!$B$5:$B$3014,A531)</x:f>
        <x:v>0</x:v>
      </x:c>
      <x:c r="M531" s="13" t="n">
        <x:f>G531-L531</x:f>
        <x:v>21473.49</x:v>
      </x:c>
      <x:c r="N531" s="9" t="str">
        <x:f>IF(H531=0,"0 Current",IF(H531&lt;=30,"1 1-30",IF(H531&lt;=60,"2 31-60",IF(H531&lt;=90,"3 61-90",IF(H531&lt;=120,"4 91-120","5 121+")))))</x:f>
        <x:v>5 121+</x:v>
      </x:c>
      <x:c r="O531" s="9" t="n">
        <x:f>IF(J531&gt;0,1,0)</x:f>
        <x:v>1</x:v>
      </x:c>
    </x:row>
    <x:row r="532">
      <x:c r="A532" s="15" t="str">
        <x:v>528</x:v>
      </x:c>
      <x:c r="B532" s="9" t="str">
        <x:v>Morgan</x:v>
      </x:c>
      <x:c r="C532" s="9" t="str">
        <x:v>Credit Card</x:v>
      </x:c>
      <x:c r="D532" s="9" t="str">
        <x:v>Northeast</x:v>
      </x:c>
      <x:c r="E532" s="9" t="n">
        <x:v>736</x:v>
      </x:c>
      <x:c r="F532" s="11" t="n">
        <x:v>46038</x:v>
      </x:c>
      <x:c r="G532" s="13" t="n">
        <x:v>10382.5</x:v>
      </x:c>
      <x:c r="H532" s="9" t="n">
        <x:v>206</x:v>
      </x:c>
      <x:c r="I532" s="9" t="n">
        <x:v>1</x:v>
      </x:c>
      <x:c r="J532" s="9" t="n">
        <x:v>0</x:v>
      </x:c>
      <x:c r="K532" s="9" t="n">
        <x:v>0</x:v>
      </x:c>
      <x:c r="L532" s="13" t="n">
        <x:f>SUMIFS('Payments'!$D$5:$D$3014,'Payments'!$B$5:$B$3014,A532)</x:f>
        <x:v>3845.22</x:v>
      </x:c>
      <x:c r="M532" s="13" t="n">
        <x:f>G532-L532</x:f>
        <x:v>6537.280000000001</x:v>
      </x:c>
      <x:c r="N532" s="9" t="str">
        <x:f>IF(H532=0,"0 Current",IF(H532&lt;=30,"1 1-30",IF(H532&lt;=60,"2 31-60",IF(H532&lt;=90,"3 61-90",IF(H532&lt;=120,"4 91-120","5 121+")))))</x:f>
        <x:v>5 121+</x:v>
      </x:c>
      <x:c r="O532" s="9" t="n">
        <x:f>IF(J532&gt;0,1,0)</x:f>
        <x:v>0</x:v>
      </x:c>
    </x:row>
    <x:row r="533">
      <x:c r="A533" s="15" t="str">
        <x:v>529</x:v>
      </x:c>
      <x:c r="B533" s="9" t="str">
        <x:v>Taylor</x:v>
      </x:c>
      <x:c r="C533" s="9" t="str">
        <x:v>Credit Card</x:v>
      </x:c>
      <x:c r="D533" s="9" t="str">
        <x:v>Northeast</x:v>
      </x:c>
      <x:c r="E533" s="9" t="n">
        <x:v>540</x:v>
      </x:c>
      <x:c r="F533" s="11" t="n">
        <x:v>46056</x:v>
      </x:c>
      <x:c r="G533" s="13" t="n">
        <x:v>11845.94</x:v>
      </x:c>
      <x:c r="H533" s="9" t="n">
        <x:v>26</x:v>
      </x:c>
      <x:c r="I533" s="9" t="n">
        <x:v>7</x:v>
      </x:c>
      <x:c r="J533" s="9" t="n">
        <x:v>2</x:v>
      </x:c>
      <x:c r="K533" s="9" t="n">
        <x:v>0</x:v>
      </x:c>
      <x:c r="L533" s="13" t="n">
        <x:f>SUMIFS('Payments'!$D$5:$D$3014,'Payments'!$B$5:$B$3014,A533)</x:f>
        <x:v>0</x:v>
      </x:c>
      <x:c r="M533" s="13" t="n">
        <x:f>G533-L533</x:f>
        <x:v>11845.94</x:v>
      </x:c>
      <x:c r="N533" s="9" t="str">
        <x:f>IF(H533=0,"0 Current",IF(H533&lt;=30,"1 1-30",IF(H533&lt;=60,"2 31-60",IF(H533&lt;=90,"3 61-90",IF(H533&lt;=120,"4 91-120","5 121+")))))</x:f>
        <x:v>1 1-30</x:v>
      </x:c>
      <x:c r="O533" s="9" t="n">
        <x:f>IF(J533&gt;0,1,0)</x:f>
        <x:v>1</x:v>
      </x:c>
    </x:row>
    <x:row r="534">
      <x:c r="A534" s="15" t="str">
        <x:v>530</x:v>
      </x:c>
      <x:c r="B534" s="9" t="str">
        <x:v>Morgan</x:v>
      </x:c>
      <x:c r="C534" s="9" t="str">
        <x:v>Credit Card</x:v>
      </x:c>
      <x:c r="D534" s="9" t="str">
        <x:v>Midwest</x:v>
      </x:c>
      <x:c r="E534" s="9" t="n">
        <x:v>536</x:v>
      </x:c>
      <x:c r="F534" s="11" t="n">
        <x:v>46027</x:v>
      </x:c>
      <x:c r="G534" s="13" t="n">
        <x:v>23673.36</x:v>
      </x:c>
      <x:c r="H534" s="9" t="n">
        <x:v>99</x:v>
      </x:c>
      <x:c r="I534" s="9" t="n">
        <x:v>7</x:v>
      </x:c>
      <x:c r="J534" s="9" t="n">
        <x:v>1</x:v>
      </x:c>
      <x:c r="K534" s="9" t="n">
        <x:v>0</x:v>
      </x:c>
      <x:c r="L534" s="13" t="n">
        <x:f>SUMIFS('Payments'!$D$5:$D$3014,'Payments'!$B$5:$B$3014,A534)</x:f>
        <x:v>3646.74</x:v>
      </x:c>
      <x:c r="M534" s="13" t="n">
        <x:f>G534-L534</x:f>
        <x:v>20026.620000000003</x:v>
      </x:c>
      <x:c r="N534" s="9" t="str">
        <x:f>IF(H534=0,"0 Current",IF(H534&lt;=30,"1 1-30",IF(H534&lt;=60,"2 31-60",IF(H534&lt;=90,"3 61-90",IF(H534&lt;=120,"4 91-120","5 121+")))))</x:f>
        <x:v>4 91-120</x:v>
      </x:c>
      <x:c r="O534" s="9" t="n">
        <x:f>IF(J534&gt;0,1,0)</x:f>
        <x:v>1</x:v>
      </x:c>
    </x:row>
    <x:row r="535">
      <x:c r="A535" s="15" t="str">
        <x:v>531</x:v>
      </x:c>
      <x:c r="B535" s="9" t="str">
        <x:v>Alex</x:v>
      </x:c>
      <x:c r="C535" s="9" t="str">
        <x:v>Credit Card</x:v>
      </x:c>
      <x:c r="D535" s="9" t="str">
        <x:v>Northeast</x:v>
      </x:c>
      <x:c r="E535" s="9" t="n">
        <x:v>642</x:v>
      </x:c>
      <x:c r="F535" s="11" t="n">
        <x:v>46026</x:v>
      </x:c>
      <x:c r="G535" s="13" t="n">
        <x:v>10982.5</x:v>
      </x:c>
      <x:c r="H535" s="9" t="n">
        <x:v>14</x:v>
      </x:c>
      <x:c r="I535" s="9" t="n">
        <x:v>4</x:v>
      </x:c>
      <x:c r="J535" s="9" t="n">
        <x:v>3</x:v>
      </x:c>
      <x:c r="K535" s="9" t="n">
        <x:v>1</x:v>
      </x:c>
      <x:c r="L535" s="13" t="n">
        <x:f>SUMIFS('Payments'!$D$5:$D$3014,'Payments'!$B$5:$B$3014,A535)</x:f>
        <x:v>1159.64</x:v>
      </x:c>
      <x:c r="M535" s="13" t="n">
        <x:f>G535-L535</x:f>
        <x:v>9822.86</x:v>
      </x:c>
      <x:c r="N535" s="9" t="str">
        <x:f>IF(H535=0,"0 Current",IF(H535&lt;=30,"1 1-30",IF(H535&lt;=60,"2 31-60",IF(H535&lt;=90,"3 61-90",IF(H535&lt;=120,"4 91-120","5 121+")))))</x:f>
        <x:v>1 1-30</x:v>
      </x:c>
      <x:c r="O535" s="9" t="n">
        <x:f>IF(J535&gt;0,1,0)</x:f>
        <x:v>1</x:v>
      </x:c>
    </x:row>
    <x:row r="536">
      <x:c r="A536" s="15" t="str">
        <x:v>532</x:v>
      </x:c>
      <x:c r="B536" s="9" t="str">
        <x:v>Taylor</x:v>
      </x:c>
      <x:c r="C536" s="9" t="str">
        <x:v>Credit Card</x:v>
      </x:c>
      <x:c r="D536" s="9" t="str">
        <x:v>Northeast</x:v>
      </x:c>
      <x:c r="E536" s="9" t="n">
        <x:v>809</x:v>
      </x:c>
      <x:c r="F536" s="11" t="n">
        <x:v>46145</x:v>
      </x:c>
      <x:c r="G536" s="13" t="n">
        <x:v>5632.83</x:v>
      </x:c>
      <x:c r="H536" s="9" t="n">
        <x:v>19</x:v>
      </x:c>
      <x:c r="I536" s="9" t="n">
        <x:v>3</x:v>
      </x:c>
      <x:c r="J536" s="9" t="n">
        <x:v>3</x:v>
      </x:c>
      <x:c r="K536" s="9" t="n">
        <x:v>0</x:v>
      </x:c>
      <x:c r="L536" s="13" t="n">
        <x:f>SUMIFS('Payments'!$D$5:$D$3014,'Payments'!$B$5:$B$3014,A536)</x:f>
        <x:v>757.69</x:v>
      </x:c>
      <x:c r="M536" s="13" t="n">
        <x:f>G536-L536</x:f>
        <x:v>4875.139999999999</x:v>
      </x:c>
      <x:c r="N536" s="9" t="str">
        <x:f>IF(H536=0,"0 Current",IF(H536&lt;=30,"1 1-30",IF(H536&lt;=60,"2 31-60",IF(H536&lt;=90,"3 61-90",IF(H536&lt;=120,"4 91-120","5 121+")))))</x:f>
        <x:v>1 1-30</x:v>
      </x:c>
      <x:c r="O536" s="9" t="n">
        <x:f>IF(J536&gt;0,1,0)</x:f>
        <x:v>1</x:v>
      </x:c>
    </x:row>
    <x:row r="537">
      <x:c r="A537" s="15" t="str">
        <x:v>533</x:v>
      </x:c>
      <x:c r="B537" s="9" t="str">
        <x:v>Jordan</x:v>
      </x:c>
      <x:c r="C537" s="9" t="str">
        <x:v>Personal Loan</x:v>
      </x:c>
      <x:c r="D537" s="9" t="str">
        <x:v>Northeast</x:v>
      </x:c>
      <x:c r="E537" s="9" t="n">
        <x:v>647</x:v>
      </x:c>
      <x:c r="F537" s="11" t="n">
        <x:v>46085</x:v>
      </x:c>
      <x:c r="G537" s="13" t="n">
        <x:v>22597.44</x:v>
      </x:c>
      <x:c r="H537" s="9" t="n">
        <x:v>178</x:v>
      </x:c>
      <x:c r="I537" s="9" t="n">
        <x:v>1</x:v>
      </x:c>
      <x:c r="J537" s="9" t="n">
        <x:v>1</x:v>
      </x:c>
      <x:c r="K537" s="9" t="n">
        <x:v>1</x:v>
      </x:c>
      <x:c r="L537" s="13" t="n">
        <x:f>SUMIFS('Payments'!$D$5:$D$3014,'Payments'!$B$5:$B$3014,A537)</x:f>
        <x:v>7665.669999999999</x:v>
      </x:c>
      <x:c r="M537" s="13" t="n">
        <x:f>G537-L537</x:f>
        <x:v>14931.77</x:v>
      </x:c>
      <x:c r="N537" s="9" t="str">
        <x:f>IF(H537=0,"0 Current",IF(H537&lt;=30,"1 1-30",IF(H537&lt;=60,"2 31-60",IF(H537&lt;=90,"3 61-90",IF(H537&lt;=120,"4 91-120","5 121+")))))</x:f>
        <x:v>5 121+</x:v>
      </x:c>
      <x:c r="O537" s="9" t="n">
        <x:f>IF(J537&gt;0,1,0)</x:f>
        <x:v>1</x:v>
      </x:c>
    </x:row>
    <x:row r="538">
      <x:c r="A538" s="15" t="str">
        <x:v>534</x:v>
      </x:c>
      <x:c r="B538" s="9" t="str">
        <x:v>Jordan</x:v>
      </x:c>
      <x:c r="C538" s="9" t="str">
        <x:v>Medical</x:v>
      </x:c>
      <x:c r="D538" s="9" t="str">
        <x:v>South</x:v>
      </x:c>
      <x:c r="E538" s="9" t="n">
        <x:v>775</x:v>
      </x:c>
      <x:c r="F538" s="11" t="n">
        <x:v>46156</x:v>
      </x:c>
      <x:c r="G538" s="13" t="n">
        <x:v>10169.37</x:v>
      </x:c>
      <x:c r="H538" s="9" t="n">
        <x:v>31</x:v>
      </x:c>
      <x:c r="I538" s="9" t="n">
        <x:v>7</x:v>
      </x:c>
      <x:c r="J538" s="9" t="n">
        <x:v>2</x:v>
      </x:c>
      <x:c r="K538" s="9" t="n">
        <x:v>0</x:v>
      </x:c>
      <x:c r="L538" s="13" t="n">
        <x:f>SUMIFS('Payments'!$D$5:$D$3014,'Payments'!$B$5:$B$3014,A538)</x:f>
        <x:v>1017.16</x:v>
      </x:c>
      <x:c r="M538" s="13" t="n">
        <x:f>G538-L538</x:f>
        <x:v>9152.210000000001</x:v>
      </x:c>
      <x:c r="N538" s="9" t="str">
        <x:f>IF(H538=0,"0 Current",IF(H538&lt;=30,"1 1-30",IF(H538&lt;=60,"2 31-60",IF(H538&lt;=90,"3 61-90",IF(H538&lt;=120,"4 91-120","5 121+")))))</x:f>
        <x:v>2 31-60</x:v>
      </x:c>
      <x:c r="O538" s="9" t="n">
        <x:f>IF(J538&gt;0,1,0)</x:f>
        <x:v>1</x:v>
      </x:c>
    </x:row>
    <x:row r="539">
      <x:c r="A539" s="15" t="str">
        <x:v>535</x:v>
      </x:c>
      <x:c r="B539" s="9" t="str">
        <x:v>Alex</x:v>
      </x:c>
      <x:c r="C539" s="9" t="str">
        <x:v>Medical</x:v>
      </x:c>
      <x:c r="D539" s="9" t="str">
        <x:v>Midwest</x:v>
      </x:c>
      <x:c r="E539" s="9" t="n">
        <x:v>434</x:v>
      </x:c>
      <x:c r="F539" s="11" t="n">
        <x:v>46121</x:v>
      </x:c>
      <x:c r="G539" s="13" t="n">
        <x:v>19123.53</x:v>
      </x:c>
      <x:c r="H539" s="9" t="n">
        <x:v>52</x:v>
      </x:c>
      <x:c r="I539" s="9" t="n">
        <x:v>0</x:v>
      </x:c>
      <x:c r="J539" s="9" t="n">
        <x:v>0</x:v>
      </x:c>
      <x:c r="K539" s="9" t="n">
        <x:v>0</x:v>
      </x:c>
      <x:c r="L539" s="13" t="n">
        <x:f>SUMIFS('Payments'!$D$5:$D$3014,'Payments'!$B$5:$B$3014,A539)</x:f>
        <x:v>3640.55</x:v>
      </x:c>
      <x:c r="M539" s="13" t="n">
        <x:f>G539-L539</x:f>
        <x:v>15482.98</x:v>
      </x:c>
      <x:c r="N539" s="9" t="str">
        <x:f>IF(H539=0,"0 Current",IF(H539&lt;=30,"1 1-30",IF(H539&lt;=60,"2 31-60",IF(H539&lt;=90,"3 61-90",IF(H539&lt;=120,"4 91-120","5 121+")))))</x:f>
        <x:v>2 31-60</x:v>
      </x:c>
      <x:c r="O539" s="9" t="n">
        <x:f>IF(J539&gt;0,1,0)</x:f>
        <x:v>0</x:v>
      </x:c>
    </x:row>
    <x:row r="540">
      <x:c r="A540" s="15" t="str">
        <x:v>536</x:v>
      </x:c>
      <x:c r="B540" s="9" t="str">
        <x:v>Alex</x:v>
      </x:c>
      <x:c r="C540" s="9" t="str">
        <x:v>Personal Loan</x:v>
      </x:c>
      <x:c r="D540" s="9" t="str">
        <x:v>Northeast</x:v>
      </x:c>
      <x:c r="E540" s="9" t="n">
        <x:v>586</x:v>
      </x:c>
      <x:c r="F540" s="11" t="n">
        <x:v>46161</x:v>
      </x:c>
      <x:c r="G540" s="13" t="n">
        <x:v>15087.97</x:v>
      </x:c>
      <x:c r="H540" s="9" t="n">
        <x:v>236</x:v>
      </x:c>
      <x:c r="I540" s="9" t="n">
        <x:v>6</x:v>
      </x:c>
      <x:c r="J540" s="9" t="n">
        <x:v>4</x:v>
      </x:c>
      <x:c r="K540" s="9" t="n">
        <x:v>0</x:v>
      </x:c>
      <x:c r="L540" s="13" t="n">
        <x:f>SUMIFS('Payments'!$D$5:$D$3014,'Payments'!$B$5:$B$3014,A540)</x:f>
        <x:v>1640.8400000000001</x:v>
      </x:c>
      <x:c r="M540" s="13" t="n">
        <x:f>G540-L540</x:f>
        <x:v>13447.13</x:v>
      </x:c>
      <x:c r="N540" s="9" t="str">
        <x:f>IF(H540=0,"0 Current",IF(H540&lt;=30,"1 1-30",IF(H540&lt;=60,"2 31-60",IF(H540&lt;=90,"3 61-90",IF(H540&lt;=120,"4 91-120","5 121+")))))</x:f>
        <x:v>5 121+</x:v>
      </x:c>
      <x:c r="O540" s="9" t="n">
        <x:f>IF(J540&gt;0,1,0)</x:f>
        <x:v>1</x:v>
      </x:c>
    </x:row>
    <x:row r="541">
      <x:c r="A541" s="15" t="str">
        <x:v>537</x:v>
      </x:c>
      <x:c r="B541" s="9" t="str">
        <x:v>Casey</x:v>
      </x:c>
      <x:c r="C541" s="9" t="str">
        <x:v>Auto</x:v>
      </x:c>
      <x:c r="D541" s="9" t="str">
        <x:v>Northeast</x:v>
      </x:c>
      <x:c r="E541" s="9" t="n">
        <x:v>570</x:v>
      </x:c>
      <x:c r="F541" s="11" t="n">
        <x:v>46155</x:v>
      </x:c>
      <x:c r="G541" s="13" t="n">
        <x:v>11409.41</x:v>
      </x:c>
      <x:c r="H541" s="9" t="n">
        <x:v>119</x:v>
      </x:c>
      <x:c r="I541" s="9" t="n">
        <x:v>4</x:v>
      </x:c>
      <x:c r="J541" s="9" t="n">
        <x:v>2</x:v>
      </x:c>
      <x:c r="K541" s="9" t="n">
        <x:v>1</x:v>
      </x:c>
      <x:c r="L541" s="13" t="n">
        <x:f>SUMIFS('Payments'!$D$5:$D$3014,'Payments'!$B$5:$B$3014,A541)</x:f>
        <x:v>355.69</x:v>
      </x:c>
      <x:c r="M541" s="13" t="n">
        <x:f>G541-L541</x:f>
        <x:v>11053.72</x:v>
      </x:c>
      <x:c r="N541" s="9" t="str">
        <x:f>IF(H541=0,"0 Current",IF(H541&lt;=30,"1 1-30",IF(H541&lt;=60,"2 31-60",IF(H541&lt;=90,"3 61-90",IF(H541&lt;=120,"4 91-120","5 121+")))))</x:f>
        <x:v>4 91-120</x:v>
      </x:c>
      <x:c r="O541" s="9" t="n">
        <x:f>IF(J541&gt;0,1,0)</x:f>
        <x:v>1</x:v>
      </x:c>
    </x:row>
    <x:row r="542">
      <x:c r="A542" s="15" t="str">
        <x:v>538</x:v>
      </x:c>
      <x:c r="B542" s="9" t="str">
        <x:v>Jordan</x:v>
      </x:c>
      <x:c r="C542" s="9" t="str">
        <x:v>Personal Loan</x:v>
      </x:c>
      <x:c r="D542" s="9" t="str">
        <x:v>Midwest</x:v>
      </x:c>
      <x:c r="E542" s="9" t="n">
        <x:v>611</x:v>
      </x:c>
      <x:c r="F542" s="11" t="n">
        <x:v>46093</x:v>
      </x:c>
      <x:c r="G542" s="13" t="n">
        <x:v>15670.58</x:v>
      </x:c>
      <x:c r="H542" s="9" t="n">
        <x:v>200</x:v>
      </x:c>
      <x:c r="I542" s="9" t="n">
        <x:v>2</x:v>
      </x:c>
      <x:c r="J542" s="9" t="n">
        <x:v>0</x:v>
      </x:c>
      <x:c r="K542" s="9" t="n">
        <x:v>0</x:v>
      </x:c>
      <x:c r="L542" s="13" t="n">
        <x:f>SUMIFS('Payments'!$D$5:$D$3014,'Payments'!$B$5:$B$3014,A542)</x:f>
        <x:v>3302.43</x:v>
      </x:c>
      <x:c r="M542" s="13" t="n">
        <x:f>G542-L542</x:f>
        <x:v>12368.15</x:v>
      </x:c>
      <x:c r="N542" s="9" t="str">
        <x:f>IF(H542=0,"0 Current",IF(H542&lt;=30,"1 1-30",IF(H542&lt;=60,"2 31-60",IF(H542&lt;=90,"3 61-90",IF(H542&lt;=120,"4 91-120","5 121+")))))</x:f>
        <x:v>5 121+</x:v>
      </x:c>
      <x:c r="O542" s="9" t="n">
        <x:f>IF(J542&gt;0,1,0)</x:f>
        <x:v>0</x:v>
      </x:c>
    </x:row>
    <x:row r="543">
      <x:c r="A543" s="15" t="str">
        <x:v>539</x:v>
      </x:c>
      <x:c r="B543" s="9" t="str">
        <x:v>Morgan</x:v>
      </x:c>
      <x:c r="C543" s="9" t="str">
        <x:v>Medical</x:v>
      </x:c>
      <x:c r="D543" s="9" t="str">
        <x:v>West</x:v>
      </x:c>
      <x:c r="E543" s="9" t="n">
        <x:v>494</x:v>
      </x:c>
      <x:c r="F543" s="11" t="n">
        <x:v>46032</x:v>
      </x:c>
      <x:c r="G543" s="13" t="n">
        <x:v>15545.96</x:v>
      </x:c>
      <x:c r="H543" s="9" t="n">
        <x:v>104</x:v>
      </x:c>
      <x:c r="I543" s="9" t="n">
        <x:v>1</x:v>
      </x:c>
      <x:c r="J543" s="9" t="n">
        <x:v>1</x:v>
      </x:c>
      <x:c r="K543" s="9" t="n">
        <x:v>0</x:v>
      </x:c>
      <x:c r="L543" s="13" t="n">
        <x:f>SUMIFS('Payments'!$D$5:$D$3014,'Payments'!$B$5:$B$3014,A543)</x:f>
        <x:v>0</x:v>
      </x:c>
      <x:c r="M543" s="13" t="n">
        <x:f>G543-L543</x:f>
        <x:v>15545.96</x:v>
      </x:c>
      <x:c r="N543" s="9" t="str">
        <x:f>IF(H543=0,"0 Current",IF(H543&lt;=30,"1 1-30",IF(H543&lt;=60,"2 31-60",IF(H543&lt;=90,"3 61-90",IF(H543&lt;=120,"4 91-120","5 121+")))))</x:f>
        <x:v>4 91-120</x:v>
      </x:c>
      <x:c r="O543" s="9" t="n">
        <x:f>IF(J543&gt;0,1,0)</x:f>
        <x:v>1</x:v>
      </x:c>
    </x:row>
    <x:row r="544">
      <x:c r="A544" s="15" t="str">
        <x:v>540</x:v>
      </x:c>
      <x:c r="B544" s="9" t="str">
        <x:v>Alex</x:v>
      </x:c>
      <x:c r="C544" s="9" t="str">
        <x:v>Auto</x:v>
      </x:c>
      <x:c r="D544" s="9" t="str">
        <x:v>South</x:v>
      </x:c>
      <x:c r="E544" s="9" t="n">
        <x:v>691</x:v>
      </x:c>
      <x:c r="F544" s="11" t="n">
        <x:v>46164</x:v>
      </x:c>
      <x:c r="G544" s="13" t="n">
        <x:v>13671.22</x:v>
      </x:c>
      <x:c r="H544" s="9" t="n">
        <x:v>46</x:v>
      </x:c>
      <x:c r="I544" s="9" t="n">
        <x:v>3</x:v>
      </x:c>
      <x:c r="J544" s="9" t="n">
        <x:v>1</x:v>
      </x:c>
      <x:c r="K544" s="9" t="n">
        <x:v>0</x:v>
      </x:c>
      <x:c r="L544" s="13" t="n">
        <x:f>SUMIFS('Payments'!$D$5:$D$3014,'Payments'!$B$5:$B$3014,A544)</x:f>
        <x:v>2041.31</x:v>
      </x:c>
      <x:c r="M544" s="13" t="n">
        <x:f>G544-L544</x:f>
        <x:v>11629.91</x:v>
      </x:c>
      <x:c r="N544" s="9" t="str">
        <x:f>IF(H544=0,"0 Current",IF(H544&lt;=30,"1 1-30",IF(H544&lt;=60,"2 31-60",IF(H544&lt;=90,"3 61-90",IF(H544&lt;=120,"4 91-120","5 121+")))))</x:f>
        <x:v>2 31-60</x:v>
      </x:c>
      <x:c r="O544" s="9" t="n">
        <x:f>IF(J544&gt;0,1,0)</x:f>
        <x:v>1</x:v>
      </x:c>
    </x:row>
    <x:row r="545">
      <x:c r="A545" s="15" t="str">
        <x:v>541</x:v>
      </x:c>
      <x:c r="B545" s="9" t="str">
        <x:v>Taylor</x:v>
      </x:c>
      <x:c r="C545" s="9" t="str">
        <x:v>Auto</x:v>
      </x:c>
      <x:c r="D545" s="9" t="str">
        <x:v>West</x:v>
      </x:c>
      <x:c r="E545" s="9" t="n">
        <x:v>709</x:v>
      </x:c>
      <x:c r="F545" s="11" t="n">
        <x:v>46032</x:v>
      </x:c>
      <x:c r="G545" s="13" t="n">
        <x:v>8228.23</x:v>
      </x:c>
      <x:c r="H545" s="9" t="n">
        <x:v>148</x:v>
      </x:c>
      <x:c r="I545" s="9" t="n">
        <x:v>0</x:v>
      </x:c>
      <x:c r="J545" s="9" t="n">
        <x:v>0</x:v>
      </x:c>
      <x:c r="K545" s="9" t="n">
        <x:v>0</x:v>
      </x:c>
      <x:c r="L545" s="13" t="n">
        <x:f>SUMIFS('Payments'!$D$5:$D$3014,'Payments'!$B$5:$B$3014,A545)</x:f>
        <x:v>1015.24</x:v>
      </x:c>
      <x:c r="M545" s="13" t="n">
        <x:f>G545-L545</x:f>
        <x:v>7212.99</x:v>
      </x:c>
      <x:c r="N545" s="9" t="str">
        <x:f>IF(H545=0,"0 Current",IF(H545&lt;=30,"1 1-30",IF(H545&lt;=60,"2 31-60",IF(H545&lt;=90,"3 61-90",IF(H545&lt;=120,"4 91-120","5 121+")))))</x:f>
        <x:v>5 121+</x:v>
      </x:c>
      <x:c r="O545" s="9" t="n">
        <x:f>IF(J545&gt;0,1,0)</x:f>
        <x:v>0</x:v>
      </x:c>
    </x:row>
    <x:row r="546">
      <x:c r="A546" s="15" t="str">
        <x:v>542</x:v>
      </x:c>
      <x:c r="B546" s="9" t="str">
        <x:v>Alex</x:v>
      </x:c>
      <x:c r="C546" s="9" t="str">
        <x:v>Personal Loan</x:v>
      </x:c>
      <x:c r="D546" s="9" t="str">
        <x:v>South</x:v>
      </x:c>
      <x:c r="E546" s="9" t="n">
        <x:v>507</x:v>
      </x:c>
      <x:c r="F546" s="11" t="n">
        <x:v>46089</x:v>
      </x:c>
      <x:c r="G546" s="13" t="n">
        <x:v>11298.02</x:v>
      </x:c>
      <x:c r="H546" s="9" t="n">
        <x:v>138</x:v>
      </x:c>
      <x:c r="I546" s="9" t="n">
        <x:v>3</x:v>
      </x:c>
      <x:c r="J546" s="9" t="n">
        <x:v>0</x:v>
      </x:c>
      <x:c r="K546" s="9" t="n">
        <x:v>0</x:v>
      </x:c>
      <x:c r="L546" s="13" t="n">
        <x:f>SUMIFS('Payments'!$D$5:$D$3014,'Payments'!$B$5:$B$3014,A546)</x:f>
        <x:v>0</x:v>
      </x:c>
      <x:c r="M546" s="13" t="n">
        <x:f>G546-L546</x:f>
        <x:v>11298.02</x:v>
      </x:c>
      <x:c r="N546" s="9" t="str">
        <x:f>IF(H546=0,"0 Current",IF(H546&lt;=30,"1 1-30",IF(H546&lt;=60,"2 31-60",IF(H546&lt;=90,"3 61-90",IF(H546&lt;=120,"4 91-120","5 121+")))))</x:f>
        <x:v>5 121+</x:v>
      </x:c>
      <x:c r="O546" s="9" t="n">
        <x:f>IF(J546&gt;0,1,0)</x:f>
        <x:v>0</x:v>
      </x:c>
    </x:row>
    <x:row r="547">
      <x:c r="A547" s="15" t="str">
        <x:v>543</x:v>
      </x:c>
      <x:c r="B547" s="9" t="str">
        <x:v>Riley</x:v>
      </x:c>
      <x:c r="C547" s="9" t="str">
        <x:v>Personal Loan</x:v>
      </x:c>
      <x:c r="D547" s="9" t="str">
        <x:v>South</x:v>
      </x:c>
      <x:c r="E547" s="9" t="n">
        <x:v>460</x:v>
      </x:c>
      <x:c r="F547" s="11" t="n">
        <x:v>46075</x:v>
      </x:c>
      <x:c r="G547" s="13" t="n">
        <x:v>14164.58</x:v>
      </x:c>
      <x:c r="H547" s="9" t="n">
        <x:v>212</x:v>
      </x:c>
      <x:c r="I547" s="9" t="n">
        <x:v>5</x:v>
      </x:c>
      <x:c r="J547" s="9" t="n">
        <x:v>3</x:v>
      </x:c>
      <x:c r="K547" s="9" t="n">
        <x:v>1</x:v>
      </x:c>
      <x:c r="L547" s="13" t="n">
        <x:f>SUMIFS('Payments'!$D$5:$D$3014,'Payments'!$B$5:$B$3014,A547)</x:f>
        <x:v>1023.96</x:v>
      </x:c>
      <x:c r="M547" s="13" t="n">
        <x:f>G547-L547</x:f>
        <x:v>13140.619999999999</x:v>
      </x:c>
      <x:c r="N547" s="9" t="str">
        <x:f>IF(H547=0,"0 Current",IF(H547&lt;=30,"1 1-30",IF(H547&lt;=60,"2 31-60",IF(H547&lt;=90,"3 61-90",IF(H547&lt;=120,"4 91-120","5 121+")))))</x:f>
        <x:v>5 121+</x:v>
      </x:c>
      <x:c r="O547" s="9" t="n">
        <x:f>IF(J547&gt;0,1,0)</x:f>
        <x:v>1</x:v>
      </x:c>
    </x:row>
    <x:row r="548">
      <x:c r="A548" s="15" t="str">
        <x:v>544</x:v>
      </x:c>
      <x:c r="B548" s="9" t="str">
        <x:v>Riley</x:v>
      </x:c>
      <x:c r="C548" s="9" t="str">
        <x:v>Medical</x:v>
      </x:c>
      <x:c r="D548" s="9" t="str">
        <x:v>West</x:v>
      </x:c>
      <x:c r="E548" s="9" t="n">
        <x:v>737</x:v>
      </x:c>
      <x:c r="F548" s="11" t="n">
        <x:v>46029</x:v>
      </x:c>
      <x:c r="G548" s="13" t="n">
        <x:v>4955.69</x:v>
      </x:c>
      <x:c r="H548" s="9" t="n">
        <x:v>206</x:v>
      </x:c>
      <x:c r="I548" s="9" t="n">
        <x:v>5</x:v>
      </x:c>
      <x:c r="J548" s="9" t="n">
        <x:v>1</x:v>
      </x:c>
      <x:c r="K548" s="9" t="n">
        <x:v>1</x:v>
      </x:c>
      <x:c r="L548" s="13" t="n">
        <x:f>SUMIFS('Payments'!$D$5:$D$3014,'Payments'!$B$5:$B$3014,A548)</x:f>
        <x:v>868.2</x:v>
      </x:c>
      <x:c r="M548" s="13" t="n">
        <x:f>G548-L548</x:f>
        <x:v>4087.49</x:v>
      </x:c>
      <x:c r="N548" s="9" t="str">
        <x:f>IF(H548=0,"0 Current",IF(H548&lt;=30,"1 1-30",IF(H548&lt;=60,"2 31-60",IF(H548&lt;=90,"3 61-90",IF(H548&lt;=120,"4 91-120","5 121+")))))</x:f>
        <x:v>5 121+</x:v>
      </x:c>
      <x:c r="O548" s="9" t="n">
        <x:f>IF(J548&gt;0,1,0)</x:f>
        <x:v>1</x:v>
      </x:c>
    </x:row>
    <x:row r="549">
      <x:c r="A549" s="15" t="str">
        <x:v>545</x:v>
      </x:c>
      <x:c r="B549" s="9" t="str">
        <x:v>Riley</x:v>
      </x:c>
      <x:c r="C549" s="9" t="str">
        <x:v>Auto</x:v>
      </x:c>
      <x:c r="D549" s="9" t="str">
        <x:v>South</x:v>
      </x:c>
      <x:c r="E549" s="9" t="n">
        <x:v>674</x:v>
      </x:c>
      <x:c r="F549" s="11" t="n">
        <x:v>46080</x:v>
      </x:c>
      <x:c r="G549" s="13" t="n">
        <x:v>24214.69</x:v>
      </x:c>
      <x:c r="H549" s="9" t="n">
        <x:v>137</x:v>
      </x:c>
      <x:c r="I549" s="9" t="n">
        <x:v>8</x:v>
      </x:c>
      <x:c r="J549" s="9" t="n">
        <x:v>2</x:v>
      </x:c>
      <x:c r="K549" s="9" t="n">
        <x:v>0</x:v>
      </x:c>
      <x:c r="L549" s="13" t="n">
        <x:f>SUMIFS('Payments'!$D$5:$D$3014,'Payments'!$B$5:$B$3014,A549)</x:f>
        <x:v>0</x:v>
      </x:c>
      <x:c r="M549" s="13" t="n">
        <x:f>G549-L549</x:f>
        <x:v>24214.69</x:v>
      </x:c>
      <x:c r="N549" s="9" t="str">
        <x:f>IF(H549=0,"0 Current",IF(H549&lt;=30,"1 1-30",IF(H549&lt;=60,"2 31-60",IF(H549&lt;=90,"3 61-90",IF(H549&lt;=120,"4 91-120","5 121+")))))</x:f>
        <x:v>5 121+</x:v>
      </x:c>
      <x:c r="O549" s="9" t="n">
        <x:f>IF(J549&gt;0,1,0)</x:f>
        <x:v>1</x:v>
      </x:c>
    </x:row>
    <x:row r="550">
      <x:c r="A550" s="15" t="str">
        <x:v>546</x:v>
      </x:c>
      <x:c r="B550" s="9" t="str">
        <x:v>Taylor</x:v>
      </x:c>
      <x:c r="C550" s="9" t="str">
        <x:v>Medical</x:v>
      </x:c>
      <x:c r="D550" s="9" t="str">
        <x:v>South</x:v>
      </x:c>
      <x:c r="E550" s="9" t="n">
        <x:v>538</x:v>
      </x:c>
      <x:c r="F550" s="11" t="n">
        <x:v>46103</x:v>
      </x:c>
      <x:c r="G550" s="13" t="n">
        <x:v>5340.93</x:v>
      </x:c>
      <x:c r="H550" s="9" t="n">
        <x:v>113</x:v>
      </x:c>
      <x:c r="I550" s="9" t="n">
        <x:v>7</x:v>
      </x:c>
      <x:c r="J550" s="9" t="n">
        <x:v>4</x:v>
      </x:c>
      <x:c r="K550" s="9" t="n">
        <x:v>1</x:v>
      </x:c>
      <x:c r="L550" s="13" t="n">
        <x:f>SUMIFS('Payments'!$D$5:$D$3014,'Payments'!$B$5:$B$3014,A550)</x:f>
        <x:v>1065.8600000000001</x:v>
      </x:c>
      <x:c r="M550" s="13" t="n">
        <x:f>G550-L550</x:f>
        <x:v>4275.07</x:v>
      </x:c>
      <x:c r="N550" s="9" t="str">
        <x:f>IF(H550=0,"0 Current",IF(H550&lt;=30,"1 1-30",IF(H550&lt;=60,"2 31-60",IF(H550&lt;=90,"3 61-90",IF(H550&lt;=120,"4 91-120","5 121+")))))</x:f>
        <x:v>4 91-120</x:v>
      </x:c>
      <x:c r="O550" s="9" t="n">
        <x:f>IF(J550&gt;0,1,0)</x:f>
        <x:v>1</x:v>
      </x:c>
    </x:row>
    <x:row r="551">
      <x:c r="A551" s="15" t="str">
        <x:v>547</x:v>
      </x:c>
      <x:c r="B551" s="9" t="str">
        <x:v>Jordan</x:v>
      </x:c>
      <x:c r="C551" s="9" t="str">
        <x:v>Personal Loan</x:v>
      </x:c>
      <x:c r="D551" s="9" t="str">
        <x:v>West</x:v>
      </x:c>
      <x:c r="E551" s="9" t="n">
        <x:v>746</x:v>
      </x:c>
      <x:c r="F551" s="11" t="n">
        <x:v>46089</x:v>
      </x:c>
      <x:c r="G551" s="13" t="n">
        <x:v>12532.83</x:v>
      </x:c>
      <x:c r="H551" s="9" t="n">
        <x:v>30</x:v>
      </x:c>
      <x:c r="I551" s="9" t="n">
        <x:v>6</x:v>
      </x:c>
      <x:c r="J551" s="9" t="n">
        <x:v>2</x:v>
      </x:c>
      <x:c r="K551" s="9" t="n">
        <x:v>0</x:v>
      </x:c>
      <x:c r="L551" s="13" t="n">
        <x:f>SUMIFS('Payments'!$D$5:$D$3014,'Payments'!$B$5:$B$3014,A551)</x:f>
        <x:v>0</x:v>
      </x:c>
      <x:c r="M551" s="13" t="n">
        <x:f>G551-L551</x:f>
        <x:v>12532.83</x:v>
      </x:c>
      <x:c r="N551" s="9" t="str">
        <x:f>IF(H551=0,"0 Current",IF(H551&lt;=30,"1 1-30",IF(H551&lt;=60,"2 31-60",IF(H551&lt;=90,"3 61-90",IF(H551&lt;=120,"4 91-120","5 121+")))))</x:f>
        <x:v>1 1-30</x:v>
      </x:c>
      <x:c r="O551" s="9" t="n">
        <x:f>IF(J551&gt;0,1,0)</x:f>
        <x:v>1</x:v>
      </x:c>
    </x:row>
    <x:row r="552">
      <x:c r="A552" s="15" t="str">
        <x:v>548</x:v>
      </x:c>
      <x:c r="B552" s="9" t="str">
        <x:v>Taylor</x:v>
      </x:c>
      <x:c r="C552" s="9" t="str">
        <x:v>Auto</x:v>
      </x:c>
      <x:c r="D552" s="9" t="str">
        <x:v>Midwest</x:v>
      </x:c>
      <x:c r="E552" s="9" t="n">
        <x:v>655</x:v>
      </x:c>
      <x:c r="F552" s="11" t="n">
        <x:v>46090</x:v>
      </x:c>
      <x:c r="G552" s="13" t="n">
        <x:v>23760.71</x:v>
      </x:c>
      <x:c r="H552" s="9" t="n">
        <x:v>190</x:v>
      </x:c>
      <x:c r="I552" s="9" t="n">
        <x:v>2</x:v>
      </x:c>
      <x:c r="J552" s="9" t="n">
        <x:v>0</x:v>
      </x:c>
      <x:c r="K552" s="9" t="n">
        <x:v>0</x:v>
      </x:c>
      <x:c r="L552" s="13" t="n">
        <x:f>SUMIFS('Payments'!$D$5:$D$3014,'Payments'!$B$5:$B$3014,A552)</x:f>
        <x:v>0</x:v>
      </x:c>
      <x:c r="M552" s="13" t="n">
        <x:f>G552-L552</x:f>
        <x:v>23760.71</x:v>
      </x:c>
      <x:c r="N552" s="9" t="str">
        <x:f>IF(H552=0,"0 Current",IF(H552&lt;=30,"1 1-30",IF(H552&lt;=60,"2 31-60",IF(H552&lt;=90,"3 61-90",IF(H552&lt;=120,"4 91-120","5 121+")))))</x:f>
        <x:v>5 121+</x:v>
      </x:c>
      <x:c r="O552" s="9" t="n">
        <x:f>IF(J552&gt;0,1,0)</x:f>
        <x:v>0</x:v>
      </x:c>
    </x:row>
    <x:row r="553">
      <x:c r="A553" s="15" t="str">
        <x:v>549</x:v>
      </x:c>
      <x:c r="B553" s="9" t="str">
        <x:v>Casey</x:v>
      </x:c>
      <x:c r="C553" s="9" t="str">
        <x:v>Auto</x:v>
      </x:c>
      <x:c r="D553" s="9" t="str">
        <x:v>Midwest</x:v>
      </x:c>
      <x:c r="E553" s="9" t="n">
        <x:v>761</x:v>
      </x:c>
      <x:c r="F553" s="11" t="n">
        <x:v>46065</x:v>
      </x:c>
      <x:c r="G553" s="13" t="n">
        <x:v>3562.45</x:v>
      </x:c>
      <x:c r="H553" s="9" t="n">
        <x:v>231</x:v>
      </x:c>
      <x:c r="I553" s="9" t="n">
        <x:v>5</x:v>
      </x:c>
      <x:c r="J553" s="9" t="n">
        <x:v>3</x:v>
      </x:c>
      <x:c r="K553" s="9" t="n">
        <x:v>1</x:v>
      </x:c>
      <x:c r="L553" s="13" t="n">
        <x:f>SUMIFS('Payments'!$D$5:$D$3014,'Payments'!$B$5:$B$3014,A553)</x:f>
        <x:v>718.16</x:v>
      </x:c>
      <x:c r="M553" s="13" t="n">
        <x:f>G553-L553</x:f>
        <x:v>2844.29</x:v>
      </x:c>
      <x:c r="N553" s="9" t="str">
        <x:f>IF(H553=0,"0 Current",IF(H553&lt;=30,"1 1-30",IF(H553&lt;=60,"2 31-60",IF(H553&lt;=90,"3 61-90",IF(H553&lt;=120,"4 91-120","5 121+")))))</x:f>
        <x:v>5 121+</x:v>
      </x:c>
      <x:c r="O553" s="9" t="n">
        <x:f>IF(J553&gt;0,1,0)</x:f>
        <x:v>1</x:v>
      </x:c>
    </x:row>
    <x:row r="554">
      <x:c r="A554" s="15" t="str">
        <x:v>550</x:v>
      </x:c>
      <x:c r="B554" s="9" t="str">
        <x:v>Morgan</x:v>
      </x:c>
      <x:c r="C554" s="9" t="str">
        <x:v>Medical</x:v>
      </x:c>
      <x:c r="D554" s="9" t="str">
        <x:v>Northeast</x:v>
      </x:c>
      <x:c r="E554" s="9" t="n">
        <x:v>658</x:v>
      </x:c>
      <x:c r="F554" s="11" t="n">
        <x:v>46134</x:v>
      </x:c>
      <x:c r="G554" s="13" t="n">
        <x:v>12633.74</x:v>
      </x:c>
      <x:c r="H554" s="9" t="n">
        <x:v>187</x:v>
      </x:c>
      <x:c r="I554" s="9" t="n">
        <x:v>1</x:v>
      </x:c>
      <x:c r="J554" s="9" t="n">
        <x:v>1</x:v>
      </x:c>
      <x:c r="K554" s="9" t="n">
        <x:v>0</x:v>
      </x:c>
      <x:c r="L554" s="13" t="n">
        <x:f>SUMIFS('Payments'!$D$5:$D$3014,'Payments'!$B$5:$B$3014,A554)</x:f>
        <x:v>1555.49</x:v>
      </x:c>
      <x:c r="M554" s="13" t="n">
        <x:f>G554-L554</x:f>
        <x:v>11078.25</x:v>
      </x:c>
      <x:c r="N554" s="9" t="str">
        <x:f>IF(H554=0,"0 Current",IF(H554&lt;=30,"1 1-30",IF(H554&lt;=60,"2 31-60",IF(H554&lt;=90,"3 61-90",IF(H554&lt;=120,"4 91-120","5 121+")))))</x:f>
        <x:v>5 121+</x:v>
      </x:c>
      <x:c r="O554" s="9" t="n">
        <x:f>IF(J554&gt;0,1,0)</x:f>
        <x:v>1</x:v>
      </x:c>
    </x:row>
    <x:row r="555">
      <x:c r="A555" s="15" t="str">
        <x:v>551</x:v>
      </x:c>
      <x:c r="B555" s="9" t="str">
        <x:v>Morgan</x:v>
      </x:c>
      <x:c r="C555" s="9" t="str">
        <x:v>Personal Loan</x:v>
      </x:c>
      <x:c r="D555" s="9" t="str">
        <x:v>Midwest</x:v>
      </x:c>
      <x:c r="E555" s="9" t="n">
        <x:v>766</x:v>
      </x:c>
      <x:c r="F555" s="11" t="n">
        <x:v>46117</x:v>
      </x:c>
      <x:c r="G555" s="13" t="n">
        <x:v>19522.3</x:v>
      </x:c>
      <x:c r="H555" s="9" t="n">
        <x:v>112</x:v>
      </x:c>
      <x:c r="I555" s="9" t="n">
        <x:v>4</x:v>
      </x:c>
      <x:c r="J555" s="9" t="n">
        <x:v>0</x:v>
      </x:c>
      <x:c r="K555" s="9" t="n">
        <x:v>0</x:v>
      </x:c>
      <x:c r="L555" s="13" t="n">
        <x:f>SUMIFS('Payments'!$D$5:$D$3014,'Payments'!$B$5:$B$3014,A555)</x:f>
        <x:v>1343.44</x:v>
      </x:c>
      <x:c r="M555" s="13" t="n">
        <x:f>G555-L555</x:f>
        <x:v>18178.86</x:v>
      </x:c>
      <x:c r="N555" s="9" t="str">
        <x:f>IF(H555=0,"0 Current",IF(H555&lt;=30,"1 1-30",IF(H555&lt;=60,"2 31-60",IF(H555&lt;=90,"3 61-90",IF(H555&lt;=120,"4 91-120","5 121+")))))</x:f>
        <x:v>4 91-120</x:v>
      </x:c>
      <x:c r="O555" s="9" t="n">
        <x:f>IF(J555&gt;0,1,0)</x:f>
        <x:v>0</x:v>
      </x:c>
    </x:row>
    <x:row r="556">
      <x:c r="A556" s="15" t="str">
        <x:v>552</x:v>
      </x:c>
      <x:c r="B556" s="9" t="str">
        <x:v>Jordan</x:v>
      </x:c>
      <x:c r="C556" s="9" t="str">
        <x:v>Auto</x:v>
      </x:c>
      <x:c r="D556" s="9" t="str">
        <x:v>South</x:v>
      </x:c>
      <x:c r="E556" s="9" t="n">
        <x:v>457</x:v>
      </x:c>
      <x:c r="F556" s="11" t="n">
        <x:v>46132</x:v>
      </x:c>
      <x:c r="G556" s="13" t="n">
        <x:v>12464.55</x:v>
      </x:c>
      <x:c r="H556" s="9" t="n">
        <x:v>81</x:v>
      </x:c>
      <x:c r="I556" s="9" t="n">
        <x:v>3</x:v>
      </x:c>
      <x:c r="J556" s="9" t="n">
        <x:v>0</x:v>
      </x:c>
      <x:c r="K556" s="9" t="n">
        <x:v>0</x:v>
      </x:c>
      <x:c r="L556" s="13" t="n">
        <x:f>SUMIFS('Payments'!$D$5:$D$3014,'Payments'!$B$5:$B$3014,A556)</x:f>
        <x:v>385.38</x:v>
      </x:c>
      <x:c r="M556" s="13" t="n">
        <x:f>G556-L556</x:f>
        <x:v>12079.17</x:v>
      </x:c>
      <x:c r="N556" s="9" t="str">
        <x:f>IF(H556=0,"0 Current",IF(H556&lt;=30,"1 1-30",IF(H556&lt;=60,"2 31-60",IF(H556&lt;=90,"3 61-90",IF(H556&lt;=120,"4 91-120","5 121+")))))</x:f>
        <x:v>3 61-90</x:v>
      </x:c>
      <x:c r="O556" s="9" t="n">
        <x:f>IF(J556&gt;0,1,0)</x:f>
        <x:v>0</x:v>
      </x:c>
    </x:row>
    <x:row r="557">
      <x:c r="A557" s="15" t="str">
        <x:v>553</x:v>
      </x:c>
      <x:c r="B557" s="9" t="str">
        <x:v>Morgan</x:v>
      </x:c>
      <x:c r="C557" s="9" t="str">
        <x:v>Auto</x:v>
      </x:c>
      <x:c r="D557" s="9" t="str">
        <x:v>West</x:v>
      </x:c>
      <x:c r="E557" s="9" t="n">
        <x:v>596</x:v>
      </x:c>
      <x:c r="F557" s="11" t="n">
        <x:v>46096</x:v>
      </x:c>
      <x:c r="G557" s="13" t="n">
        <x:v>11986.03</x:v>
      </x:c>
      <x:c r="H557" s="9" t="n">
        <x:v>57</x:v>
      </x:c>
      <x:c r="I557" s="9" t="n">
        <x:v>1</x:v>
      </x:c>
      <x:c r="J557" s="9" t="n">
        <x:v>1</x:v>
      </x:c>
      <x:c r="K557" s="9" t="n">
        <x:v>0</x:v>
      </x:c>
      <x:c r="L557" s="13" t="n">
        <x:f>SUMIFS('Payments'!$D$5:$D$3014,'Payments'!$B$5:$B$3014,A557)</x:f>
        <x:v>766.22</x:v>
      </x:c>
      <x:c r="M557" s="13" t="n">
        <x:f>G557-L557</x:f>
        <x:v>11219.810000000001</x:v>
      </x:c>
      <x:c r="N557" s="9" t="str">
        <x:f>IF(H557=0,"0 Current",IF(H557&lt;=30,"1 1-30",IF(H557&lt;=60,"2 31-60",IF(H557&lt;=90,"3 61-90",IF(H557&lt;=120,"4 91-120","5 121+")))))</x:f>
        <x:v>2 31-60</x:v>
      </x:c>
      <x:c r="O557" s="9" t="n">
        <x:f>IF(J557&gt;0,1,0)</x:f>
        <x:v>1</x:v>
      </x:c>
    </x:row>
    <x:row r="558">
      <x:c r="A558" s="15" t="str">
        <x:v>554</x:v>
      </x:c>
      <x:c r="B558" s="9" t="str">
        <x:v>Casey</x:v>
      </x:c>
      <x:c r="C558" s="9" t="str">
        <x:v>Medical</x:v>
      </x:c>
      <x:c r="D558" s="9" t="str">
        <x:v>Midwest</x:v>
      </x:c>
      <x:c r="E558" s="9" t="n">
        <x:v>747</x:v>
      </x:c>
      <x:c r="F558" s="11" t="n">
        <x:v>46059</x:v>
      </x:c>
      <x:c r="G558" s="13" t="n">
        <x:v>4525.52</x:v>
      </x:c>
      <x:c r="H558" s="9" t="n">
        <x:v>7</x:v>
      </x:c>
      <x:c r="I558" s="9" t="n">
        <x:v>5</x:v>
      </x:c>
      <x:c r="J558" s="9" t="n">
        <x:v>2</x:v>
      </x:c>
      <x:c r="K558" s="9" t="n">
        <x:v>0</x:v>
      </x:c>
      <x:c r="L558" s="13" t="n">
        <x:f>SUMIFS('Payments'!$D$5:$D$3014,'Payments'!$B$5:$B$3014,A558)</x:f>
        <x:v>968.51</x:v>
      </x:c>
      <x:c r="M558" s="13" t="n">
        <x:f>G558-L558</x:f>
        <x:v>3557.01</x:v>
      </x:c>
      <x:c r="N558" s="9" t="str">
        <x:f>IF(H558=0,"0 Current",IF(H558&lt;=30,"1 1-30",IF(H558&lt;=60,"2 31-60",IF(H558&lt;=90,"3 61-90",IF(H558&lt;=120,"4 91-120","5 121+")))))</x:f>
        <x:v>1 1-30</x:v>
      </x:c>
      <x:c r="O558" s="9" t="n">
        <x:f>IF(J558&gt;0,1,0)</x:f>
        <x:v>1</x:v>
      </x:c>
    </x:row>
    <x:row r="559">
      <x:c r="A559" s="15" t="str">
        <x:v>555</x:v>
      </x:c>
      <x:c r="B559" s="9" t="str">
        <x:v>Morgan</x:v>
      </x:c>
      <x:c r="C559" s="9" t="str">
        <x:v>Auto</x:v>
      </x:c>
      <x:c r="D559" s="9" t="str">
        <x:v>West</x:v>
      </x:c>
      <x:c r="E559" s="9" t="n">
        <x:v>773</x:v>
      </x:c>
      <x:c r="F559" s="11" t="n">
        <x:v>46053</x:v>
      </x:c>
      <x:c r="G559" s="13" t="n">
        <x:v>19139.69</x:v>
      </x:c>
      <x:c r="H559" s="9" t="n">
        <x:v>67</x:v>
      </x:c>
      <x:c r="I559" s="9" t="n">
        <x:v>2</x:v>
      </x:c>
      <x:c r="J559" s="9" t="n">
        <x:v>2</x:v>
      </x:c>
      <x:c r="K559" s="9" t="n">
        <x:v>1</x:v>
      </x:c>
      <x:c r="L559" s="13" t="n">
        <x:f>SUMIFS('Payments'!$D$5:$D$3014,'Payments'!$B$5:$B$3014,A559)</x:f>
        <x:v>0</x:v>
      </x:c>
      <x:c r="M559" s="13" t="n">
        <x:f>G559-L559</x:f>
        <x:v>19139.69</x:v>
      </x:c>
      <x:c r="N559" s="9" t="str">
        <x:f>IF(H559=0,"0 Current",IF(H559&lt;=30,"1 1-30",IF(H559&lt;=60,"2 31-60",IF(H559&lt;=90,"3 61-90",IF(H559&lt;=120,"4 91-120","5 121+")))))</x:f>
        <x:v>3 61-90</x:v>
      </x:c>
      <x:c r="O559" s="9" t="n">
        <x:f>IF(J559&gt;0,1,0)</x:f>
        <x:v>1</x:v>
      </x:c>
    </x:row>
    <x:row r="560">
      <x:c r="A560" s="15" t="str">
        <x:v>556</x:v>
      </x:c>
      <x:c r="B560" s="9" t="str">
        <x:v>Taylor</x:v>
      </x:c>
      <x:c r="C560" s="9" t="str">
        <x:v>Credit Card</x:v>
      </x:c>
      <x:c r="D560" s="9" t="str">
        <x:v>Midwest</x:v>
      </x:c>
      <x:c r="E560" s="9" t="n">
        <x:v>653</x:v>
      </x:c>
      <x:c r="F560" s="11" t="n">
        <x:v>46043</x:v>
      </x:c>
      <x:c r="G560" s="13" t="n">
        <x:v>9829.88</x:v>
      </x:c>
      <x:c r="H560" s="9" t="n">
        <x:v>83</x:v>
      </x:c>
      <x:c r="I560" s="9" t="n">
        <x:v>4</x:v>
      </x:c>
      <x:c r="J560" s="9" t="n">
        <x:v>4</x:v>
      </x:c>
      <x:c r="K560" s="9" t="n">
        <x:v>0</x:v>
      </x:c>
      <x:c r="L560" s="13" t="n">
        <x:f>SUMIFS('Payments'!$D$5:$D$3014,'Payments'!$B$5:$B$3014,A560)</x:f>
        <x:v>674.61</x:v>
      </x:c>
      <x:c r="M560" s="13" t="n">
        <x:f>G560-L560</x:f>
        <x:v>9155.269999999999</x:v>
      </x:c>
      <x:c r="N560" s="9" t="str">
        <x:f>IF(H560=0,"0 Current",IF(H560&lt;=30,"1 1-30",IF(H560&lt;=60,"2 31-60",IF(H560&lt;=90,"3 61-90",IF(H560&lt;=120,"4 91-120","5 121+")))))</x:f>
        <x:v>3 61-90</x:v>
      </x:c>
      <x:c r="O560" s="9" t="n">
        <x:f>IF(J560&gt;0,1,0)</x:f>
        <x:v>1</x:v>
      </x:c>
    </x:row>
    <x:row r="561">
      <x:c r="A561" s="15" t="str">
        <x:v>557</x:v>
      </x:c>
      <x:c r="B561" s="9" t="str">
        <x:v>Alex</x:v>
      </x:c>
      <x:c r="C561" s="9" t="str">
        <x:v>Personal Loan</x:v>
      </x:c>
      <x:c r="D561" s="9" t="str">
        <x:v>Midwest</x:v>
      </x:c>
      <x:c r="E561" s="9" t="n">
        <x:v>521</x:v>
      </x:c>
      <x:c r="F561" s="11" t="n">
        <x:v>46032</x:v>
      </x:c>
      <x:c r="G561" s="13" t="n">
        <x:v>18677.17</x:v>
      </x:c>
      <x:c r="H561" s="9" t="n">
        <x:v>48</x:v>
      </x:c>
      <x:c r="I561" s="9" t="n">
        <x:v>6</x:v>
      </x:c>
      <x:c r="J561" s="9" t="n">
        <x:v>4</x:v>
      </x:c>
      <x:c r="K561" s="9" t="n">
        <x:v>1</x:v>
      </x:c>
      <x:c r="L561" s="13" t="n">
        <x:f>SUMIFS('Payments'!$D$5:$D$3014,'Payments'!$B$5:$B$3014,A561)</x:f>
        <x:v>4155.55</x:v>
      </x:c>
      <x:c r="M561" s="13" t="n">
        <x:f>G561-L561</x:f>
        <x:v>14521.619999999999</x:v>
      </x:c>
      <x:c r="N561" s="9" t="str">
        <x:f>IF(H561=0,"0 Current",IF(H561&lt;=30,"1 1-30",IF(H561&lt;=60,"2 31-60",IF(H561&lt;=90,"3 61-90",IF(H561&lt;=120,"4 91-120","5 121+")))))</x:f>
        <x:v>2 31-60</x:v>
      </x:c>
      <x:c r="O561" s="9" t="n">
        <x:f>IF(J561&gt;0,1,0)</x:f>
        <x:v>1</x:v>
      </x:c>
    </x:row>
    <x:row r="562">
      <x:c r="A562" s="15" t="str">
        <x:v>558</x:v>
      </x:c>
      <x:c r="B562" s="9" t="str">
        <x:v>Morgan</x:v>
      </x:c>
      <x:c r="C562" s="9" t="str">
        <x:v>Credit Card</x:v>
      </x:c>
      <x:c r="D562" s="9" t="str">
        <x:v>West</x:v>
      </x:c>
      <x:c r="E562" s="9" t="n">
        <x:v>667</x:v>
      </x:c>
      <x:c r="F562" s="11" t="n">
        <x:v>46077</x:v>
      </x:c>
      <x:c r="G562" s="13" t="n">
        <x:v>634.12</x:v>
      </x:c>
      <x:c r="H562" s="9" t="n">
        <x:v>125</x:v>
      </x:c>
      <x:c r="I562" s="9" t="n">
        <x:v>6</x:v>
      </x:c>
      <x:c r="J562" s="9" t="n">
        <x:v>3</x:v>
      </x:c>
      <x:c r="K562" s="9" t="n">
        <x:v>0</x:v>
      </x:c>
      <x:c r="L562" s="13" t="n">
        <x:f>SUMIFS('Payments'!$D$5:$D$3014,'Payments'!$B$5:$B$3014,A562)</x:f>
        <x:v>207.74999999999997</x:v>
      </x:c>
      <x:c r="M562" s="13" t="n">
        <x:f>G562-L562</x:f>
        <x:v>426.37</x:v>
      </x:c>
      <x:c r="N562" s="9" t="str">
        <x:f>IF(H562=0,"0 Current",IF(H562&lt;=30,"1 1-30",IF(H562&lt;=60,"2 31-60",IF(H562&lt;=90,"3 61-90",IF(H562&lt;=120,"4 91-120","5 121+")))))</x:f>
        <x:v>5 121+</x:v>
      </x:c>
      <x:c r="O562" s="9" t="n">
        <x:f>IF(J562&gt;0,1,0)</x:f>
        <x:v>1</x:v>
      </x:c>
    </x:row>
    <x:row r="563">
      <x:c r="A563" s="15" t="str">
        <x:v>559</x:v>
      </x:c>
      <x:c r="B563" s="9" t="str">
        <x:v>Riley</x:v>
      </x:c>
      <x:c r="C563" s="9" t="str">
        <x:v>Personal Loan</x:v>
      </x:c>
      <x:c r="D563" s="9" t="str">
        <x:v>Northeast</x:v>
      </x:c>
      <x:c r="E563" s="9" t="n">
        <x:v>541</x:v>
      </x:c>
      <x:c r="F563" s="11" t="n">
        <x:v>46148</x:v>
      </x:c>
      <x:c r="G563" s="13" t="n">
        <x:v>16950.48</x:v>
      </x:c>
      <x:c r="H563" s="9" t="n">
        <x:v>139</x:v>
      </x:c>
      <x:c r="I563" s="9" t="n">
        <x:v>4</x:v>
      </x:c>
      <x:c r="J563" s="9" t="n">
        <x:v>2</x:v>
      </x:c>
      <x:c r="K563" s="9" t="n">
        <x:v>1</x:v>
      </x:c>
      <x:c r="L563" s="13" t="n">
        <x:f>SUMIFS('Payments'!$D$5:$D$3014,'Payments'!$B$5:$B$3014,A563)</x:f>
        <x:v>3357.3999999999996</x:v>
      </x:c>
      <x:c r="M563" s="13" t="n">
        <x:f>G563-L563</x:f>
        <x:v>13593.08</x:v>
      </x:c>
      <x:c r="N563" s="9" t="str">
        <x:f>IF(H563=0,"0 Current",IF(H563&lt;=30,"1 1-30",IF(H563&lt;=60,"2 31-60",IF(H563&lt;=90,"3 61-90",IF(H563&lt;=120,"4 91-120","5 121+")))))</x:f>
        <x:v>5 121+</x:v>
      </x:c>
      <x:c r="O563" s="9" t="n">
        <x:f>IF(J563&gt;0,1,0)</x:f>
        <x:v>1</x:v>
      </x:c>
    </x:row>
    <x:row r="564">
      <x:c r="A564" s="15" t="str">
        <x:v>560</x:v>
      </x:c>
      <x:c r="B564" s="9" t="str">
        <x:v>Taylor</x:v>
      </x:c>
      <x:c r="C564" s="9" t="str">
        <x:v>Auto</x:v>
      </x:c>
      <x:c r="D564" s="9" t="str">
        <x:v>West</x:v>
      </x:c>
      <x:c r="E564" s="9" t="n">
        <x:v>712</x:v>
      </x:c>
      <x:c r="F564" s="11" t="n">
        <x:v>46052</x:v>
      </x:c>
      <x:c r="G564" s="13" t="n">
        <x:v>15078.5</x:v>
      </x:c>
      <x:c r="H564" s="9" t="n">
        <x:v>180</x:v>
      </x:c>
      <x:c r="I564" s="9" t="n">
        <x:v>6</x:v>
      </x:c>
      <x:c r="J564" s="9" t="n">
        <x:v>0</x:v>
      </x:c>
      <x:c r="K564" s="9" t="n">
        <x:v>0</x:v>
      </x:c>
      <x:c r="L564" s="13" t="n">
        <x:f>SUMIFS('Payments'!$D$5:$D$3014,'Payments'!$B$5:$B$3014,A564)</x:f>
        <x:v>1278.09</x:v>
      </x:c>
      <x:c r="M564" s="13" t="n">
        <x:f>G564-L564</x:f>
        <x:v>13800.41</x:v>
      </x:c>
      <x:c r="N564" s="9" t="str">
        <x:f>IF(H564=0,"0 Current",IF(H564&lt;=30,"1 1-30",IF(H564&lt;=60,"2 31-60",IF(H564&lt;=90,"3 61-90",IF(H564&lt;=120,"4 91-120","5 121+")))))</x:f>
        <x:v>5 121+</x:v>
      </x:c>
      <x:c r="O564" s="9" t="n">
        <x:f>IF(J564&gt;0,1,0)</x:f>
        <x:v>0</x:v>
      </x:c>
    </x:row>
    <x:row r="565">
      <x:c r="A565" s="15" t="str">
        <x:v>561</x:v>
      </x:c>
      <x:c r="B565" s="9" t="str">
        <x:v>Jordan</x:v>
      </x:c>
      <x:c r="C565" s="9" t="str">
        <x:v>Auto</x:v>
      </x:c>
      <x:c r="D565" s="9" t="str">
        <x:v>Midwest</x:v>
      </x:c>
      <x:c r="E565" s="9" t="n">
        <x:v>714</x:v>
      </x:c>
      <x:c r="F565" s="11" t="n">
        <x:v>46089</x:v>
      </x:c>
      <x:c r="G565" s="13" t="n">
        <x:v>2791.48</x:v>
      </x:c>
      <x:c r="H565" s="9" t="n">
        <x:v>186</x:v>
      </x:c>
      <x:c r="I565" s="9" t="n">
        <x:v>0</x:v>
      </x:c>
      <x:c r="J565" s="9" t="n">
        <x:v>0</x:v>
      </x:c>
      <x:c r="K565" s="9" t="n">
        <x:v>0</x:v>
      </x:c>
      <x:c r="L565" s="13" t="n">
        <x:f>SUMIFS('Payments'!$D$5:$D$3014,'Payments'!$B$5:$B$3014,A565)</x:f>
        <x:v>232.71</x:v>
      </x:c>
      <x:c r="M565" s="13" t="n">
        <x:f>G565-L565</x:f>
        <x:v>2558.77</x:v>
      </x:c>
      <x:c r="N565" s="9" t="str">
        <x:f>IF(H565=0,"0 Current",IF(H565&lt;=30,"1 1-30",IF(H565&lt;=60,"2 31-60",IF(H565&lt;=90,"3 61-90",IF(H565&lt;=120,"4 91-120","5 121+")))))</x:f>
        <x:v>5 121+</x:v>
      </x:c>
      <x:c r="O565" s="9" t="n">
        <x:f>IF(J565&gt;0,1,0)</x:f>
        <x:v>0</x:v>
      </x:c>
    </x:row>
    <x:row r="566">
      <x:c r="A566" s="15" t="str">
        <x:v>562</x:v>
      </x:c>
      <x:c r="B566" s="9" t="str">
        <x:v>Morgan</x:v>
      </x:c>
      <x:c r="C566" s="9" t="str">
        <x:v>Medical</x:v>
      </x:c>
      <x:c r="D566" s="9" t="str">
        <x:v>Midwest</x:v>
      </x:c>
      <x:c r="E566" s="9" t="n">
        <x:v>778</x:v>
      </x:c>
      <x:c r="F566" s="11" t="n">
        <x:v>46101</x:v>
      </x:c>
      <x:c r="G566" s="13" t="n">
        <x:v>19275.22</x:v>
      </x:c>
      <x:c r="H566" s="9" t="n">
        <x:v>146</x:v>
      </x:c>
      <x:c r="I566" s="9" t="n">
        <x:v>1</x:v>
      </x:c>
      <x:c r="J566" s="9" t="n">
        <x:v>1</x:v>
      </x:c>
      <x:c r="K566" s="9" t="n">
        <x:v>0</x:v>
      </x:c>
      <x:c r="L566" s="13" t="n">
        <x:f>SUMIFS('Payments'!$D$5:$D$3014,'Payments'!$B$5:$B$3014,A566)</x:f>
        <x:v>1415.12</x:v>
      </x:c>
      <x:c r="M566" s="13" t="n">
        <x:f>G566-L566</x:f>
        <x:v>17860.100000000002</x:v>
      </x:c>
      <x:c r="N566" s="9" t="str">
        <x:f>IF(H566=0,"0 Current",IF(H566&lt;=30,"1 1-30",IF(H566&lt;=60,"2 31-60",IF(H566&lt;=90,"3 61-90",IF(H566&lt;=120,"4 91-120","5 121+")))))</x:f>
        <x:v>5 121+</x:v>
      </x:c>
      <x:c r="O566" s="9" t="n">
        <x:f>IF(J566&gt;0,1,0)</x:f>
        <x:v>1</x:v>
      </x:c>
    </x:row>
    <x:row r="567">
      <x:c r="A567" s="15" t="str">
        <x:v>563</x:v>
      </x:c>
      <x:c r="B567" s="9" t="str">
        <x:v>Alex</x:v>
      </x:c>
      <x:c r="C567" s="9" t="str">
        <x:v>Credit Card</x:v>
      </x:c>
      <x:c r="D567" s="9" t="str">
        <x:v>Midwest</x:v>
      </x:c>
      <x:c r="E567" s="9" t="n">
        <x:v>431</x:v>
      </x:c>
      <x:c r="F567" s="11" t="n">
        <x:v>46056</x:v>
      </x:c>
      <x:c r="G567" s="13" t="n">
        <x:v>23139.48</x:v>
      </x:c>
      <x:c r="H567" s="9" t="n">
        <x:v>205</x:v>
      </x:c>
      <x:c r="I567" s="9" t="n">
        <x:v>8</x:v>
      </x:c>
      <x:c r="J567" s="9" t="n">
        <x:v>3</x:v>
      </x:c>
      <x:c r="K567" s="9" t="n">
        <x:v>1</x:v>
      </x:c>
      <x:c r="L567" s="13" t="n">
        <x:f>SUMIFS('Payments'!$D$5:$D$3014,'Payments'!$B$5:$B$3014,A567)</x:f>
        <x:v>2685.07</x:v>
      </x:c>
      <x:c r="M567" s="13" t="n">
        <x:f>G567-L567</x:f>
        <x:v>20454.41</x:v>
      </x:c>
      <x:c r="N567" s="9" t="str">
        <x:f>IF(H567=0,"0 Current",IF(H567&lt;=30,"1 1-30",IF(H567&lt;=60,"2 31-60",IF(H567&lt;=90,"3 61-90",IF(H567&lt;=120,"4 91-120","5 121+")))))</x:f>
        <x:v>5 121+</x:v>
      </x:c>
      <x:c r="O567" s="9" t="n">
        <x:f>IF(J567&gt;0,1,0)</x:f>
        <x:v>1</x:v>
      </x:c>
    </x:row>
    <x:row r="568">
      <x:c r="A568" s="15" t="str">
        <x:v>564</x:v>
      </x:c>
      <x:c r="B568" s="9" t="str">
        <x:v>Alex</x:v>
      </x:c>
      <x:c r="C568" s="9" t="str">
        <x:v>Auto</x:v>
      </x:c>
      <x:c r="D568" s="9" t="str">
        <x:v>West</x:v>
      </x:c>
      <x:c r="E568" s="9" t="n">
        <x:v>560</x:v>
      </x:c>
      <x:c r="F568" s="11" t="n">
        <x:v>46028</x:v>
      </x:c>
      <x:c r="G568" s="13" t="n">
        <x:v>22585.33</x:v>
      </x:c>
      <x:c r="H568" s="9" t="n">
        <x:v>202</x:v>
      </x:c>
      <x:c r="I568" s="9" t="n">
        <x:v>3</x:v>
      </x:c>
      <x:c r="J568" s="9" t="n">
        <x:v>2</x:v>
      </x:c>
      <x:c r="K568" s="9" t="n">
        <x:v>0</x:v>
      </x:c>
      <x:c r="L568" s="13" t="n">
        <x:f>SUMIFS('Payments'!$D$5:$D$3014,'Payments'!$B$5:$B$3014,A568)</x:f>
        <x:v>1863</x:v>
      </x:c>
      <x:c r="M568" s="13" t="n">
        <x:f>G568-L568</x:f>
        <x:v>20722.33</x:v>
      </x:c>
      <x:c r="N568" s="9" t="str">
        <x:f>IF(H568=0,"0 Current",IF(H568&lt;=30,"1 1-30",IF(H568&lt;=60,"2 31-60",IF(H568&lt;=90,"3 61-90",IF(H568&lt;=120,"4 91-120","5 121+")))))</x:f>
        <x:v>5 121+</x:v>
      </x:c>
      <x:c r="O568" s="9" t="n">
        <x:f>IF(J568&gt;0,1,0)</x:f>
        <x:v>1</x:v>
      </x:c>
    </x:row>
    <x:row r="569">
      <x:c r="A569" s="15" t="str">
        <x:v>565</x:v>
      </x:c>
      <x:c r="B569" s="9" t="str">
        <x:v>Alex</x:v>
      </x:c>
      <x:c r="C569" s="9" t="str">
        <x:v>Credit Card</x:v>
      </x:c>
      <x:c r="D569" s="9" t="str">
        <x:v>Northeast</x:v>
      </x:c>
      <x:c r="E569" s="9" t="n">
        <x:v>709</x:v>
      </x:c>
      <x:c r="F569" s="11" t="n">
        <x:v>46056</x:v>
      </x:c>
      <x:c r="G569" s="13" t="n">
        <x:v>11824.56</x:v>
      </x:c>
      <x:c r="H569" s="9" t="n">
        <x:v>18</x:v>
      </x:c>
      <x:c r="I569" s="9" t="n">
        <x:v>4</x:v>
      </x:c>
      <x:c r="J569" s="9" t="n">
        <x:v>1</x:v>
      </x:c>
      <x:c r="K569" s="9" t="n">
        <x:v>1</x:v>
      </x:c>
      <x:c r="L569" s="13" t="n">
        <x:f>SUMIFS('Payments'!$D$5:$D$3014,'Payments'!$B$5:$B$3014,A569)</x:f>
        <x:v>2590.88</x:v>
      </x:c>
      <x:c r="M569" s="13" t="n">
        <x:f>G569-L569</x:f>
        <x:v>9233.68</x:v>
      </x:c>
      <x:c r="N569" s="9" t="str">
        <x:f>IF(H569=0,"0 Current",IF(H569&lt;=30,"1 1-30",IF(H569&lt;=60,"2 31-60",IF(H569&lt;=90,"3 61-90",IF(H569&lt;=120,"4 91-120","5 121+")))))</x:f>
        <x:v>1 1-30</x:v>
      </x:c>
      <x:c r="O569" s="9" t="n">
        <x:f>IF(J569&gt;0,1,0)</x:f>
        <x:v>1</x:v>
      </x:c>
    </x:row>
    <x:row r="570">
      <x:c r="A570" s="15" t="str">
        <x:v>566</x:v>
      </x:c>
      <x:c r="B570" s="9" t="str">
        <x:v>Morgan</x:v>
      </x:c>
      <x:c r="C570" s="9" t="str">
        <x:v>Personal Loan</x:v>
      </x:c>
      <x:c r="D570" s="9" t="str">
        <x:v>Northeast</x:v>
      </x:c>
      <x:c r="E570" s="9" t="n">
        <x:v>730</x:v>
      </x:c>
      <x:c r="F570" s="11" t="n">
        <x:v>46170</x:v>
      </x:c>
      <x:c r="G570" s="13" t="n">
        <x:v>20271.96</x:v>
      </x:c>
      <x:c r="H570" s="9" t="n">
        <x:v>109</x:v>
      </x:c>
      <x:c r="I570" s="9" t="n">
        <x:v>3</x:v>
      </x:c>
      <x:c r="J570" s="9" t="n">
        <x:v>0</x:v>
      </x:c>
      <x:c r="K570" s="9" t="n">
        <x:v>0</x:v>
      </x:c>
      <x:c r="L570" s="13" t="n">
        <x:f>SUMIFS('Payments'!$D$5:$D$3014,'Payments'!$B$5:$B$3014,A570)</x:f>
        <x:v>0</x:v>
      </x:c>
      <x:c r="M570" s="13" t="n">
        <x:f>G570-L570</x:f>
        <x:v>20271.96</x:v>
      </x:c>
      <x:c r="N570" s="9" t="str">
        <x:f>IF(H570=0,"0 Current",IF(H570&lt;=30,"1 1-30",IF(H570&lt;=60,"2 31-60",IF(H570&lt;=90,"3 61-90",IF(H570&lt;=120,"4 91-120","5 121+")))))</x:f>
        <x:v>4 91-120</x:v>
      </x:c>
      <x:c r="O570" s="9" t="n">
        <x:f>IF(J570&gt;0,1,0)</x:f>
        <x:v>0</x:v>
      </x:c>
    </x:row>
    <x:row r="571">
      <x:c r="A571" s="15" t="str">
        <x:v>567</x:v>
      </x:c>
      <x:c r="B571" s="9" t="str">
        <x:v>Taylor</x:v>
      </x:c>
      <x:c r="C571" s="9" t="str">
        <x:v>Auto</x:v>
      </x:c>
      <x:c r="D571" s="9" t="str">
        <x:v>West</x:v>
      </x:c>
      <x:c r="E571" s="9" t="n">
        <x:v>566</x:v>
      </x:c>
      <x:c r="F571" s="11" t="n">
        <x:v>46027</x:v>
      </x:c>
      <x:c r="G571" s="13" t="n">
        <x:v>21347.15</x:v>
      </x:c>
      <x:c r="H571" s="9" t="n">
        <x:v>95</x:v>
      </x:c>
      <x:c r="I571" s="9" t="n">
        <x:v>5</x:v>
      </x:c>
      <x:c r="J571" s="9" t="n">
        <x:v>1</x:v>
      </x:c>
      <x:c r="K571" s="9" t="n">
        <x:v>0</x:v>
      </x:c>
      <x:c r="L571" s="13" t="n">
        <x:f>SUMIFS('Payments'!$D$5:$D$3014,'Payments'!$B$5:$B$3014,A571)</x:f>
        <x:v>3129.99</x:v>
      </x:c>
      <x:c r="M571" s="13" t="n">
        <x:f>G571-L571</x:f>
        <x:v>18217.160000000003</x:v>
      </x:c>
      <x:c r="N571" s="9" t="str">
        <x:f>IF(H571=0,"0 Current",IF(H571&lt;=30,"1 1-30",IF(H571&lt;=60,"2 31-60",IF(H571&lt;=90,"3 61-90",IF(H571&lt;=120,"4 91-120","5 121+")))))</x:f>
        <x:v>4 91-120</x:v>
      </x:c>
      <x:c r="O571" s="9" t="n">
        <x:f>IF(J571&gt;0,1,0)</x:f>
        <x:v>1</x:v>
      </x:c>
    </x:row>
    <x:row r="572">
      <x:c r="A572" s="15" t="str">
        <x:v>568</x:v>
      </x:c>
      <x:c r="B572" s="9" t="str">
        <x:v>Alex</x:v>
      </x:c>
      <x:c r="C572" s="9" t="str">
        <x:v>Medical</x:v>
      </x:c>
      <x:c r="D572" s="9" t="str">
        <x:v>South</x:v>
      </x:c>
      <x:c r="E572" s="9" t="n">
        <x:v>730</x:v>
      </x:c>
      <x:c r="F572" s="11" t="n">
        <x:v>46148</x:v>
      </x:c>
      <x:c r="G572" s="13" t="n">
        <x:v>10984.46</x:v>
      </x:c>
      <x:c r="H572" s="9" t="n">
        <x:v>103</x:v>
      </x:c>
      <x:c r="I572" s="9" t="n">
        <x:v>5</x:v>
      </x:c>
      <x:c r="J572" s="9" t="n">
        <x:v>2</x:v>
      </x:c>
      <x:c r="K572" s="9" t="n">
        <x:v>0</x:v>
      </x:c>
      <x:c r="L572" s="13" t="n">
        <x:f>SUMIFS('Payments'!$D$5:$D$3014,'Payments'!$B$5:$B$3014,A572)</x:f>
        <x:v>4263.71</x:v>
      </x:c>
      <x:c r="M572" s="13" t="n">
        <x:f>G572-L572</x:f>
        <x:v>6720.749999999999</x:v>
      </x:c>
      <x:c r="N572" s="9" t="str">
        <x:f>IF(H572=0,"0 Current",IF(H572&lt;=30,"1 1-30",IF(H572&lt;=60,"2 31-60",IF(H572&lt;=90,"3 61-90",IF(H572&lt;=120,"4 91-120","5 121+")))))</x:f>
        <x:v>4 91-120</x:v>
      </x:c>
      <x:c r="O572" s="9" t="n">
        <x:f>IF(J572&gt;0,1,0)</x:f>
        <x:v>1</x:v>
      </x:c>
    </x:row>
    <x:row r="573">
      <x:c r="A573" s="15" t="str">
        <x:v>569</x:v>
      </x:c>
      <x:c r="B573" s="9" t="str">
        <x:v>Morgan</x:v>
      </x:c>
      <x:c r="C573" s="9" t="str">
        <x:v>Personal Loan</x:v>
      </x:c>
      <x:c r="D573" s="9" t="str">
        <x:v>Midwest</x:v>
      </x:c>
      <x:c r="E573" s="9" t="n">
        <x:v>532</x:v>
      </x:c>
      <x:c r="F573" s="11" t="n">
        <x:v>46148</x:v>
      </x:c>
      <x:c r="G573" s="13" t="n">
        <x:v>23383.65</x:v>
      </x:c>
      <x:c r="H573" s="9" t="n">
        <x:v>166</x:v>
      </x:c>
      <x:c r="I573" s="9" t="n">
        <x:v>7</x:v>
      </x:c>
      <x:c r="J573" s="9" t="n">
        <x:v>3</x:v>
      </x:c>
      <x:c r="K573" s="9" t="n">
        <x:v>1</x:v>
      </x:c>
      <x:c r="L573" s="13" t="n">
        <x:f>SUMIFS('Payments'!$D$5:$D$3014,'Payments'!$B$5:$B$3014,A573)</x:f>
        <x:v>1697.35</x:v>
      </x:c>
      <x:c r="M573" s="13" t="n">
        <x:f>G573-L573</x:f>
        <x:v>21686.300000000003</x:v>
      </x:c>
      <x:c r="N573" s="9" t="str">
        <x:f>IF(H573=0,"0 Current",IF(H573&lt;=30,"1 1-30",IF(H573&lt;=60,"2 31-60",IF(H573&lt;=90,"3 61-90",IF(H573&lt;=120,"4 91-120","5 121+")))))</x:f>
        <x:v>5 121+</x:v>
      </x:c>
      <x:c r="O573" s="9" t="n">
        <x:f>IF(J573&gt;0,1,0)</x:f>
        <x:v>1</x:v>
      </x:c>
    </x:row>
    <x:row r="574">
      <x:c r="A574" s="15" t="str">
        <x:v>570</x:v>
      </x:c>
      <x:c r="B574" s="9" t="str">
        <x:v>Alex</x:v>
      </x:c>
      <x:c r="C574" s="9" t="str">
        <x:v>Credit Card</x:v>
      </x:c>
      <x:c r="D574" s="9" t="str">
        <x:v>South</x:v>
      </x:c>
      <x:c r="E574" s="9" t="n">
        <x:v>737</x:v>
      </x:c>
      <x:c r="F574" s="11" t="n">
        <x:v>46073</x:v>
      </x:c>
      <x:c r="G574" s="13" t="n">
        <x:v>18854.32</x:v>
      </x:c>
      <x:c r="H574" s="9" t="n">
        <x:v>226</x:v>
      </x:c>
      <x:c r="I574" s="9" t="n">
        <x:v>6</x:v>
      </x:c>
      <x:c r="J574" s="9" t="n">
        <x:v>2</x:v>
      </x:c>
      <x:c r="K574" s="9" t="n">
        <x:v>1</x:v>
      </x:c>
      <x:c r="L574" s="13" t="n">
        <x:f>SUMIFS('Payments'!$D$5:$D$3014,'Payments'!$B$5:$B$3014,A574)</x:f>
        <x:v>3336.18</x:v>
      </x:c>
      <x:c r="M574" s="13" t="n">
        <x:f>G574-L574</x:f>
        <x:v>15518.14</x:v>
      </x:c>
      <x:c r="N574" s="9" t="str">
        <x:f>IF(H574=0,"0 Current",IF(H574&lt;=30,"1 1-30",IF(H574&lt;=60,"2 31-60",IF(H574&lt;=90,"3 61-90",IF(H574&lt;=120,"4 91-120","5 121+")))))</x:f>
        <x:v>5 121+</x:v>
      </x:c>
      <x:c r="O574" s="9" t="n">
        <x:f>IF(J574&gt;0,1,0)</x:f>
        <x:v>1</x:v>
      </x:c>
    </x:row>
    <x:row r="575">
      <x:c r="A575" s="15" t="str">
        <x:v>571</x:v>
      </x:c>
      <x:c r="B575" s="9" t="str">
        <x:v>Riley</x:v>
      </x:c>
      <x:c r="C575" s="9" t="str">
        <x:v>Personal Loan</x:v>
      </x:c>
      <x:c r="D575" s="9" t="str">
        <x:v>Midwest</x:v>
      </x:c>
      <x:c r="E575" s="9" t="n">
        <x:v>767</x:v>
      </x:c>
      <x:c r="F575" s="11" t="n">
        <x:v>46118</x:v>
      </x:c>
      <x:c r="G575" s="13" t="n">
        <x:v>22284.36</x:v>
      </x:c>
      <x:c r="H575" s="9" t="n">
        <x:v>120</x:v>
      </x:c>
      <x:c r="I575" s="9" t="n">
        <x:v>0</x:v>
      </x:c>
      <x:c r="J575" s="9" t="n">
        <x:v>0</x:v>
      </x:c>
      <x:c r="K575" s="9" t="n">
        <x:v>0</x:v>
      </x:c>
      <x:c r="L575" s="13" t="n">
        <x:f>SUMIFS('Payments'!$D$5:$D$3014,'Payments'!$B$5:$B$3014,A575)</x:f>
        <x:v>4593.05</x:v>
      </x:c>
      <x:c r="M575" s="13" t="n">
        <x:f>G575-L575</x:f>
        <x:v>17691.31</x:v>
      </x:c>
      <x:c r="N575" s="9" t="str">
        <x:f>IF(H575=0,"0 Current",IF(H575&lt;=30,"1 1-30",IF(H575&lt;=60,"2 31-60",IF(H575&lt;=90,"3 61-90",IF(H575&lt;=120,"4 91-120","5 121+")))))</x:f>
        <x:v>4 91-120</x:v>
      </x:c>
      <x:c r="O575" s="9" t="n">
        <x:f>IF(J575&gt;0,1,0)</x:f>
        <x:v>0</x:v>
      </x:c>
    </x:row>
    <x:row r="576">
      <x:c r="A576" s="15" t="str">
        <x:v>572</x:v>
      </x:c>
      <x:c r="B576" s="9" t="str">
        <x:v>Casey</x:v>
      </x:c>
      <x:c r="C576" s="9" t="str">
        <x:v>Medical</x:v>
      </x:c>
      <x:c r="D576" s="9" t="str">
        <x:v>South</x:v>
      </x:c>
      <x:c r="E576" s="9" t="n">
        <x:v>741</x:v>
      </x:c>
      <x:c r="F576" s="11" t="n">
        <x:v>46104</x:v>
      </x:c>
      <x:c r="G576" s="13" t="n">
        <x:v>17961.01</x:v>
      </x:c>
      <x:c r="H576" s="9" t="n">
        <x:v>120</x:v>
      </x:c>
      <x:c r="I576" s="9" t="n">
        <x:v>0</x:v>
      </x:c>
      <x:c r="J576" s="9" t="n">
        <x:v>0</x:v>
      </x:c>
      <x:c r="K576" s="9" t="n">
        <x:v>0</x:v>
      </x:c>
      <x:c r="L576" s="13" t="n">
        <x:f>SUMIFS('Payments'!$D$5:$D$3014,'Payments'!$B$5:$B$3014,A576)</x:f>
        <x:v>0</x:v>
      </x:c>
      <x:c r="M576" s="13" t="n">
        <x:f>G576-L576</x:f>
        <x:v>17961.01</x:v>
      </x:c>
      <x:c r="N576" s="9" t="str">
        <x:f>IF(H576=0,"0 Current",IF(H576&lt;=30,"1 1-30",IF(H576&lt;=60,"2 31-60",IF(H576&lt;=90,"3 61-90",IF(H576&lt;=120,"4 91-120","5 121+")))))</x:f>
        <x:v>4 91-120</x:v>
      </x:c>
      <x:c r="O576" s="9" t="n">
        <x:f>IF(J576&gt;0,1,0)</x:f>
        <x:v>0</x:v>
      </x:c>
    </x:row>
    <x:row r="577">
      <x:c r="A577" s="15" t="str">
        <x:v>573</x:v>
      </x:c>
      <x:c r="B577" s="9" t="str">
        <x:v>Casey</x:v>
      </x:c>
      <x:c r="C577" s="9" t="str">
        <x:v>Credit Card</x:v>
      </x:c>
      <x:c r="D577" s="9" t="str">
        <x:v>Northeast</x:v>
      </x:c>
      <x:c r="E577" s="9" t="n">
        <x:v>741</x:v>
      </x:c>
      <x:c r="F577" s="11" t="n">
        <x:v>46102</x:v>
      </x:c>
      <x:c r="G577" s="13" t="n">
        <x:v>8371.63</x:v>
      </x:c>
      <x:c r="H577" s="9" t="n">
        <x:v>137</x:v>
      </x:c>
      <x:c r="I577" s="9" t="n">
        <x:v>2</x:v>
      </x:c>
      <x:c r="J577" s="9" t="n">
        <x:v>1</x:v>
      </x:c>
      <x:c r="K577" s="9" t="n">
        <x:v>0</x:v>
      </x:c>
      <x:c r="L577" s="13" t="n">
        <x:f>SUMIFS('Payments'!$D$5:$D$3014,'Payments'!$B$5:$B$3014,A577)</x:f>
        <x:v>1158.3000000000002</x:v>
      </x:c>
      <x:c r="M577" s="13" t="n">
        <x:f>G577-L577</x:f>
        <x:v>7213.329999999999</x:v>
      </x:c>
      <x:c r="N577" s="9" t="str">
        <x:f>IF(H577=0,"0 Current",IF(H577&lt;=30,"1 1-30",IF(H577&lt;=60,"2 31-60",IF(H577&lt;=90,"3 61-90",IF(H577&lt;=120,"4 91-120","5 121+")))))</x:f>
        <x:v>5 121+</x:v>
      </x:c>
      <x:c r="O577" s="9" t="n">
        <x:f>IF(J577&gt;0,1,0)</x:f>
        <x:v>1</x:v>
      </x:c>
    </x:row>
    <x:row r="578">
      <x:c r="A578" s="15" t="str">
        <x:v>574</x:v>
      </x:c>
      <x:c r="B578" s="9" t="str">
        <x:v>Casey</x:v>
      </x:c>
      <x:c r="C578" s="9" t="str">
        <x:v>Personal Loan</x:v>
      </x:c>
      <x:c r="D578" s="9" t="str">
        <x:v>Northeast</x:v>
      </x:c>
      <x:c r="E578" s="9" t="n">
        <x:v>578</x:v>
      </x:c>
      <x:c r="F578" s="11" t="n">
        <x:v>46111</x:v>
      </x:c>
      <x:c r="G578" s="13" t="n">
        <x:v>1092.63</x:v>
      </x:c>
      <x:c r="H578" s="9" t="n">
        <x:v>72</x:v>
      </x:c>
      <x:c r="I578" s="9" t="n">
        <x:v>4</x:v>
      </x:c>
      <x:c r="J578" s="9" t="n">
        <x:v>0</x:v>
      </x:c>
      <x:c r="K578" s="9" t="n">
        <x:v>0</x:v>
      </x:c>
      <x:c r="L578" s="13" t="n">
        <x:f>SUMIFS('Payments'!$D$5:$D$3014,'Payments'!$B$5:$B$3014,A578)</x:f>
        <x:v>311.58000000000004</x:v>
      </x:c>
      <x:c r="M578" s="13" t="n">
        <x:f>G578-L578</x:f>
        <x:v>781.0500000000001</x:v>
      </x:c>
      <x:c r="N578" s="9" t="str">
        <x:f>IF(H578=0,"0 Current",IF(H578&lt;=30,"1 1-30",IF(H578&lt;=60,"2 31-60",IF(H578&lt;=90,"3 61-90",IF(H578&lt;=120,"4 91-120","5 121+")))))</x:f>
        <x:v>3 61-90</x:v>
      </x:c>
      <x:c r="O578" s="9" t="n">
        <x:f>IF(J578&gt;0,1,0)</x:f>
        <x:v>0</x:v>
      </x:c>
    </x:row>
    <x:row r="579">
      <x:c r="A579" s="15" t="str">
        <x:v>575</x:v>
      </x:c>
      <x:c r="B579" s="9" t="str">
        <x:v>Alex</x:v>
      </x:c>
      <x:c r="C579" s="9" t="str">
        <x:v>Medical</x:v>
      </x:c>
      <x:c r="D579" s="9" t="str">
        <x:v>West</x:v>
      </x:c>
      <x:c r="E579" s="9" t="n">
        <x:v>437</x:v>
      </x:c>
      <x:c r="F579" s="11" t="n">
        <x:v>46090</x:v>
      </x:c>
      <x:c r="G579" s="13" t="n">
        <x:v>24141.6</x:v>
      </x:c>
      <x:c r="H579" s="9" t="n">
        <x:v>204</x:v>
      </x:c>
      <x:c r="I579" s="9" t="n">
        <x:v>3</x:v>
      </x:c>
      <x:c r="J579" s="9" t="n">
        <x:v>1</x:v>
      </x:c>
      <x:c r="K579" s="9" t="n">
        <x:v>0</x:v>
      </x:c>
      <x:c r="L579" s="13" t="n">
        <x:f>SUMIFS('Payments'!$D$5:$D$3014,'Payments'!$B$5:$B$3014,A579)</x:f>
        <x:v>6864.59</x:v>
      </x:c>
      <x:c r="M579" s="13" t="n">
        <x:f>G579-L579</x:f>
        <x:v>17277.01</x:v>
      </x:c>
      <x:c r="N579" s="9" t="str">
        <x:f>IF(H579=0,"0 Current",IF(H579&lt;=30,"1 1-30",IF(H579&lt;=60,"2 31-60",IF(H579&lt;=90,"3 61-90",IF(H579&lt;=120,"4 91-120","5 121+")))))</x:f>
        <x:v>5 121+</x:v>
      </x:c>
      <x:c r="O579" s="9" t="n">
        <x:f>IF(J579&gt;0,1,0)</x:f>
        <x:v>1</x:v>
      </x:c>
    </x:row>
    <x:row r="580">
      <x:c r="A580" s="15" t="str">
        <x:v>576</x:v>
      </x:c>
      <x:c r="B580" s="9" t="str">
        <x:v>Alex</x:v>
      </x:c>
      <x:c r="C580" s="9" t="str">
        <x:v>Credit Card</x:v>
      </x:c>
      <x:c r="D580" s="9" t="str">
        <x:v>Midwest</x:v>
      </x:c>
      <x:c r="E580" s="9" t="n">
        <x:v>794</x:v>
      </x:c>
      <x:c r="F580" s="11" t="n">
        <x:v>46023</x:v>
      </x:c>
      <x:c r="G580" s="13" t="n">
        <x:v>14061.77</x:v>
      </x:c>
      <x:c r="H580" s="9" t="n">
        <x:v>35</x:v>
      </x:c>
      <x:c r="I580" s="9" t="n">
        <x:v>3</x:v>
      </x:c>
      <x:c r="J580" s="9" t="n">
        <x:v>1</x:v>
      </x:c>
      <x:c r="K580" s="9" t="n">
        <x:v>0</x:v>
      </x:c>
      <x:c r="L580" s="13" t="n">
        <x:f>SUMIFS('Payments'!$D$5:$D$3014,'Payments'!$B$5:$B$3014,A580)</x:f>
        <x:v>5104.59</x:v>
      </x:c>
      <x:c r="M580" s="13" t="n">
        <x:f>G580-L580</x:f>
        <x:v>8957.18</x:v>
      </x:c>
      <x:c r="N580" s="9" t="str">
        <x:f>IF(H580=0,"0 Current",IF(H580&lt;=30,"1 1-30",IF(H580&lt;=60,"2 31-60",IF(H580&lt;=90,"3 61-90",IF(H580&lt;=120,"4 91-120","5 121+")))))</x:f>
        <x:v>2 31-60</x:v>
      </x:c>
      <x:c r="O580" s="9" t="n">
        <x:f>IF(J580&gt;0,1,0)</x:f>
        <x:v>1</x:v>
      </x:c>
    </x:row>
    <x:row r="581">
      <x:c r="A581" s="15" t="str">
        <x:v>577</x:v>
      </x:c>
      <x:c r="B581" s="9" t="str">
        <x:v>Riley</x:v>
      </x:c>
      <x:c r="C581" s="9" t="str">
        <x:v>Credit Card</x:v>
      </x:c>
      <x:c r="D581" s="9" t="str">
        <x:v>South</x:v>
      </x:c>
      <x:c r="E581" s="9" t="n">
        <x:v>466</x:v>
      </x:c>
      <x:c r="F581" s="11" t="n">
        <x:v>46156</x:v>
      </x:c>
      <x:c r="G581" s="13" t="n">
        <x:v>13794.76</x:v>
      </x:c>
      <x:c r="H581" s="9" t="n">
        <x:v>226</x:v>
      </x:c>
      <x:c r="I581" s="9" t="n">
        <x:v>7</x:v>
      </x:c>
      <x:c r="J581" s="9" t="n">
        <x:v>3</x:v>
      </x:c>
      <x:c r="K581" s="9" t="n">
        <x:v>0</x:v>
      </x:c>
      <x:c r="L581" s="13" t="n">
        <x:f>SUMIFS('Payments'!$D$5:$D$3014,'Payments'!$B$5:$B$3014,A581)</x:f>
        <x:v>4105.9400000000005</x:v>
      </x:c>
      <x:c r="M581" s="13" t="n">
        <x:f>G581-L581</x:f>
        <x:v>9688.82</x:v>
      </x:c>
      <x:c r="N581" s="9" t="str">
        <x:f>IF(H581=0,"0 Current",IF(H581&lt;=30,"1 1-30",IF(H581&lt;=60,"2 31-60",IF(H581&lt;=90,"3 61-90",IF(H581&lt;=120,"4 91-120","5 121+")))))</x:f>
        <x:v>5 121+</x:v>
      </x:c>
      <x:c r="O581" s="9" t="n">
        <x:f>IF(J581&gt;0,1,0)</x:f>
        <x:v>1</x:v>
      </x:c>
    </x:row>
    <x:row r="582">
      <x:c r="A582" s="15" t="str">
        <x:v>578</x:v>
      </x:c>
      <x:c r="B582" s="9" t="str">
        <x:v>Morgan</x:v>
      </x:c>
      <x:c r="C582" s="9" t="str">
        <x:v>Personal Loan</x:v>
      </x:c>
      <x:c r="D582" s="9" t="str">
        <x:v>Midwest</x:v>
      </x:c>
      <x:c r="E582" s="9" t="n">
        <x:v>587</x:v>
      </x:c>
      <x:c r="F582" s="11" t="n">
        <x:v>46166</x:v>
      </x:c>
      <x:c r="G582" s="13" t="n">
        <x:v>8510.45</x:v>
      </x:c>
      <x:c r="H582" s="9" t="n">
        <x:v>45</x:v>
      </x:c>
      <x:c r="I582" s="9" t="n">
        <x:v>3</x:v>
      </x:c>
      <x:c r="J582" s="9" t="n">
        <x:v>0</x:v>
      </x:c>
      <x:c r="K582" s="9" t="n">
        <x:v>0</x:v>
      </x:c>
      <x:c r="L582" s="13" t="n">
        <x:f>SUMIFS('Payments'!$D$5:$D$3014,'Payments'!$B$5:$B$3014,A582)</x:f>
        <x:v>0</x:v>
      </x:c>
      <x:c r="M582" s="13" t="n">
        <x:f>G582-L582</x:f>
        <x:v>8510.45</x:v>
      </x:c>
      <x:c r="N582" s="9" t="str">
        <x:f>IF(H582=0,"0 Current",IF(H582&lt;=30,"1 1-30",IF(H582&lt;=60,"2 31-60",IF(H582&lt;=90,"3 61-90",IF(H582&lt;=120,"4 91-120","5 121+")))))</x:f>
        <x:v>2 31-60</x:v>
      </x:c>
      <x:c r="O582" s="9" t="n">
        <x:f>IF(J582&gt;0,1,0)</x:f>
        <x:v>0</x:v>
      </x:c>
    </x:row>
    <x:row r="583">
      <x:c r="A583" s="15" t="str">
        <x:v>579</x:v>
      </x:c>
      <x:c r="B583" s="9" t="str">
        <x:v>Riley</x:v>
      </x:c>
      <x:c r="C583" s="9" t="str">
        <x:v>Credit Card</x:v>
      </x:c>
      <x:c r="D583" s="9" t="str">
        <x:v>West</x:v>
      </x:c>
      <x:c r="E583" s="9" t="n">
        <x:v>509</x:v>
      </x:c>
      <x:c r="F583" s="11" t="n">
        <x:v>46117</x:v>
      </x:c>
      <x:c r="G583" s="13" t="n">
        <x:v>11143.47</x:v>
      </x:c>
      <x:c r="H583" s="9" t="n">
        <x:v>155</x:v>
      </x:c>
      <x:c r="I583" s="9" t="n">
        <x:v>7</x:v>
      </x:c>
      <x:c r="J583" s="9" t="n">
        <x:v>3</x:v>
      </x:c>
      <x:c r="K583" s="9" t="n">
        <x:v>1</x:v>
      </x:c>
      <x:c r="L583" s="13" t="n">
        <x:f>SUMIFS('Payments'!$D$5:$D$3014,'Payments'!$B$5:$B$3014,A583)</x:f>
        <x:v>828.65</x:v>
      </x:c>
      <x:c r="M583" s="13" t="n">
        <x:f>G583-L583</x:f>
        <x:v>10314.82</x:v>
      </x:c>
      <x:c r="N583" s="9" t="str">
        <x:f>IF(H583=0,"0 Current",IF(H583&lt;=30,"1 1-30",IF(H583&lt;=60,"2 31-60",IF(H583&lt;=90,"3 61-90",IF(H583&lt;=120,"4 91-120","5 121+")))))</x:f>
        <x:v>5 121+</x:v>
      </x:c>
      <x:c r="O583" s="9" t="n">
        <x:f>IF(J583&gt;0,1,0)</x:f>
        <x:v>1</x:v>
      </x:c>
    </x:row>
    <x:row r="584">
      <x:c r="A584" s="15" t="str">
        <x:v>580</x:v>
      </x:c>
      <x:c r="B584" s="9" t="str">
        <x:v>Alex</x:v>
      </x:c>
      <x:c r="C584" s="9" t="str">
        <x:v>Personal Loan</x:v>
      </x:c>
      <x:c r="D584" s="9" t="str">
        <x:v>South</x:v>
      </x:c>
      <x:c r="E584" s="9" t="n">
        <x:v>487</x:v>
      </x:c>
      <x:c r="F584" s="11" t="n">
        <x:v>46162</x:v>
      </x:c>
      <x:c r="G584" s="13" t="n">
        <x:v>4857.34</x:v>
      </x:c>
      <x:c r="H584" s="9" t="n">
        <x:v>7</x:v>
      </x:c>
      <x:c r="I584" s="9" t="n">
        <x:v>1</x:v>
      </x:c>
      <x:c r="J584" s="9" t="n">
        <x:v>0</x:v>
      </x:c>
      <x:c r="K584" s="9" t="n">
        <x:v>0</x:v>
      </x:c>
      <x:c r="L584" s="13" t="n">
        <x:f>SUMIFS('Payments'!$D$5:$D$3014,'Payments'!$B$5:$B$3014,A584)</x:f>
        <x:v>1713.53</x:v>
      </x:c>
      <x:c r="M584" s="13" t="n">
        <x:f>G584-L584</x:f>
        <x:v>3143.8100000000004</x:v>
      </x:c>
      <x:c r="N584" s="9" t="str">
        <x:f>IF(H584=0,"0 Current",IF(H584&lt;=30,"1 1-30",IF(H584&lt;=60,"2 31-60",IF(H584&lt;=90,"3 61-90",IF(H584&lt;=120,"4 91-120","5 121+")))))</x:f>
        <x:v>1 1-30</x:v>
      </x:c>
      <x:c r="O584" s="9" t="n">
        <x:f>IF(J584&gt;0,1,0)</x:f>
        <x:v>0</x:v>
      </x:c>
    </x:row>
    <x:row r="585">
      <x:c r="A585" s="15" t="str">
        <x:v>581</x:v>
      </x:c>
      <x:c r="B585" s="9" t="str">
        <x:v>Alex</x:v>
      </x:c>
      <x:c r="C585" s="9" t="str">
        <x:v>Personal Loan</x:v>
      </x:c>
      <x:c r="D585" s="9" t="str">
        <x:v>Midwest</x:v>
      </x:c>
      <x:c r="E585" s="9" t="n">
        <x:v>691</x:v>
      </x:c>
      <x:c r="F585" s="11" t="n">
        <x:v>46038</x:v>
      </x:c>
      <x:c r="G585" s="13" t="n">
        <x:v>13680.03</x:v>
      </x:c>
      <x:c r="H585" s="9" t="n">
        <x:v>218</x:v>
      </x:c>
      <x:c r="I585" s="9" t="n">
        <x:v>5</x:v>
      </x:c>
      <x:c r="J585" s="9" t="n">
        <x:v>3</x:v>
      </x:c>
      <x:c r="K585" s="9" t="n">
        <x:v>1</x:v>
      </x:c>
      <x:c r="L585" s="13" t="n">
        <x:f>SUMIFS('Payments'!$D$5:$D$3014,'Payments'!$B$5:$B$3014,A585)</x:f>
        <x:v>1619.57</x:v>
      </x:c>
      <x:c r="M585" s="13" t="n">
        <x:f>G585-L585</x:f>
        <x:v>12060.460000000001</x:v>
      </x:c>
      <x:c r="N585" s="9" t="str">
        <x:f>IF(H585=0,"0 Current",IF(H585&lt;=30,"1 1-30",IF(H585&lt;=60,"2 31-60",IF(H585&lt;=90,"3 61-90",IF(H585&lt;=120,"4 91-120","5 121+")))))</x:f>
        <x:v>5 121+</x:v>
      </x:c>
      <x:c r="O585" s="9" t="n">
        <x:f>IF(J585&gt;0,1,0)</x:f>
        <x:v>1</x:v>
      </x:c>
    </x:row>
    <x:row r="586">
      <x:c r="A586" s="15" t="str">
        <x:v>582</x:v>
      </x:c>
      <x:c r="B586" s="9" t="str">
        <x:v>Casey</x:v>
      </x:c>
      <x:c r="C586" s="9" t="str">
        <x:v>Medical</x:v>
      </x:c>
      <x:c r="D586" s="9" t="str">
        <x:v>Midwest</x:v>
      </x:c>
      <x:c r="E586" s="9" t="n">
        <x:v>504</x:v>
      </x:c>
      <x:c r="F586" s="11" t="n">
        <x:v>46038</x:v>
      </x:c>
      <x:c r="G586" s="13" t="n">
        <x:v>3224.4</x:v>
      </x:c>
      <x:c r="H586" s="9" t="n">
        <x:v>186</x:v>
      </x:c>
      <x:c r="I586" s="9" t="n">
        <x:v>4</x:v>
      </x:c>
      <x:c r="J586" s="9" t="n">
        <x:v>1</x:v>
      </x:c>
      <x:c r="K586" s="9" t="n">
        <x:v>0</x:v>
      </x:c>
      <x:c r="L586" s="13" t="n">
        <x:f>SUMIFS('Payments'!$D$5:$D$3014,'Payments'!$B$5:$B$3014,A586)</x:f>
        <x:v>365.59999999999997</x:v>
      </x:c>
      <x:c r="M586" s="13" t="n">
        <x:f>G586-L586</x:f>
        <x:v>2858.8</x:v>
      </x:c>
      <x:c r="N586" s="9" t="str">
        <x:f>IF(H586=0,"0 Current",IF(H586&lt;=30,"1 1-30",IF(H586&lt;=60,"2 31-60",IF(H586&lt;=90,"3 61-90",IF(H586&lt;=120,"4 91-120","5 121+")))))</x:f>
        <x:v>5 121+</x:v>
      </x:c>
      <x:c r="O586" s="9" t="n">
        <x:f>IF(J586&gt;0,1,0)</x:f>
        <x:v>1</x:v>
      </x:c>
    </x:row>
    <x:row r="587">
      <x:c r="A587" s="15" t="str">
        <x:v>583</x:v>
      </x:c>
      <x:c r="B587" s="9" t="str">
        <x:v>Alex</x:v>
      </x:c>
      <x:c r="C587" s="9" t="str">
        <x:v>Personal Loan</x:v>
      </x:c>
      <x:c r="D587" s="9" t="str">
        <x:v>Midwest</x:v>
      </x:c>
      <x:c r="E587" s="9" t="n">
        <x:v>666</x:v>
      </x:c>
      <x:c r="F587" s="11" t="n">
        <x:v>46166</x:v>
      </x:c>
      <x:c r="G587" s="13" t="n">
        <x:v>15208.78</x:v>
      </x:c>
      <x:c r="H587" s="9" t="n">
        <x:v>119</x:v>
      </x:c>
      <x:c r="I587" s="9" t="n">
        <x:v>1</x:v>
      </x:c>
      <x:c r="J587" s="9" t="n">
        <x:v>0</x:v>
      </x:c>
      <x:c r="K587" s="9" t="n">
        <x:v>0</x:v>
      </x:c>
      <x:c r="L587" s="13" t="n">
        <x:f>SUMIFS('Payments'!$D$5:$D$3014,'Payments'!$B$5:$B$3014,A587)</x:f>
        <x:v>3818.0200000000004</x:v>
      </x:c>
      <x:c r="M587" s="13" t="n">
        <x:f>G587-L587</x:f>
        <x:v>11390.76</x:v>
      </x:c>
      <x:c r="N587" s="9" t="str">
        <x:f>IF(H587=0,"0 Current",IF(H587&lt;=30,"1 1-30",IF(H587&lt;=60,"2 31-60",IF(H587&lt;=90,"3 61-90",IF(H587&lt;=120,"4 91-120","5 121+")))))</x:f>
        <x:v>4 91-120</x:v>
      </x:c>
      <x:c r="O587" s="9" t="n">
        <x:f>IF(J587&gt;0,1,0)</x:f>
        <x:v>0</x:v>
      </x:c>
    </x:row>
    <x:row r="588">
      <x:c r="A588" s="15" t="str">
        <x:v>584</x:v>
      </x:c>
      <x:c r="B588" s="9" t="str">
        <x:v>Alex</x:v>
      </x:c>
      <x:c r="C588" s="9" t="str">
        <x:v>Medical</x:v>
      </x:c>
      <x:c r="D588" s="9" t="str">
        <x:v>Midwest</x:v>
      </x:c>
      <x:c r="E588" s="9" t="n">
        <x:v>802</x:v>
      </x:c>
      <x:c r="F588" s="11" t="n">
        <x:v>46028</x:v>
      </x:c>
      <x:c r="G588" s="13" t="n">
        <x:v>7602.45</x:v>
      </x:c>
      <x:c r="H588" s="9" t="n">
        <x:v>163</x:v>
      </x:c>
      <x:c r="I588" s="9" t="n">
        <x:v>3</x:v>
      </x:c>
      <x:c r="J588" s="9" t="n">
        <x:v>1</x:v>
      </x:c>
      <x:c r="K588" s="9" t="n">
        <x:v>0</x:v>
      </x:c>
      <x:c r="L588" s="13" t="n">
        <x:f>SUMIFS('Payments'!$D$5:$D$3014,'Payments'!$B$5:$B$3014,A588)</x:f>
        <x:v>946.77</x:v>
      </x:c>
      <x:c r="M588" s="13" t="n">
        <x:f>G588-L588</x:f>
        <x:v>6655.68</x:v>
      </x:c>
      <x:c r="N588" s="9" t="str">
        <x:f>IF(H588=0,"0 Current",IF(H588&lt;=30,"1 1-30",IF(H588&lt;=60,"2 31-60",IF(H588&lt;=90,"3 61-90",IF(H588&lt;=120,"4 91-120","5 121+")))))</x:f>
        <x:v>5 121+</x:v>
      </x:c>
      <x:c r="O588" s="9" t="n">
        <x:f>IF(J588&gt;0,1,0)</x:f>
        <x:v>1</x:v>
      </x:c>
    </x:row>
    <x:row r="589">
      <x:c r="A589" s="15" t="str">
        <x:v>585</x:v>
      </x:c>
      <x:c r="B589" s="9" t="str">
        <x:v>Morgan</x:v>
      </x:c>
      <x:c r="C589" s="9" t="str">
        <x:v>Medical</x:v>
      </x:c>
      <x:c r="D589" s="9" t="str">
        <x:v>Midwest</x:v>
      </x:c>
      <x:c r="E589" s="9" t="n">
        <x:v>478</x:v>
      </x:c>
      <x:c r="F589" s="11" t="n">
        <x:v>46167</x:v>
      </x:c>
      <x:c r="G589" s="13" t="n">
        <x:v>13734.74</x:v>
      </x:c>
      <x:c r="H589" s="9" t="n">
        <x:v>213</x:v>
      </x:c>
      <x:c r="I589" s="9" t="n">
        <x:v>2</x:v>
      </x:c>
      <x:c r="J589" s="9" t="n">
        <x:v>0</x:v>
      </x:c>
      <x:c r="K589" s="9" t="n">
        <x:v>0</x:v>
      </x:c>
      <x:c r="L589" s="13" t="n">
        <x:f>SUMIFS('Payments'!$D$5:$D$3014,'Payments'!$B$5:$B$3014,A589)</x:f>
        <x:v>725.12</x:v>
      </x:c>
      <x:c r="M589" s="13" t="n">
        <x:f>G589-L589</x:f>
        <x:v>13009.619999999999</x:v>
      </x:c>
      <x:c r="N589" s="9" t="str">
        <x:f>IF(H589=0,"0 Current",IF(H589&lt;=30,"1 1-30",IF(H589&lt;=60,"2 31-60",IF(H589&lt;=90,"3 61-90",IF(H589&lt;=120,"4 91-120","5 121+")))))</x:f>
        <x:v>5 121+</x:v>
      </x:c>
      <x:c r="O589" s="9" t="n">
        <x:f>IF(J589&gt;0,1,0)</x:f>
        <x:v>0</x:v>
      </x:c>
    </x:row>
    <x:row r="590">
      <x:c r="A590" s="15" t="str">
        <x:v>586</x:v>
      </x:c>
      <x:c r="B590" s="9" t="str">
        <x:v>Riley</x:v>
      </x:c>
      <x:c r="C590" s="9" t="str">
        <x:v>Personal Loan</x:v>
      </x:c>
      <x:c r="D590" s="9" t="str">
        <x:v>West</x:v>
      </x:c>
      <x:c r="E590" s="9" t="n">
        <x:v>458</x:v>
      </x:c>
      <x:c r="F590" s="11" t="n">
        <x:v>46148</x:v>
      </x:c>
      <x:c r="G590" s="13" t="n">
        <x:v>15396.2</x:v>
      </x:c>
      <x:c r="H590" s="9" t="n">
        <x:v>89</x:v>
      </x:c>
      <x:c r="I590" s="9" t="n">
        <x:v>2</x:v>
      </x:c>
      <x:c r="J590" s="9" t="n">
        <x:v>0</x:v>
      </x:c>
      <x:c r="K590" s="9" t="n">
        <x:v>0</x:v>
      </x:c>
      <x:c r="L590" s="13" t="n">
        <x:f>SUMIFS('Payments'!$D$5:$D$3014,'Payments'!$B$5:$B$3014,A590)</x:f>
        <x:v>4853.98</x:v>
      </x:c>
      <x:c r="M590" s="13" t="n">
        <x:f>G590-L590</x:f>
        <x:v>10542.220000000001</x:v>
      </x:c>
      <x:c r="N590" s="9" t="str">
        <x:f>IF(H590=0,"0 Current",IF(H590&lt;=30,"1 1-30",IF(H590&lt;=60,"2 31-60",IF(H590&lt;=90,"3 61-90",IF(H590&lt;=120,"4 91-120","5 121+")))))</x:f>
        <x:v>3 61-90</x:v>
      </x:c>
      <x:c r="O590" s="9" t="n">
        <x:f>IF(J590&gt;0,1,0)</x:f>
        <x:v>0</x:v>
      </x:c>
    </x:row>
    <x:row r="591">
      <x:c r="A591" s="15" t="str">
        <x:v>587</x:v>
      </x:c>
      <x:c r="B591" s="9" t="str">
        <x:v>Jordan</x:v>
      </x:c>
      <x:c r="C591" s="9" t="str">
        <x:v>Personal Loan</x:v>
      </x:c>
      <x:c r="D591" s="9" t="str">
        <x:v>South</x:v>
      </x:c>
      <x:c r="E591" s="9" t="n">
        <x:v>806</x:v>
      </x:c>
      <x:c r="F591" s="11" t="n">
        <x:v>46096</x:v>
      </x:c>
      <x:c r="G591" s="13" t="n">
        <x:v>9200.95</x:v>
      </x:c>
      <x:c r="H591" s="9" t="n">
        <x:v>23</x:v>
      </x:c>
      <x:c r="I591" s="9" t="n">
        <x:v>8</x:v>
      </x:c>
      <x:c r="J591" s="9" t="n">
        <x:v>3</x:v>
      </x:c>
      <x:c r="K591" s="9" t="n">
        <x:v>1</x:v>
      </x:c>
      <x:c r="L591" s="13" t="n">
        <x:f>SUMIFS('Payments'!$D$5:$D$3014,'Payments'!$B$5:$B$3014,A591)</x:f>
        <x:v>2046.3700000000001</x:v>
      </x:c>
      <x:c r="M591" s="13" t="n">
        <x:f>G591-L591</x:f>
        <x:v>7154.580000000001</x:v>
      </x:c>
      <x:c r="N591" s="9" t="str">
        <x:f>IF(H591=0,"0 Current",IF(H591&lt;=30,"1 1-30",IF(H591&lt;=60,"2 31-60",IF(H591&lt;=90,"3 61-90",IF(H591&lt;=120,"4 91-120","5 121+")))))</x:f>
        <x:v>1 1-30</x:v>
      </x:c>
      <x:c r="O591" s="9" t="n">
        <x:f>IF(J591&gt;0,1,0)</x:f>
        <x:v>1</x:v>
      </x:c>
    </x:row>
    <x:row r="592">
      <x:c r="A592" s="15" t="str">
        <x:v>588</x:v>
      </x:c>
      <x:c r="B592" s="9" t="str">
        <x:v>Jordan</x:v>
      </x:c>
      <x:c r="C592" s="9" t="str">
        <x:v>Credit Card</x:v>
      </x:c>
      <x:c r="D592" s="9" t="str">
        <x:v>South</x:v>
      </x:c>
      <x:c r="E592" s="9" t="n">
        <x:v>766</x:v>
      </x:c>
      <x:c r="F592" s="11" t="n">
        <x:v>46144</x:v>
      </x:c>
      <x:c r="G592" s="13" t="n">
        <x:v>14538.85</x:v>
      </x:c>
      <x:c r="H592" s="9" t="n">
        <x:v>47</x:v>
      </x:c>
      <x:c r="I592" s="9" t="n">
        <x:v>2</x:v>
      </x:c>
      <x:c r="J592" s="9" t="n">
        <x:v>1</x:v>
      </x:c>
      <x:c r="K592" s="9" t="n">
        <x:v>0</x:v>
      </x:c>
      <x:c r="L592" s="13" t="n">
        <x:f>SUMIFS('Payments'!$D$5:$D$3014,'Payments'!$B$5:$B$3014,A592)</x:f>
        <x:v>2046.67</x:v>
      </x:c>
      <x:c r="M592" s="13" t="n">
        <x:f>G592-L592</x:f>
        <x:v>12492.18</x:v>
      </x:c>
      <x:c r="N592" s="9" t="str">
        <x:f>IF(H592=0,"0 Current",IF(H592&lt;=30,"1 1-30",IF(H592&lt;=60,"2 31-60",IF(H592&lt;=90,"3 61-90",IF(H592&lt;=120,"4 91-120","5 121+")))))</x:f>
        <x:v>2 31-60</x:v>
      </x:c>
      <x:c r="O592" s="9" t="n">
        <x:f>IF(J592&gt;0,1,0)</x:f>
        <x:v>1</x:v>
      </x:c>
    </x:row>
    <x:row r="593">
      <x:c r="A593" s="15" t="str">
        <x:v>589</x:v>
      </x:c>
      <x:c r="B593" s="9" t="str">
        <x:v>Taylor</x:v>
      </x:c>
      <x:c r="C593" s="9" t="str">
        <x:v>Auto</x:v>
      </x:c>
      <x:c r="D593" s="9" t="str">
        <x:v>West</x:v>
      </x:c>
      <x:c r="E593" s="9" t="n">
        <x:v>705</x:v>
      </x:c>
      <x:c r="F593" s="11" t="n">
        <x:v>46170</x:v>
      </x:c>
      <x:c r="G593" s="13" t="n">
        <x:v>18743.9</x:v>
      </x:c>
      <x:c r="H593" s="9" t="n">
        <x:v>121</x:v>
      </x:c>
      <x:c r="I593" s="9" t="n">
        <x:v>5</x:v>
      </x:c>
      <x:c r="J593" s="9" t="n">
        <x:v>3</x:v>
      </x:c>
      <x:c r="K593" s="9" t="n">
        <x:v>0</x:v>
      </x:c>
      <x:c r="L593" s="13" t="n">
        <x:f>SUMIFS('Payments'!$D$5:$D$3014,'Payments'!$B$5:$B$3014,A593)</x:f>
        <x:v>672.1</x:v>
      </x:c>
      <x:c r="M593" s="13" t="n">
        <x:f>G593-L593</x:f>
        <x:v>18071.800000000003</x:v>
      </x:c>
      <x:c r="N593" s="9" t="str">
        <x:f>IF(H593=0,"0 Current",IF(H593&lt;=30,"1 1-30",IF(H593&lt;=60,"2 31-60",IF(H593&lt;=90,"3 61-90",IF(H593&lt;=120,"4 91-120","5 121+")))))</x:f>
        <x:v>5 121+</x:v>
      </x:c>
      <x:c r="O593" s="9" t="n">
        <x:f>IF(J593&gt;0,1,0)</x:f>
        <x:v>1</x:v>
      </x:c>
    </x:row>
    <x:row r="594">
      <x:c r="A594" s="15" t="str">
        <x:v>590</x:v>
      </x:c>
      <x:c r="B594" s="9" t="str">
        <x:v>Riley</x:v>
      </x:c>
      <x:c r="C594" s="9" t="str">
        <x:v>Credit Card</x:v>
      </x:c>
      <x:c r="D594" s="9" t="str">
        <x:v>Midwest</x:v>
      </x:c>
      <x:c r="E594" s="9" t="n">
        <x:v>466</x:v>
      </x:c>
      <x:c r="F594" s="11" t="n">
        <x:v>46170</x:v>
      </x:c>
      <x:c r="G594" s="13" t="n">
        <x:v>17308.67</x:v>
      </x:c>
      <x:c r="H594" s="9" t="n">
        <x:v>41</x:v>
      </x:c>
      <x:c r="I594" s="9" t="n">
        <x:v>0</x:v>
      </x:c>
      <x:c r="J594" s="9" t="n">
        <x:v>0</x:v>
      </x:c>
      <x:c r="K594" s="9" t="n">
        <x:v>0</x:v>
      </x:c>
      <x:c r="L594" s="13" t="n">
        <x:f>SUMIFS('Payments'!$D$5:$D$3014,'Payments'!$B$5:$B$3014,A594)</x:f>
        <x:v>2901.51</x:v>
      </x:c>
      <x:c r="M594" s="13" t="n">
        <x:f>G594-L594</x:f>
        <x:v>14407.159999999998</x:v>
      </x:c>
      <x:c r="N594" s="9" t="str">
        <x:f>IF(H594=0,"0 Current",IF(H594&lt;=30,"1 1-30",IF(H594&lt;=60,"2 31-60",IF(H594&lt;=90,"3 61-90",IF(H594&lt;=120,"4 91-120","5 121+")))))</x:f>
        <x:v>2 31-60</x:v>
      </x:c>
      <x:c r="O594" s="9" t="n">
        <x:f>IF(J594&gt;0,1,0)</x:f>
        <x:v>0</x:v>
      </x:c>
    </x:row>
    <x:row r="595">
      <x:c r="A595" s="15" t="str">
        <x:v>591</x:v>
      </x:c>
      <x:c r="B595" s="9" t="str">
        <x:v>Casey</x:v>
      </x:c>
      <x:c r="C595" s="9" t="str">
        <x:v>Personal Loan</x:v>
      </x:c>
      <x:c r="D595" s="9" t="str">
        <x:v>West</x:v>
      </x:c>
      <x:c r="E595" s="9" t="n">
        <x:v>427</x:v>
      </x:c>
      <x:c r="F595" s="11" t="n">
        <x:v>46046</x:v>
      </x:c>
      <x:c r="G595" s="13" t="n">
        <x:v>13471.87</x:v>
      </x:c>
      <x:c r="H595" s="9" t="n">
        <x:v>117</x:v>
      </x:c>
      <x:c r="I595" s="9" t="n">
        <x:v>4</x:v>
      </x:c>
      <x:c r="J595" s="9" t="n">
        <x:v>1</x:v>
      </x:c>
      <x:c r="K595" s="9" t="n">
        <x:v>0</x:v>
      </x:c>
      <x:c r="L595" s="13" t="n">
        <x:f>SUMIFS('Payments'!$D$5:$D$3014,'Payments'!$B$5:$B$3014,A595)</x:f>
        <x:v>990.99</x:v>
      </x:c>
      <x:c r="M595" s="13" t="n">
        <x:f>G595-L595</x:f>
        <x:v>12480.880000000001</x:v>
      </x:c>
      <x:c r="N595" s="9" t="str">
        <x:f>IF(H595=0,"0 Current",IF(H595&lt;=30,"1 1-30",IF(H595&lt;=60,"2 31-60",IF(H595&lt;=90,"3 61-90",IF(H595&lt;=120,"4 91-120","5 121+")))))</x:f>
        <x:v>4 91-120</x:v>
      </x:c>
      <x:c r="O595" s="9" t="n">
        <x:f>IF(J595&gt;0,1,0)</x:f>
        <x:v>1</x:v>
      </x:c>
    </x:row>
    <x:row r="596">
      <x:c r="A596" s="15" t="str">
        <x:v>592</x:v>
      </x:c>
      <x:c r="B596" s="9" t="str">
        <x:v>Alex</x:v>
      </x:c>
      <x:c r="C596" s="9" t="str">
        <x:v>Auto</x:v>
      </x:c>
      <x:c r="D596" s="9" t="str">
        <x:v>Midwest</x:v>
      </x:c>
      <x:c r="E596" s="9" t="n">
        <x:v>694</x:v>
      </x:c>
      <x:c r="F596" s="11" t="n">
        <x:v>46165</x:v>
      </x:c>
      <x:c r="G596" s="13" t="n">
        <x:v>16197.51</x:v>
      </x:c>
      <x:c r="H596" s="9" t="n">
        <x:v>40</x:v>
      </x:c>
      <x:c r="I596" s="9" t="n">
        <x:v>3</x:v>
      </x:c>
      <x:c r="J596" s="9" t="n">
        <x:v>2</x:v>
      </x:c>
      <x:c r="K596" s="9" t="n">
        <x:v>0</x:v>
      </x:c>
      <x:c r="L596" s="13" t="n">
        <x:f>SUMIFS('Payments'!$D$5:$D$3014,'Payments'!$B$5:$B$3014,A596)</x:f>
        <x:v>1723.25</x:v>
      </x:c>
      <x:c r="M596" s="13" t="n">
        <x:f>G596-L596</x:f>
        <x:v>14474.26</x:v>
      </x:c>
      <x:c r="N596" s="9" t="str">
        <x:f>IF(H596=0,"0 Current",IF(H596&lt;=30,"1 1-30",IF(H596&lt;=60,"2 31-60",IF(H596&lt;=90,"3 61-90",IF(H596&lt;=120,"4 91-120","5 121+")))))</x:f>
        <x:v>2 31-60</x:v>
      </x:c>
      <x:c r="O596" s="9" t="n">
        <x:f>IF(J596&gt;0,1,0)</x:f>
        <x:v>1</x:v>
      </x:c>
    </x:row>
    <x:row r="597">
      <x:c r="A597" s="15" t="str">
        <x:v>593</x:v>
      </x:c>
      <x:c r="B597" s="9" t="str">
        <x:v>Morgan</x:v>
      </x:c>
      <x:c r="C597" s="9" t="str">
        <x:v>Personal Loan</x:v>
      </x:c>
      <x:c r="D597" s="9" t="str">
        <x:v>Northeast</x:v>
      </x:c>
      <x:c r="E597" s="9" t="n">
        <x:v>652</x:v>
      </x:c>
      <x:c r="F597" s="11" t="n">
        <x:v>46104</x:v>
      </x:c>
      <x:c r="G597" s="13" t="n">
        <x:v>6100.49</x:v>
      </x:c>
      <x:c r="H597" s="9" t="n">
        <x:v>229</x:v>
      </x:c>
      <x:c r="I597" s="9" t="n">
        <x:v>1</x:v>
      </x:c>
      <x:c r="J597" s="9" t="n">
        <x:v>0</x:v>
      </x:c>
      <x:c r="K597" s="9" t="n">
        <x:v>0</x:v>
      </x:c>
      <x:c r="L597" s="13" t="n">
        <x:f>SUMIFS('Payments'!$D$5:$D$3014,'Payments'!$B$5:$B$3014,A597)</x:f>
        <x:v>1092.74</x:v>
      </x:c>
      <x:c r="M597" s="13" t="n">
        <x:f>G597-L597</x:f>
        <x:v>5007.75</x:v>
      </x:c>
      <x:c r="N597" s="9" t="str">
        <x:f>IF(H597=0,"0 Current",IF(H597&lt;=30,"1 1-30",IF(H597&lt;=60,"2 31-60",IF(H597&lt;=90,"3 61-90",IF(H597&lt;=120,"4 91-120","5 121+")))))</x:f>
        <x:v>5 121+</x:v>
      </x:c>
      <x:c r="O597" s="9" t="n">
        <x:f>IF(J597&gt;0,1,0)</x:f>
        <x:v>0</x:v>
      </x:c>
    </x:row>
    <x:row r="598">
      <x:c r="A598" s="15" t="str">
        <x:v>594</x:v>
      </x:c>
      <x:c r="B598" s="9" t="str">
        <x:v>Riley</x:v>
      </x:c>
      <x:c r="C598" s="9" t="str">
        <x:v>Medical</x:v>
      </x:c>
      <x:c r="D598" s="9" t="str">
        <x:v>Midwest</x:v>
      </x:c>
      <x:c r="E598" s="9" t="n">
        <x:v>764</x:v>
      </x:c>
      <x:c r="F598" s="11" t="n">
        <x:v>46029</x:v>
      </x:c>
      <x:c r="G598" s="13" t="n">
        <x:v>9798.52</x:v>
      </x:c>
      <x:c r="H598" s="9" t="n">
        <x:v>196</x:v>
      </x:c>
      <x:c r="I598" s="9" t="n">
        <x:v>5</x:v>
      </x:c>
      <x:c r="J598" s="9" t="n">
        <x:v>2</x:v>
      </x:c>
      <x:c r="K598" s="9" t="n">
        <x:v>1</x:v>
      </x:c>
      <x:c r="L598" s="13" t="n">
        <x:f>SUMIFS('Payments'!$D$5:$D$3014,'Payments'!$B$5:$B$3014,A598)</x:f>
        <x:v>493.82</x:v>
      </x:c>
      <x:c r="M598" s="13" t="n">
        <x:f>G598-L598</x:f>
        <x:v>9304.7</x:v>
      </x:c>
      <x:c r="N598" s="9" t="str">
        <x:f>IF(H598=0,"0 Current",IF(H598&lt;=30,"1 1-30",IF(H598&lt;=60,"2 31-60",IF(H598&lt;=90,"3 61-90",IF(H598&lt;=120,"4 91-120","5 121+")))))</x:f>
        <x:v>5 121+</x:v>
      </x:c>
      <x:c r="O598" s="9" t="n">
        <x:f>IF(J598&gt;0,1,0)</x:f>
        <x:v>1</x:v>
      </x:c>
    </x:row>
    <x:row r="599">
      <x:c r="A599" s="15" t="str">
        <x:v>595</x:v>
      </x:c>
      <x:c r="B599" s="9" t="str">
        <x:v>Morgan</x:v>
      </x:c>
      <x:c r="C599" s="9" t="str">
        <x:v>Credit Card</x:v>
      </x:c>
      <x:c r="D599" s="9" t="str">
        <x:v>Midwest</x:v>
      </x:c>
      <x:c r="E599" s="9" t="n">
        <x:v>719</x:v>
      </x:c>
      <x:c r="F599" s="11" t="n">
        <x:v>46077</x:v>
      </x:c>
      <x:c r="G599" s="13" t="n">
        <x:v>13164.19</x:v>
      </x:c>
      <x:c r="H599" s="9" t="n">
        <x:v>86</x:v>
      </x:c>
      <x:c r="I599" s="9" t="n">
        <x:v>7</x:v>
      </x:c>
      <x:c r="J599" s="9" t="n">
        <x:v>4</x:v>
      </x:c>
      <x:c r="K599" s="9" t="n">
        <x:v>0</x:v>
      </x:c>
      <x:c r="L599" s="13" t="n">
        <x:f>SUMIFS('Payments'!$D$5:$D$3014,'Payments'!$B$5:$B$3014,A599)</x:f>
        <x:v>1712.2</x:v>
      </x:c>
      <x:c r="M599" s="13" t="n">
        <x:f>G599-L599</x:f>
        <x:v>11451.99</x:v>
      </x:c>
      <x:c r="N599" s="9" t="str">
        <x:f>IF(H599=0,"0 Current",IF(H599&lt;=30,"1 1-30",IF(H599&lt;=60,"2 31-60",IF(H599&lt;=90,"3 61-90",IF(H599&lt;=120,"4 91-120","5 121+")))))</x:f>
        <x:v>3 61-90</x:v>
      </x:c>
      <x:c r="O599" s="9" t="n">
        <x:f>IF(J599&gt;0,1,0)</x:f>
        <x:v>1</x:v>
      </x:c>
    </x:row>
    <x:row r="600">
      <x:c r="A600" s="15" t="str">
        <x:v>596</x:v>
      </x:c>
      <x:c r="B600" s="9" t="str">
        <x:v>Casey</x:v>
      </x:c>
      <x:c r="C600" s="9" t="str">
        <x:v>Personal Loan</x:v>
      </x:c>
      <x:c r="D600" s="9" t="str">
        <x:v>West</x:v>
      </x:c>
      <x:c r="E600" s="9" t="n">
        <x:v>746</x:v>
      </x:c>
      <x:c r="F600" s="11" t="n">
        <x:v>46126</x:v>
      </x:c>
      <x:c r="G600" s="13" t="n">
        <x:v>1012.73</x:v>
      </x:c>
      <x:c r="H600" s="9" t="n">
        <x:v>32</x:v>
      </x:c>
      <x:c r="I600" s="9" t="n">
        <x:v>6</x:v>
      </x:c>
      <x:c r="J600" s="9" t="n">
        <x:v>4</x:v>
      </x:c>
      <x:c r="K600" s="9" t="n">
        <x:v>1</x:v>
      </x:c>
      <x:c r="L600" s="13" t="n">
        <x:f>SUMIFS('Payments'!$D$5:$D$3014,'Payments'!$B$5:$B$3014,A600)</x:f>
        <x:v>344.51</x:v>
      </x:c>
      <x:c r="M600" s="13" t="n">
        <x:f>G600-L600</x:f>
        <x:v>668.22</x:v>
      </x:c>
      <x:c r="N600" s="9" t="str">
        <x:f>IF(H600=0,"0 Current",IF(H600&lt;=30,"1 1-30",IF(H600&lt;=60,"2 31-60",IF(H600&lt;=90,"3 61-90",IF(H600&lt;=120,"4 91-120","5 121+")))))</x:f>
        <x:v>2 31-60</x:v>
      </x:c>
      <x:c r="O600" s="9" t="n">
        <x:f>IF(J600&gt;0,1,0)</x:f>
        <x:v>1</x:v>
      </x:c>
    </x:row>
    <x:row r="601">
      <x:c r="A601" s="15" t="str">
        <x:v>597</x:v>
      </x:c>
      <x:c r="B601" s="9" t="str">
        <x:v>Morgan</x:v>
      </x:c>
      <x:c r="C601" s="9" t="str">
        <x:v>Auto</x:v>
      </x:c>
      <x:c r="D601" s="9" t="str">
        <x:v>Midwest</x:v>
      </x:c>
      <x:c r="E601" s="9" t="n">
        <x:v>475</x:v>
      </x:c>
      <x:c r="F601" s="11" t="n">
        <x:v>46051</x:v>
      </x:c>
      <x:c r="G601" s="13" t="n">
        <x:v>8001.07</x:v>
      </x:c>
      <x:c r="H601" s="9" t="n">
        <x:v>222</x:v>
      </x:c>
      <x:c r="I601" s="9" t="n">
        <x:v>2</x:v>
      </x:c>
      <x:c r="J601" s="9" t="n">
        <x:v>0</x:v>
      </x:c>
      <x:c r="K601" s="9" t="n">
        <x:v>0</x:v>
      </x:c>
      <x:c r="L601" s="13" t="n">
        <x:f>SUMIFS('Payments'!$D$5:$D$3014,'Payments'!$B$5:$B$3014,A601)</x:f>
        <x:v>0</x:v>
      </x:c>
      <x:c r="M601" s="13" t="n">
        <x:f>G601-L601</x:f>
        <x:v>8001.07</x:v>
      </x:c>
      <x:c r="N601" s="9" t="str">
        <x:f>IF(H601=0,"0 Current",IF(H601&lt;=30,"1 1-30",IF(H601&lt;=60,"2 31-60",IF(H601&lt;=90,"3 61-90",IF(H601&lt;=120,"4 91-120","5 121+")))))</x:f>
        <x:v>5 121+</x:v>
      </x:c>
      <x:c r="O601" s="9" t="n">
        <x:f>IF(J601&gt;0,1,0)</x:f>
        <x:v>0</x:v>
      </x:c>
    </x:row>
    <x:row r="602">
      <x:c r="A602" s="15" t="str">
        <x:v>598</x:v>
      </x:c>
      <x:c r="B602" s="9" t="str">
        <x:v>Morgan</x:v>
      </x:c>
      <x:c r="C602" s="9" t="str">
        <x:v>Credit Card</x:v>
      </x:c>
      <x:c r="D602" s="9" t="str">
        <x:v>South</x:v>
      </x:c>
      <x:c r="E602" s="9" t="n">
        <x:v>661</x:v>
      </x:c>
      <x:c r="F602" s="11" t="n">
        <x:v>46154</x:v>
      </x:c>
      <x:c r="G602" s="13" t="n">
        <x:v>19583.63</x:v>
      </x:c>
      <x:c r="H602" s="9" t="n">
        <x:v>118</x:v>
      </x:c>
      <x:c r="I602" s="9" t="n">
        <x:v>7</x:v>
      </x:c>
      <x:c r="J602" s="9" t="n">
        <x:v>1</x:v>
      </x:c>
      <x:c r="K602" s="9" t="n">
        <x:v>0</x:v>
      </x:c>
      <x:c r="L602" s="13" t="n">
        <x:f>SUMIFS('Payments'!$D$5:$D$3014,'Payments'!$B$5:$B$3014,A602)</x:f>
        <x:v>2399.57</x:v>
      </x:c>
      <x:c r="M602" s="13" t="n">
        <x:f>G602-L602</x:f>
        <x:v>17184.06</x:v>
      </x:c>
      <x:c r="N602" s="9" t="str">
        <x:f>IF(H602=0,"0 Current",IF(H602&lt;=30,"1 1-30",IF(H602&lt;=60,"2 31-60",IF(H602&lt;=90,"3 61-90",IF(H602&lt;=120,"4 91-120","5 121+")))))</x:f>
        <x:v>4 91-120</x:v>
      </x:c>
      <x:c r="O602" s="9" t="n">
        <x:f>IF(J602&gt;0,1,0)</x:f>
        <x:v>1</x:v>
      </x:c>
    </x:row>
    <x:row r="603">
      <x:c r="A603" s="15" t="str">
        <x:v>599</x:v>
      </x:c>
      <x:c r="B603" s="9" t="str">
        <x:v>Taylor</x:v>
      </x:c>
      <x:c r="C603" s="9" t="str">
        <x:v>Credit Card</x:v>
      </x:c>
      <x:c r="D603" s="9" t="str">
        <x:v>Northeast</x:v>
      </x:c>
      <x:c r="E603" s="9" t="n">
        <x:v>737</x:v>
      </x:c>
      <x:c r="F603" s="11" t="n">
        <x:v>46106</x:v>
      </x:c>
      <x:c r="G603" s="13" t="n">
        <x:v>12985.74</x:v>
      </x:c>
      <x:c r="H603" s="9" t="n">
        <x:v>152</x:v>
      </x:c>
      <x:c r="I603" s="9" t="n">
        <x:v>5</x:v>
      </x:c>
      <x:c r="J603" s="9" t="n">
        <x:v>1</x:v>
      </x:c>
      <x:c r="K603" s="9" t="n">
        <x:v>0</x:v>
      </x:c>
      <x:c r="L603" s="13" t="n">
        <x:f>SUMIFS('Payments'!$D$5:$D$3014,'Payments'!$B$5:$B$3014,A603)</x:f>
        <x:v>0</x:v>
      </x:c>
      <x:c r="M603" s="13" t="n">
        <x:f>G603-L603</x:f>
        <x:v>12985.74</x:v>
      </x:c>
      <x:c r="N603" s="9" t="str">
        <x:f>IF(H603=0,"0 Current",IF(H603&lt;=30,"1 1-30",IF(H603&lt;=60,"2 31-60",IF(H603&lt;=90,"3 61-90",IF(H603&lt;=120,"4 91-120","5 121+")))))</x:f>
        <x:v>5 121+</x:v>
      </x:c>
      <x:c r="O603" s="9" t="n">
        <x:f>IF(J603&gt;0,1,0)</x:f>
        <x:v>1</x:v>
      </x:c>
    </x:row>
    <x:row r="604">
      <x:c r="A604" s="15" t="str">
        <x:v>600</x:v>
      </x:c>
      <x:c r="B604" s="9" t="str">
        <x:v>Jordan</x:v>
      </x:c>
      <x:c r="C604" s="9" t="str">
        <x:v>Auto</x:v>
      </x:c>
      <x:c r="D604" s="9" t="str">
        <x:v>Midwest</x:v>
      </x:c>
      <x:c r="E604" s="9" t="n">
        <x:v>732</x:v>
      </x:c>
      <x:c r="F604" s="11" t="n">
        <x:v>46133</x:v>
      </x:c>
      <x:c r="G604" s="13" t="n">
        <x:v>12021.59</x:v>
      </x:c>
      <x:c r="H604" s="9" t="n">
        <x:v>176</x:v>
      </x:c>
      <x:c r="I604" s="9" t="n">
        <x:v>0</x:v>
      </x:c>
      <x:c r="J604" s="9" t="n">
        <x:v>0</x:v>
      </x:c>
      <x:c r="K604" s="9" t="n">
        <x:v>0</x:v>
      </x:c>
      <x:c r="L604" s="13" t="n">
        <x:f>SUMIFS('Payments'!$D$5:$D$3014,'Payments'!$B$5:$B$3014,A604)</x:f>
        <x:v>3134.32</x:v>
      </x:c>
      <x:c r="M604" s="13" t="n">
        <x:f>G604-L604</x:f>
        <x:v>8887.27</x:v>
      </x:c>
      <x:c r="N604" s="9" t="str">
        <x:f>IF(H604=0,"0 Current",IF(H604&lt;=30,"1 1-30",IF(H604&lt;=60,"2 31-60",IF(H604&lt;=90,"3 61-90",IF(H604&lt;=120,"4 91-120","5 121+")))))</x:f>
        <x:v>5 121+</x:v>
      </x:c>
      <x:c r="O604" s="9" t="n">
        <x:f>IF(J604&gt;0,1,0)</x:f>
        <x:v>0</x:v>
      </x:c>
    </x:row>
    <x:row r="605">
      <x:c r="A605" s="15" t="str">
        <x:v>601</x:v>
      </x:c>
      <x:c r="B605" s="9" t="str">
        <x:v>Morgan</x:v>
      </x:c>
      <x:c r="C605" s="9" t="str">
        <x:v>Credit Card</x:v>
      </x:c>
      <x:c r="D605" s="9" t="str">
        <x:v>South</x:v>
      </x:c>
      <x:c r="E605" s="9" t="n">
        <x:v>751</x:v>
      </x:c>
      <x:c r="F605" s="11" t="n">
        <x:v>46060</x:v>
      </x:c>
      <x:c r="G605" s="13" t="n">
        <x:v>4741.39</x:v>
      </x:c>
      <x:c r="H605" s="9" t="n">
        <x:v>86</x:v>
      </x:c>
      <x:c r="I605" s="9" t="n">
        <x:v>4</x:v>
      </x:c>
      <x:c r="J605" s="9" t="n">
        <x:v>3</x:v>
      </x:c>
      <x:c r="K605" s="9" t="n">
        <x:v>1</x:v>
      </x:c>
      <x:c r="L605" s="13" t="n">
        <x:f>SUMIFS('Payments'!$D$5:$D$3014,'Payments'!$B$5:$B$3014,A605)</x:f>
        <x:v>311.56</x:v>
      </x:c>
      <x:c r="M605" s="13" t="n">
        <x:f>G605-L605</x:f>
        <x:v>4429.83</x:v>
      </x:c>
      <x:c r="N605" s="9" t="str">
        <x:f>IF(H605=0,"0 Current",IF(H605&lt;=30,"1 1-30",IF(H605&lt;=60,"2 31-60",IF(H605&lt;=90,"3 61-90",IF(H605&lt;=120,"4 91-120","5 121+")))))</x:f>
        <x:v>3 61-90</x:v>
      </x:c>
      <x:c r="O605" s="9" t="n">
        <x:f>IF(J605&gt;0,1,0)</x:f>
        <x:v>1</x:v>
      </x:c>
    </x:row>
    <x:row r="606">
      <x:c r="A606" s="15" t="str">
        <x:v>602</x:v>
      </x:c>
      <x:c r="B606" s="9" t="str">
        <x:v>Taylor</x:v>
      </x:c>
      <x:c r="C606" s="9" t="str">
        <x:v>Credit Card</x:v>
      </x:c>
      <x:c r="D606" s="9" t="str">
        <x:v>Northeast</x:v>
      </x:c>
      <x:c r="E606" s="9" t="n">
        <x:v>745</x:v>
      </x:c>
      <x:c r="F606" s="11" t="n">
        <x:v>46161</x:v>
      </x:c>
      <x:c r="G606" s="13" t="n">
        <x:v>10723.71</x:v>
      </x:c>
      <x:c r="H606" s="9" t="n">
        <x:v>95</x:v>
      </x:c>
      <x:c r="I606" s="9" t="n">
        <x:v>0</x:v>
      </x:c>
      <x:c r="J606" s="9" t="n">
        <x:v>0</x:v>
      </x:c>
      <x:c r="K606" s="9" t="n">
        <x:v>0</x:v>
      </x:c>
      <x:c r="L606" s="13" t="n">
        <x:f>SUMIFS('Payments'!$D$5:$D$3014,'Payments'!$B$5:$B$3014,A606)</x:f>
        <x:v>4226.780000000001</x:v>
      </x:c>
      <x:c r="M606" s="13" t="n">
        <x:f>G606-L606</x:f>
        <x:v>6496.9299999999985</x:v>
      </x:c>
      <x:c r="N606" s="9" t="str">
        <x:f>IF(H606=0,"0 Current",IF(H606&lt;=30,"1 1-30",IF(H606&lt;=60,"2 31-60",IF(H606&lt;=90,"3 61-90",IF(H606&lt;=120,"4 91-120","5 121+")))))</x:f>
        <x:v>4 91-120</x:v>
      </x:c>
      <x:c r="O606" s="9" t="n">
        <x:f>IF(J606&gt;0,1,0)</x:f>
        <x:v>0</x:v>
      </x:c>
    </x:row>
    <x:row r="607">
      <x:c r="A607" s="15" t="str">
        <x:v>603</x:v>
      </x:c>
      <x:c r="B607" s="9" t="str">
        <x:v>Taylor</x:v>
      </x:c>
      <x:c r="C607" s="9" t="str">
        <x:v>Personal Loan</x:v>
      </x:c>
      <x:c r="D607" s="9" t="str">
        <x:v>West</x:v>
      </x:c>
      <x:c r="E607" s="9" t="n">
        <x:v>778</x:v>
      </x:c>
      <x:c r="F607" s="11" t="n">
        <x:v>46125</x:v>
      </x:c>
      <x:c r="G607" s="13" t="n">
        <x:v>8102.61</x:v>
      </x:c>
      <x:c r="H607" s="9" t="n">
        <x:v>69</x:v>
      </x:c>
      <x:c r="I607" s="9" t="n">
        <x:v>6</x:v>
      </x:c>
      <x:c r="J607" s="9" t="n">
        <x:v>2</x:v>
      </x:c>
      <x:c r="K607" s="9" t="n">
        <x:v>0</x:v>
      </x:c>
      <x:c r="L607" s="13" t="n">
        <x:f>SUMIFS('Payments'!$D$5:$D$3014,'Payments'!$B$5:$B$3014,A607)</x:f>
        <x:v>0</x:v>
      </x:c>
      <x:c r="M607" s="13" t="n">
        <x:f>G607-L607</x:f>
        <x:v>8102.61</x:v>
      </x:c>
      <x:c r="N607" s="9" t="str">
        <x:f>IF(H607=0,"0 Current",IF(H607&lt;=30,"1 1-30",IF(H607&lt;=60,"2 31-60",IF(H607&lt;=90,"3 61-90",IF(H607&lt;=120,"4 91-120","5 121+")))))</x:f>
        <x:v>3 61-90</x:v>
      </x:c>
      <x:c r="O607" s="9" t="n">
        <x:f>IF(J607&gt;0,1,0)</x:f>
        <x:v>1</x:v>
      </x:c>
    </x:row>
    <x:row r="608">
      <x:c r="A608" s="15" t="str">
        <x:v>604</x:v>
      </x:c>
      <x:c r="B608" s="9" t="str">
        <x:v>Alex</x:v>
      </x:c>
      <x:c r="C608" s="9" t="str">
        <x:v>Personal Loan</x:v>
      </x:c>
      <x:c r="D608" s="9" t="str">
        <x:v>Midwest</x:v>
      </x:c>
      <x:c r="E608" s="9" t="n">
        <x:v>752</x:v>
      </x:c>
      <x:c r="F608" s="11" t="n">
        <x:v>46106</x:v>
      </x:c>
      <x:c r="G608" s="13" t="n">
        <x:v>9771.83</x:v>
      </x:c>
      <x:c r="H608" s="9" t="n">
        <x:v>186</x:v>
      </x:c>
      <x:c r="I608" s="9" t="n">
        <x:v>6</x:v>
      </x:c>
      <x:c r="J608" s="9" t="n">
        <x:v>2</x:v>
      </x:c>
      <x:c r="K608" s="9" t="n">
        <x:v>1</x:v>
      </x:c>
      <x:c r="L608" s="13" t="n">
        <x:f>SUMIFS('Payments'!$D$5:$D$3014,'Payments'!$B$5:$B$3014,A608)</x:f>
        <x:v>3157.42</x:v>
      </x:c>
      <x:c r="M608" s="13" t="n">
        <x:f>G608-L608</x:f>
        <x:v>6614.41</x:v>
      </x:c>
      <x:c r="N608" s="9" t="str">
        <x:f>IF(H608=0,"0 Current",IF(H608&lt;=30,"1 1-30",IF(H608&lt;=60,"2 31-60",IF(H608&lt;=90,"3 61-90",IF(H608&lt;=120,"4 91-120","5 121+")))))</x:f>
        <x:v>5 121+</x:v>
      </x:c>
      <x:c r="O608" s="9" t="n">
        <x:f>IF(J608&gt;0,1,0)</x:f>
        <x:v>1</x:v>
      </x:c>
    </x:row>
    <x:row r="609">
      <x:c r="A609" s="15" t="str">
        <x:v>605</x:v>
      </x:c>
      <x:c r="B609" s="9" t="str">
        <x:v>Morgan</x:v>
      </x:c>
      <x:c r="C609" s="9" t="str">
        <x:v>Credit Card</x:v>
      </x:c>
      <x:c r="D609" s="9" t="str">
        <x:v>West</x:v>
      </x:c>
      <x:c r="E609" s="9" t="n">
        <x:v>479</x:v>
      </x:c>
      <x:c r="F609" s="11" t="n">
        <x:v>46122</x:v>
      </x:c>
      <x:c r="G609" s="13" t="n">
        <x:v>11224.52</x:v>
      </x:c>
      <x:c r="H609" s="9" t="n">
        <x:v>169</x:v>
      </x:c>
      <x:c r="I609" s="9" t="n">
        <x:v>5</x:v>
      </x:c>
      <x:c r="J609" s="9" t="n">
        <x:v>0</x:v>
      </x:c>
      <x:c r="K609" s="9" t="n">
        <x:v>0</x:v>
      </x:c>
      <x:c r="L609" s="13" t="n">
        <x:f>SUMIFS('Payments'!$D$5:$D$3014,'Payments'!$B$5:$B$3014,A609)</x:f>
        <x:v>2970.75</x:v>
      </x:c>
      <x:c r="M609" s="13" t="n">
        <x:f>G609-L609</x:f>
        <x:v>8253.77</x:v>
      </x:c>
      <x:c r="N609" s="9" t="str">
        <x:f>IF(H609=0,"0 Current",IF(H609&lt;=30,"1 1-30",IF(H609&lt;=60,"2 31-60",IF(H609&lt;=90,"3 61-90",IF(H609&lt;=120,"4 91-120","5 121+")))))</x:f>
        <x:v>5 121+</x:v>
      </x:c>
      <x:c r="O609" s="9" t="n">
        <x:f>IF(J609&gt;0,1,0)</x:f>
        <x:v>0</x:v>
      </x:c>
    </x:row>
    <x:row r="610">
      <x:c r="A610" s="15" t="str">
        <x:v>606</x:v>
      </x:c>
      <x:c r="B610" s="9" t="str">
        <x:v>Alex</x:v>
      </x:c>
      <x:c r="C610" s="9" t="str">
        <x:v>Personal Loan</x:v>
      </x:c>
      <x:c r="D610" s="9" t="str">
        <x:v>South</x:v>
      </x:c>
      <x:c r="E610" s="9" t="n">
        <x:v>443</x:v>
      </x:c>
      <x:c r="F610" s="11" t="n">
        <x:v>46133</x:v>
      </x:c>
      <x:c r="G610" s="13" t="n">
        <x:v>17922.84</x:v>
      </x:c>
      <x:c r="H610" s="9" t="n">
        <x:v>142</x:v>
      </x:c>
      <x:c r="I610" s="9" t="n">
        <x:v>1</x:v>
      </x:c>
      <x:c r="J610" s="9" t="n">
        <x:v>0</x:v>
      </x:c>
      <x:c r="K610" s="9" t="n">
        <x:v>0</x:v>
      </x:c>
      <x:c r="L610" s="13" t="n">
        <x:f>SUMIFS('Payments'!$D$5:$D$3014,'Payments'!$B$5:$B$3014,A610)</x:f>
        <x:v>3046.58</x:v>
      </x:c>
      <x:c r="M610" s="13" t="n">
        <x:f>G610-L610</x:f>
        <x:v>14876.26</x:v>
      </x:c>
      <x:c r="N610" s="9" t="str">
        <x:f>IF(H610=0,"0 Current",IF(H610&lt;=30,"1 1-30",IF(H610&lt;=60,"2 31-60",IF(H610&lt;=90,"3 61-90",IF(H610&lt;=120,"4 91-120","5 121+")))))</x:f>
        <x:v>5 121+</x:v>
      </x:c>
      <x:c r="O610" s="9" t="n">
        <x:f>IF(J610&gt;0,1,0)</x:f>
        <x:v>0</x:v>
      </x:c>
    </x:row>
    <x:row r="611">
      <x:c r="A611" s="15" t="str">
        <x:v>607</x:v>
      </x:c>
      <x:c r="B611" s="9" t="str">
        <x:v>Jordan</x:v>
      </x:c>
      <x:c r="C611" s="9" t="str">
        <x:v>Medical</x:v>
      </x:c>
      <x:c r="D611" s="9" t="str">
        <x:v>Northeast</x:v>
      </x:c>
      <x:c r="E611" s="9" t="n">
        <x:v>575</x:v>
      </x:c>
      <x:c r="F611" s="11" t="n">
        <x:v>46051</x:v>
      </x:c>
      <x:c r="G611" s="13" t="n">
        <x:v>24438.78</x:v>
      </x:c>
      <x:c r="H611" s="9" t="n">
        <x:v>221</x:v>
      </x:c>
      <x:c r="I611" s="9" t="n">
        <x:v>6</x:v>
      </x:c>
      <x:c r="J611" s="9" t="n">
        <x:v>3</x:v>
      </x:c>
      <x:c r="K611" s="9" t="n">
        <x:v>1</x:v>
      </x:c>
      <x:c r="L611" s="13" t="n">
        <x:f>SUMIFS('Payments'!$D$5:$D$3014,'Payments'!$B$5:$B$3014,A611)</x:f>
        <x:v>2113</x:v>
      </x:c>
      <x:c r="M611" s="13" t="n">
        <x:f>G611-L611</x:f>
        <x:v>22325.78</x:v>
      </x:c>
      <x:c r="N611" s="9" t="str">
        <x:f>IF(H611=0,"0 Current",IF(H611&lt;=30,"1 1-30",IF(H611&lt;=60,"2 31-60",IF(H611&lt;=90,"3 61-90",IF(H611&lt;=120,"4 91-120","5 121+")))))</x:f>
        <x:v>5 121+</x:v>
      </x:c>
      <x:c r="O611" s="9" t="n">
        <x:f>IF(J611&gt;0,1,0)</x:f>
        <x:v>1</x:v>
      </x:c>
    </x:row>
    <x:row r="612">
      <x:c r="A612" s="15" t="str">
        <x:v>608</x:v>
      </x:c>
      <x:c r="B612" s="9" t="str">
        <x:v>Morgan</x:v>
      </x:c>
      <x:c r="C612" s="9" t="str">
        <x:v>Personal Loan</x:v>
      </x:c>
      <x:c r="D612" s="9" t="str">
        <x:v>West</x:v>
      </x:c>
      <x:c r="E612" s="9" t="n">
        <x:v>479</x:v>
      </x:c>
      <x:c r="F612" s="11" t="n">
        <x:v>46126</x:v>
      </x:c>
      <x:c r="G612" s="13" t="n">
        <x:v>21254.8</x:v>
      </x:c>
      <x:c r="H612" s="9" t="n">
        <x:v>211</x:v>
      </x:c>
      <x:c r="I612" s="9" t="n">
        <x:v>5</x:v>
      </x:c>
      <x:c r="J612" s="9" t="n">
        <x:v>3</x:v>
      </x:c>
      <x:c r="K612" s="9" t="n">
        <x:v>1</x:v>
      </x:c>
      <x:c r="L612" s="13" t="n">
        <x:f>SUMIFS('Payments'!$D$5:$D$3014,'Payments'!$B$5:$B$3014,A612)</x:f>
        <x:v>2967.8799999999997</x:v>
      </x:c>
      <x:c r="M612" s="13" t="n">
        <x:f>G612-L612</x:f>
        <x:v>18286.92</x:v>
      </x:c>
      <x:c r="N612" s="9" t="str">
        <x:f>IF(H612=0,"0 Current",IF(H612&lt;=30,"1 1-30",IF(H612&lt;=60,"2 31-60",IF(H612&lt;=90,"3 61-90",IF(H612&lt;=120,"4 91-120","5 121+")))))</x:f>
        <x:v>5 121+</x:v>
      </x:c>
      <x:c r="O612" s="9" t="n">
        <x:f>IF(J612&gt;0,1,0)</x:f>
        <x:v>1</x:v>
      </x:c>
    </x:row>
    <x:row r="613">
      <x:c r="A613" s="15" t="str">
        <x:v>609</x:v>
      </x:c>
      <x:c r="B613" s="9" t="str">
        <x:v>Alex</x:v>
      </x:c>
      <x:c r="C613" s="9" t="str">
        <x:v>Auto</x:v>
      </x:c>
      <x:c r="D613" s="9" t="str">
        <x:v>Northeast</x:v>
      </x:c>
      <x:c r="E613" s="9" t="n">
        <x:v>540</x:v>
      </x:c>
      <x:c r="F613" s="11" t="n">
        <x:v>46058</x:v>
      </x:c>
      <x:c r="G613" s="13" t="n">
        <x:v>21612.5</x:v>
      </x:c>
      <x:c r="H613" s="9" t="n">
        <x:v>5</x:v>
      </x:c>
      <x:c r="I613" s="9" t="n">
        <x:v>5</x:v>
      </x:c>
      <x:c r="J613" s="9" t="n">
        <x:v>2</x:v>
      </x:c>
      <x:c r="K613" s="9" t="n">
        <x:v>0</x:v>
      </x:c>
      <x:c r="L613" s="13" t="n">
        <x:f>SUMIFS('Payments'!$D$5:$D$3014,'Payments'!$B$5:$B$3014,A613)</x:f>
        <x:v>3804.58</x:v>
      </x:c>
      <x:c r="M613" s="13" t="n">
        <x:f>G613-L613</x:f>
        <x:v>17807.92</x:v>
      </x:c>
      <x:c r="N613" s="9" t="str">
        <x:f>IF(H613=0,"0 Current",IF(H613&lt;=30,"1 1-30",IF(H613&lt;=60,"2 31-60",IF(H613&lt;=90,"3 61-90",IF(H613&lt;=120,"4 91-120","5 121+")))))</x:f>
        <x:v>1 1-30</x:v>
      </x:c>
      <x:c r="O613" s="9" t="n">
        <x:f>IF(J613&gt;0,1,0)</x:f>
        <x:v>1</x:v>
      </x:c>
    </x:row>
    <x:row r="614">
      <x:c r="A614" s="15" t="str">
        <x:v>610</x:v>
      </x:c>
      <x:c r="B614" s="9" t="str">
        <x:v>Casey</x:v>
      </x:c>
      <x:c r="C614" s="9" t="str">
        <x:v>Personal Loan</x:v>
      </x:c>
      <x:c r="D614" s="9" t="str">
        <x:v>South</x:v>
      </x:c>
      <x:c r="E614" s="9" t="n">
        <x:v>618</x:v>
      </x:c>
      <x:c r="F614" s="11" t="n">
        <x:v>46074</x:v>
      </x:c>
      <x:c r="G614" s="13" t="n">
        <x:v>14036.03</x:v>
      </x:c>
      <x:c r="H614" s="9" t="n">
        <x:v>16</x:v>
      </x:c>
      <x:c r="I614" s="9" t="n">
        <x:v>3</x:v>
      </x:c>
      <x:c r="J614" s="9" t="n">
        <x:v>2</x:v>
      </x:c>
      <x:c r="K614" s="9" t="n">
        <x:v>1</x:v>
      </x:c>
      <x:c r="L614" s="13" t="n">
        <x:f>SUMIFS('Payments'!$D$5:$D$3014,'Payments'!$B$5:$B$3014,A614)</x:f>
        <x:v>0</x:v>
      </x:c>
      <x:c r="M614" s="13" t="n">
        <x:f>G614-L614</x:f>
        <x:v>14036.03</x:v>
      </x:c>
      <x:c r="N614" s="9" t="str">
        <x:f>IF(H614=0,"0 Current",IF(H614&lt;=30,"1 1-30",IF(H614&lt;=60,"2 31-60",IF(H614&lt;=90,"3 61-90",IF(H614&lt;=120,"4 91-120","5 121+")))))</x:f>
        <x:v>1 1-30</x:v>
      </x:c>
      <x:c r="O614" s="9" t="n">
        <x:f>IF(J614&gt;0,1,0)</x:f>
        <x:v>1</x:v>
      </x:c>
    </x:row>
    <x:row r="615">
      <x:c r="A615" s="15" t="str">
        <x:v>611</x:v>
      </x:c>
      <x:c r="B615" s="9" t="str">
        <x:v>Riley</x:v>
      </x:c>
      <x:c r="C615" s="9" t="str">
        <x:v>Personal Loan</x:v>
      </x:c>
      <x:c r="D615" s="9" t="str">
        <x:v>West</x:v>
      </x:c>
      <x:c r="E615" s="9" t="n">
        <x:v>609</x:v>
      </x:c>
      <x:c r="F615" s="11" t="n">
        <x:v>46151</x:v>
      </x:c>
      <x:c r="G615" s="13" t="n">
        <x:v>5162.27</x:v>
      </x:c>
      <x:c r="H615" s="9" t="n">
        <x:v>223</x:v>
      </x:c>
      <x:c r="I615" s="9" t="n">
        <x:v>1</x:v>
      </x:c>
      <x:c r="J615" s="9" t="n">
        <x:v>1</x:v>
      </x:c>
      <x:c r="K615" s="9" t="n">
        <x:v>0</x:v>
      </x:c>
      <x:c r="L615" s="13" t="n">
        <x:f>SUMIFS('Payments'!$D$5:$D$3014,'Payments'!$B$5:$B$3014,A615)</x:f>
        <x:v>170.47</x:v>
      </x:c>
      <x:c r="M615" s="13" t="n">
        <x:f>G615-L615</x:f>
        <x:v>4991.8</x:v>
      </x:c>
      <x:c r="N615" s="9" t="str">
        <x:f>IF(H615=0,"0 Current",IF(H615&lt;=30,"1 1-30",IF(H615&lt;=60,"2 31-60",IF(H615&lt;=90,"3 61-90",IF(H615&lt;=120,"4 91-120","5 121+")))))</x:f>
        <x:v>5 121+</x:v>
      </x:c>
      <x:c r="O615" s="9" t="n">
        <x:f>IF(J615&gt;0,1,0)</x:f>
        <x:v>1</x:v>
      </x:c>
    </x:row>
    <x:row r="616">
      <x:c r="A616" s="15" t="str">
        <x:v>612</x:v>
      </x:c>
      <x:c r="B616" s="9" t="str">
        <x:v>Morgan</x:v>
      </x:c>
      <x:c r="C616" s="9" t="str">
        <x:v>Auto</x:v>
      </x:c>
      <x:c r="D616" s="9" t="str">
        <x:v>West</x:v>
      </x:c>
      <x:c r="E616" s="9" t="n">
        <x:v>720</x:v>
      </x:c>
      <x:c r="F616" s="11" t="n">
        <x:v>46127</x:v>
      </x:c>
      <x:c r="G616" s="13" t="n">
        <x:v>22300.62</x:v>
      </x:c>
      <x:c r="H616" s="9" t="n">
        <x:v>18</x:v>
      </x:c>
      <x:c r="I616" s="9" t="n">
        <x:v>7</x:v>
      </x:c>
      <x:c r="J616" s="9" t="n">
        <x:v>3</x:v>
      </x:c>
      <x:c r="K616" s="9" t="n">
        <x:v>0</x:v>
      </x:c>
      <x:c r="L616" s="13" t="n">
        <x:f>SUMIFS('Payments'!$D$5:$D$3014,'Payments'!$B$5:$B$3014,A616)</x:f>
        <x:v>2151.95</x:v>
      </x:c>
      <x:c r="M616" s="13" t="n">
        <x:f>G616-L616</x:f>
        <x:v>20148.67</x:v>
      </x:c>
      <x:c r="N616" s="9" t="str">
        <x:f>IF(H616=0,"0 Current",IF(H616&lt;=30,"1 1-30",IF(H616&lt;=60,"2 31-60",IF(H616&lt;=90,"3 61-90",IF(H616&lt;=120,"4 91-120","5 121+")))))</x:f>
        <x:v>1 1-30</x:v>
      </x:c>
      <x:c r="O616" s="9" t="n">
        <x:f>IF(J616&gt;0,1,0)</x:f>
        <x:v>1</x:v>
      </x:c>
    </x:row>
    <x:row r="617">
      <x:c r="A617" s="15" t="str">
        <x:v>613</x:v>
      </x:c>
      <x:c r="B617" s="9" t="str">
        <x:v>Taylor</x:v>
      </x:c>
      <x:c r="C617" s="9" t="str">
        <x:v>Medical</x:v>
      </x:c>
      <x:c r="D617" s="9" t="str">
        <x:v>South</x:v>
      </x:c>
      <x:c r="E617" s="9" t="n">
        <x:v>632</x:v>
      </x:c>
      <x:c r="F617" s="11" t="n">
        <x:v>46171</x:v>
      </x:c>
      <x:c r="G617" s="13" t="n">
        <x:v>5188.54</x:v>
      </x:c>
      <x:c r="H617" s="9" t="n">
        <x:v>93</x:v>
      </x:c>
      <x:c r="I617" s="9" t="n">
        <x:v>3</x:v>
      </x:c>
      <x:c r="J617" s="9" t="n">
        <x:v>1</x:v>
      </x:c>
      <x:c r="K617" s="9" t="n">
        <x:v>0</x:v>
      </x:c>
      <x:c r="L617" s="13" t="n">
        <x:f>SUMIFS('Payments'!$D$5:$D$3014,'Payments'!$B$5:$B$3014,A617)</x:f>
        <x:v>1074.65</x:v>
      </x:c>
      <x:c r="M617" s="13" t="n">
        <x:f>G617-L617</x:f>
        <x:v>4113.889999999999</x:v>
      </x:c>
      <x:c r="N617" s="9" t="str">
        <x:f>IF(H617=0,"0 Current",IF(H617&lt;=30,"1 1-30",IF(H617&lt;=60,"2 31-60",IF(H617&lt;=90,"3 61-90",IF(H617&lt;=120,"4 91-120","5 121+")))))</x:f>
        <x:v>4 91-120</x:v>
      </x:c>
      <x:c r="O617" s="9" t="n">
        <x:f>IF(J617&gt;0,1,0)</x:f>
        <x:v>1</x:v>
      </x:c>
    </x:row>
    <x:row r="618">
      <x:c r="A618" s="15" t="str">
        <x:v>614</x:v>
      </x:c>
      <x:c r="B618" s="9" t="str">
        <x:v>Jordan</x:v>
      </x:c>
      <x:c r="C618" s="9" t="str">
        <x:v>Auto</x:v>
      </x:c>
      <x:c r="D618" s="9" t="str">
        <x:v>Northeast</x:v>
      </x:c>
      <x:c r="E618" s="9" t="n">
        <x:v>670</x:v>
      </x:c>
      <x:c r="F618" s="11" t="n">
        <x:v>46089</x:v>
      </x:c>
      <x:c r="G618" s="13" t="n">
        <x:v>14863.09</x:v>
      </x:c>
      <x:c r="H618" s="9" t="n">
        <x:v>84</x:v>
      </x:c>
      <x:c r="I618" s="9" t="n">
        <x:v>2</x:v>
      </x:c>
      <x:c r="J618" s="9" t="n">
        <x:v>0</x:v>
      </x:c>
      <x:c r="K618" s="9" t="n">
        <x:v>0</x:v>
      </x:c>
      <x:c r="L618" s="13" t="n">
        <x:f>SUMIFS('Payments'!$D$5:$D$3014,'Payments'!$B$5:$B$3014,A618)</x:f>
        <x:v>4911.68</x:v>
      </x:c>
      <x:c r="M618" s="13" t="n">
        <x:f>G618-L618</x:f>
        <x:v>9951.41</x:v>
      </x:c>
      <x:c r="N618" s="9" t="str">
        <x:f>IF(H618=0,"0 Current",IF(H618&lt;=30,"1 1-30",IF(H618&lt;=60,"2 31-60",IF(H618&lt;=90,"3 61-90",IF(H618&lt;=120,"4 91-120","5 121+")))))</x:f>
        <x:v>3 61-90</x:v>
      </x:c>
      <x:c r="O618" s="9" t="n">
        <x:f>IF(J618&gt;0,1,0)</x:f>
        <x:v>0</x:v>
      </x:c>
    </x:row>
    <x:row r="619">
      <x:c r="A619" s="15" t="str">
        <x:v>615</x:v>
      </x:c>
      <x:c r="B619" s="9" t="str">
        <x:v>Jordan</x:v>
      </x:c>
      <x:c r="C619" s="9" t="str">
        <x:v>Personal Loan</x:v>
      </x:c>
      <x:c r="D619" s="9" t="str">
        <x:v>West</x:v>
      </x:c>
      <x:c r="E619" s="9" t="n">
        <x:v>563</x:v>
      </x:c>
      <x:c r="F619" s="11" t="n">
        <x:v>46117</x:v>
      </x:c>
      <x:c r="G619" s="13" t="n">
        <x:v>24136.55</x:v>
      </x:c>
      <x:c r="H619" s="9" t="n">
        <x:v>78</x:v>
      </x:c>
      <x:c r="I619" s="9" t="n">
        <x:v>4</x:v>
      </x:c>
      <x:c r="J619" s="9" t="n">
        <x:v>2</x:v>
      </x:c>
      <x:c r="K619" s="9" t="n">
        <x:v>0</x:v>
      </x:c>
      <x:c r="L619" s="13" t="n">
        <x:f>SUMIFS('Payments'!$D$5:$D$3014,'Payments'!$B$5:$B$3014,A619)</x:f>
        <x:v>2986.06</x:v>
      </x:c>
      <x:c r="M619" s="13" t="n">
        <x:f>G619-L619</x:f>
        <x:v>21150.489999999998</x:v>
      </x:c>
      <x:c r="N619" s="9" t="str">
        <x:f>IF(H619=0,"0 Current",IF(H619&lt;=30,"1 1-30",IF(H619&lt;=60,"2 31-60",IF(H619&lt;=90,"3 61-90",IF(H619&lt;=120,"4 91-120","5 121+")))))</x:f>
        <x:v>3 61-90</x:v>
      </x:c>
      <x:c r="O619" s="9" t="n">
        <x:f>IF(J619&gt;0,1,0)</x:f>
        <x:v>1</x:v>
      </x:c>
    </x:row>
    <x:row r="620">
      <x:c r="A620" s="15" t="str">
        <x:v>616</x:v>
      </x:c>
      <x:c r="B620" s="9" t="str">
        <x:v>Alex</x:v>
      </x:c>
      <x:c r="C620" s="9" t="str">
        <x:v>Medical</x:v>
      </x:c>
      <x:c r="D620" s="9" t="str">
        <x:v>Northeast</x:v>
      </x:c>
      <x:c r="E620" s="9" t="n">
        <x:v>773</x:v>
      </x:c>
      <x:c r="F620" s="11" t="n">
        <x:v>46088</x:v>
      </x:c>
      <x:c r="G620" s="13" t="n">
        <x:v>10059.57</x:v>
      </x:c>
      <x:c r="H620" s="9" t="n">
        <x:v>149</x:v>
      </x:c>
      <x:c r="I620" s="9" t="n">
        <x:v>5</x:v>
      </x:c>
      <x:c r="J620" s="9" t="n">
        <x:v>2</x:v>
      </x:c>
      <x:c r="K620" s="9" t="n">
        <x:v>1</x:v>
      </x:c>
      <x:c r="L620" s="13" t="n">
        <x:f>SUMIFS('Payments'!$D$5:$D$3014,'Payments'!$B$5:$B$3014,A620)</x:f>
        <x:v>230.27</x:v>
      </x:c>
      <x:c r="M620" s="13" t="n">
        <x:f>G620-L620</x:f>
        <x:v>9829.3</x:v>
      </x:c>
      <x:c r="N620" s="9" t="str">
        <x:f>IF(H620=0,"0 Current",IF(H620&lt;=30,"1 1-30",IF(H620&lt;=60,"2 31-60",IF(H620&lt;=90,"3 61-90",IF(H620&lt;=120,"4 91-120","5 121+")))))</x:f>
        <x:v>5 121+</x:v>
      </x:c>
      <x:c r="O620" s="9" t="n">
        <x:f>IF(J620&gt;0,1,0)</x:f>
        <x:v>1</x:v>
      </x:c>
    </x:row>
    <x:row r="621">
      <x:c r="A621" s="15" t="str">
        <x:v>617</x:v>
      </x:c>
      <x:c r="B621" s="9" t="str">
        <x:v>Riley</x:v>
      </x:c>
      <x:c r="C621" s="9" t="str">
        <x:v>Personal Loan</x:v>
      </x:c>
      <x:c r="D621" s="9" t="str">
        <x:v>Midwest</x:v>
      </x:c>
      <x:c r="E621" s="9" t="n">
        <x:v>531</x:v>
      </x:c>
      <x:c r="F621" s="11" t="n">
        <x:v>46151</x:v>
      </x:c>
      <x:c r="G621" s="13" t="n">
        <x:v>13682.53</x:v>
      </x:c>
      <x:c r="H621" s="9" t="n">
        <x:v>96</x:v>
      </x:c>
      <x:c r="I621" s="9" t="n">
        <x:v>6</x:v>
      </x:c>
      <x:c r="J621" s="9" t="n">
        <x:v>3</x:v>
      </x:c>
      <x:c r="K621" s="9" t="n">
        <x:v>0</x:v>
      </x:c>
      <x:c r="L621" s="13" t="n">
        <x:f>SUMIFS('Payments'!$D$5:$D$3014,'Payments'!$B$5:$B$3014,A621)</x:f>
        <x:v>3566.3100000000004</x:v>
      </x:c>
      <x:c r="M621" s="13" t="n">
        <x:f>G621-L621</x:f>
        <x:v>10116.220000000001</x:v>
      </x:c>
      <x:c r="N621" s="9" t="str">
        <x:f>IF(H621=0,"0 Current",IF(H621&lt;=30,"1 1-30",IF(H621&lt;=60,"2 31-60",IF(H621&lt;=90,"3 61-90",IF(H621&lt;=120,"4 91-120","5 121+")))))</x:f>
        <x:v>4 91-120</x:v>
      </x:c>
      <x:c r="O621" s="9" t="n">
        <x:f>IF(J621&gt;0,1,0)</x:f>
        <x:v>1</x:v>
      </x:c>
    </x:row>
    <x:row r="622">
      <x:c r="A622" s="15" t="str">
        <x:v>618</x:v>
      </x:c>
      <x:c r="B622" s="9" t="str">
        <x:v>Morgan</x:v>
      </x:c>
      <x:c r="C622" s="9" t="str">
        <x:v>Credit Card</x:v>
      </x:c>
      <x:c r="D622" s="9" t="str">
        <x:v>West</x:v>
      </x:c>
      <x:c r="E622" s="9" t="n">
        <x:v>647</x:v>
      </x:c>
      <x:c r="F622" s="11" t="n">
        <x:v>46114</x:v>
      </x:c>
      <x:c r="G622" s="13" t="n">
        <x:v>21420.77</x:v>
      </x:c>
      <x:c r="H622" s="9" t="n">
        <x:v>215</x:v>
      </x:c>
      <x:c r="I622" s="9" t="n">
        <x:v>8</x:v>
      </x:c>
      <x:c r="J622" s="9" t="n">
        <x:v>5</x:v>
      </x:c>
      <x:c r="K622" s="9" t="n">
        <x:v>0</x:v>
      </x:c>
      <x:c r="L622" s="13" t="n">
        <x:f>SUMIFS('Payments'!$D$5:$D$3014,'Payments'!$B$5:$B$3014,A622)</x:f>
        <x:v>3833.79</x:v>
      </x:c>
      <x:c r="M622" s="13" t="n">
        <x:f>G622-L622</x:f>
        <x:v>17586.98</x:v>
      </x:c>
      <x:c r="N622" s="9" t="str">
        <x:f>IF(H622=0,"0 Current",IF(H622&lt;=30,"1 1-30",IF(H622&lt;=60,"2 31-60",IF(H622&lt;=90,"3 61-90",IF(H622&lt;=120,"4 91-120","5 121+")))))</x:f>
        <x:v>5 121+</x:v>
      </x:c>
      <x:c r="O622" s="9" t="n">
        <x:f>IF(J622&gt;0,1,0)</x:f>
        <x:v>1</x:v>
      </x:c>
    </x:row>
    <x:row r="623">
      <x:c r="A623" s="15" t="str">
        <x:v>619</x:v>
      </x:c>
      <x:c r="B623" s="9" t="str">
        <x:v>Casey</x:v>
      </x:c>
      <x:c r="C623" s="9" t="str">
        <x:v>Credit Card</x:v>
      </x:c>
      <x:c r="D623" s="9" t="str">
        <x:v>South</x:v>
      </x:c>
      <x:c r="E623" s="9" t="n">
        <x:v>605</x:v>
      </x:c>
      <x:c r="F623" s="11" t="n">
        <x:v>46081</x:v>
      </x:c>
      <x:c r="G623" s="13" t="n">
        <x:v>19628.79</x:v>
      </x:c>
      <x:c r="H623" s="9" t="n">
        <x:v>155</x:v>
      </x:c>
      <x:c r="I623" s="9" t="n">
        <x:v>3</x:v>
      </x:c>
      <x:c r="J623" s="9" t="n">
        <x:v>2</x:v>
      </x:c>
      <x:c r="K623" s="9" t="n">
        <x:v>1</x:v>
      </x:c>
      <x:c r="L623" s="13" t="n">
        <x:f>SUMIFS('Payments'!$D$5:$D$3014,'Payments'!$B$5:$B$3014,A623)</x:f>
        <x:v>1706.46</x:v>
      </x:c>
      <x:c r="M623" s="13" t="n">
        <x:f>G623-L623</x:f>
        <x:v>17922.33</x:v>
      </x:c>
      <x:c r="N623" s="9" t="str">
        <x:f>IF(H623=0,"0 Current",IF(H623&lt;=30,"1 1-30",IF(H623&lt;=60,"2 31-60",IF(H623&lt;=90,"3 61-90",IF(H623&lt;=120,"4 91-120","5 121+")))))</x:f>
        <x:v>5 121+</x:v>
      </x:c>
      <x:c r="O623" s="9" t="n">
        <x:f>IF(J623&gt;0,1,0)</x:f>
        <x:v>1</x:v>
      </x:c>
    </x:row>
    <x:row r="624">
      <x:c r="A624" s="15" t="str">
        <x:v>620</x:v>
      </x:c>
      <x:c r="B624" s="9" t="str">
        <x:v>Casey</x:v>
      </x:c>
      <x:c r="C624" s="9" t="str">
        <x:v>Medical</x:v>
      </x:c>
      <x:c r="D624" s="9" t="str">
        <x:v>Northeast</x:v>
      </x:c>
      <x:c r="E624" s="9" t="n">
        <x:v>771</x:v>
      </x:c>
      <x:c r="F624" s="11" t="n">
        <x:v>46038</x:v>
      </x:c>
      <x:c r="G624" s="13" t="n">
        <x:v>9212.91</x:v>
      </x:c>
      <x:c r="H624" s="9" t="n">
        <x:v>149</x:v>
      </x:c>
      <x:c r="I624" s="9" t="n">
        <x:v>1</x:v>
      </x:c>
      <x:c r="J624" s="9" t="n">
        <x:v>0</x:v>
      </x:c>
      <x:c r="K624" s="9" t="n">
        <x:v>0</x:v>
      </x:c>
      <x:c r="L624" s="13" t="n">
        <x:f>SUMIFS('Payments'!$D$5:$D$3014,'Payments'!$B$5:$B$3014,A624)</x:f>
        <x:v>2236.52</x:v>
      </x:c>
      <x:c r="M624" s="13" t="n">
        <x:f>G624-L624</x:f>
        <x:v>6976.389999999999</x:v>
      </x:c>
      <x:c r="N624" s="9" t="str">
        <x:f>IF(H624=0,"0 Current",IF(H624&lt;=30,"1 1-30",IF(H624&lt;=60,"2 31-60",IF(H624&lt;=90,"3 61-90",IF(H624&lt;=120,"4 91-120","5 121+")))))</x:f>
        <x:v>5 121+</x:v>
      </x:c>
      <x:c r="O624" s="9" t="n">
        <x:f>IF(J624&gt;0,1,0)</x:f>
        <x:v>0</x:v>
      </x:c>
    </x:row>
    <x:row r="625">
      <x:c r="A625" s="15" t="str">
        <x:v>621</x:v>
      </x:c>
      <x:c r="B625" s="9" t="str">
        <x:v>Morgan</x:v>
      </x:c>
      <x:c r="C625" s="9" t="str">
        <x:v>Medical</x:v>
      </x:c>
      <x:c r="D625" s="9" t="str">
        <x:v>Midwest</x:v>
      </x:c>
      <x:c r="E625" s="9" t="n">
        <x:v>698</x:v>
      </x:c>
      <x:c r="F625" s="11" t="n">
        <x:v>46136</x:v>
      </x:c>
      <x:c r="G625" s="13" t="n">
        <x:v>3997.47</x:v>
      </x:c>
      <x:c r="H625" s="9" t="n">
        <x:v>25</x:v>
      </x:c>
      <x:c r="I625" s="9" t="n">
        <x:v>1</x:v>
      </x:c>
      <x:c r="J625" s="9" t="n">
        <x:v>1</x:v>
      </x:c>
      <x:c r="K625" s="9" t="n">
        <x:v>0</x:v>
      </x:c>
      <x:c r="L625" s="13" t="n">
        <x:f>SUMIFS('Payments'!$D$5:$D$3014,'Payments'!$B$5:$B$3014,A625)</x:f>
        <x:v>1396.15</x:v>
      </x:c>
      <x:c r="M625" s="13" t="n">
        <x:f>G625-L625</x:f>
        <x:v>2601.3199999999997</x:v>
      </x:c>
      <x:c r="N625" s="9" t="str">
        <x:f>IF(H625=0,"0 Current",IF(H625&lt;=30,"1 1-30",IF(H625&lt;=60,"2 31-60",IF(H625&lt;=90,"3 61-90",IF(H625&lt;=120,"4 91-120","5 121+")))))</x:f>
        <x:v>1 1-30</x:v>
      </x:c>
      <x:c r="O625" s="9" t="n">
        <x:f>IF(J625&gt;0,1,0)</x:f>
        <x:v>1</x:v>
      </x:c>
    </x:row>
    <x:row r="626">
      <x:c r="A626" s="15" t="str">
        <x:v>622</x:v>
      </x:c>
      <x:c r="B626" s="9" t="str">
        <x:v>Alex</x:v>
      </x:c>
      <x:c r="C626" s="9" t="str">
        <x:v>Personal Loan</x:v>
      </x:c>
      <x:c r="D626" s="9" t="str">
        <x:v>Midwest</x:v>
      </x:c>
      <x:c r="E626" s="9" t="n">
        <x:v>451</x:v>
      </x:c>
      <x:c r="F626" s="11" t="n">
        <x:v>46072</x:v>
      </x:c>
      <x:c r="G626" s="13" t="n">
        <x:v>19636.69</x:v>
      </x:c>
      <x:c r="H626" s="9" t="n">
        <x:v>193</x:v>
      </x:c>
      <x:c r="I626" s="9" t="n">
        <x:v>7</x:v>
      </x:c>
      <x:c r="J626" s="9" t="n">
        <x:v>1</x:v>
      </x:c>
      <x:c r="K626" s="9" t="n">
        <x:v>0</x:v>
      </x:c>
      <x:c r="L626" s="13" t="n">
        <x:f>SUMIFS('Payments'!$D$5:$D$3014,'Payments'!$B$5:$B$3014,A626)</x:f>
        <x:v>3759.24</x:v>
      </x:c>
      <x:c r="M626" s="13" t="n">
        <x:f>G626-L626</x:f>
        <x:v>15877.449999999999</x:v>
      </x:c>
      <x:c r="N626" s="9" t="str">
        <x:f>IF(H626=0,"0 Current",IF(H626&lt;=30,"1 1-30",IF(H626&lt;=60,"2 31-60",IF(H626&lt;=90,"3 61-90",IF(H626&lt;=120,"4 91-120","5 121+")))))</x:f>
        <x:v>5 121+</x:v>
      </x:c>
      <x:c r="O626" s="9" t="n">
        <x:f>IF(J626&gt;0,1,0)</x:f>
        <x:v>1</x:v>
      </x:c>
    </x:row>
    <x:row r="627">
      <x:c r="A627" s="15" t="str">
        <x:v>623</x:v>
      </x:c>
      <x:c r="B627" s="9" t="str">
        <x:v>Morgan</x:v>
      </x:c>
      <x:c r="C627" s="9" t="str">
        <x:v>Medical</x:v>
      </x:c>
      <x:c r="D627" s="9" t="str">
        <x:v>West</x:v>
      </x:c>
      <x:c r="E627" s="9" t="n">
        <x:v>561</x:v>
      </x:c>
      <x:c r="F627" s="11" t="n">
        <x:v>46153</x:v>
      </x:c>
      <x:c r="G627" s="13" t="n">
        <x:v>20234.46</x:v>
      </x:c>
      <x:c r="H627" s="9" t="n">
        <x:v>45</x:v>
      </x:c>
      <x:c r="I627" s="9" t="n">
        <x:v>6</x:v>
      </x:c>
      <x:c r="J627" s="9" t="n">
        <x:v>1</x:v>
      </x:c>
      <x:c r="K627" s="9" t="n">
        <x:v>0</x:v>
      </x:c>
      <x:c r="L627" s="13" t="n">
        <x:f>SUMIFS('Payments'!$D$5:$D$3014,'Payments'!$B$5:$B$3014,A627)</x:f>
        <x:v>0</x:v>
      </x:c>
      <x:c r="M627" s="13" t="n">
        <x:f>G627-L627</x:f>
        <x:v>20234.46</x:v>
      </x:c>
      <x:c r="N627" s="9" t="str">
        <x:f>IF(H627=0,"0 Current",IF(H627&lt;=30,"1 1-30",IF(H627&lt;=60,"2 31-60",IF(H627&lt;=90,"3 61-90",IF(H627&lt;=120,"4 91-120","5 121+")))))</x:f>
        <x:v>2 31-60</x:v>
      </x:c>
      <x:c r="O627" s="9" t="n">
        <x:f>IF(J627&gt;0,1,0)</x:f>
        <x:v>1</x:v>
      </x:c>
    </x:row>
    <x:row r="628">
      <x:c r="A628" s="15" t="str">
        <x:v>624</x:v>
      </x:c>
      <x:c r="B628" s="9" t="str">
        <x:v>Riley</x:v>
      </x:c>
      <x:c r="C628" s="9" t="str">
        <x:v>Auto</x:v>
      </x:c>
      <x:c r="D628" s="9" t="str">
        <x:v>South</x:v>
      </x:c>
      <x:c r="E628" s="9" t="n">
        <x:v>482</x:v>
      </x:c>
      <x:c r="F628" s="11" t="n">
        <x:v>46101</x:v>
      </x:c>
      <x:c r="G628" s="13" t="n">
        <x:v>13922.43</x:v>
      </x:c>
      <x:c r="H628" s="9" t="n">
        <x:v>26</x:v>
      </x:c>
      <x:c r="I628" s="9" t="n">
        <x:v>2</x:v>
      </x:c>
      <x:c r="J628" s="9" t="n">
        <x:v>0</x:v>
      </x:c>
      <x:c r="K628" s="9" t="n">
        <x:v>0</x:v>
      </x:c>
      <x:c r="L628" s="13" t="n">
        <x:f>SUMIFS('Payments'!$D$5:$D$3014,'Payments'!$B$5:$B$3014,A628)</x:f>
        <x:v>3114.6899999999996</x:v>
      </x:c>
      <x:c r="M628" s="13" t="n">
        <x:f>G628-L628</x:f>
        <x:v>10807.740000000002</x:v>
      </x:c>
      <x:c r="N628" s="9" t="str">
        <x:f>IF(H628=0,"0 Current",IF(H628&lt;=30,"1 1-30",IF(H628&lt;=60,"2 31-60",IF(H628&lt;=90,"3 61-90",IF(H628&lt;=120,"4 91-120","5 121+")))))</x:f>
        <x:v>1 1-30</x:v>
      </x:c>
      <x:c r="O628" s="9" t="n">
        <x:f>IF(J628&gt;0,1,0)</x:f>
        <x:v>0</x:v>
      </x:c>
    </x:row>
    <x:row r="629">
      <x:c r="A629" s="15" t="str">
        <x:v>625</x:v>
      </x:c>
      <x:c r="B629" s="9" t="str">
        <x:v>Riley</x:v>
      </x:c>
      <x:c r="C629" s="9" t="str">
        <x:v>Medical</x:v>
      </x:c>
      <x:c r="D629" s="9" t="str">
        <x:v>West</x:v>
      </x:c>
      <x:c r="E629" s="9" t="n">
        <x:v>466</x:v>
      </x:c>
      <x:c r="F629" s="11" t="n">
        <x:v>46066</x:v>
      </x:c>
      <x:c r="G629" s="13" t="n">
        <x:v>7124.61</x:v>
      </x:c>
      <x:c r="H629" s="9" t="n">
        <x:v>83</x:v>
      </x:c>
      <x:c r="I629" s="9" t="n">
        <x:v>2</x:v>
      </x:c>
      <x:c r="J629" s="9" t="n">
        <x:v>1</x:v>
      </x:c>
      <x:c r="K629" s="9" t="n">
        <x:v>0</x:v>
      </x:c>
      <x:c r="L629" s="13" t="n">
        <x:f>SUMIFS('Payments'!$D$5:$D$3014,'Payments'!$B$5:$B$3014,A629)</x:f>
        <x:v>1756.53</x:v>
      </x:c>
      <x:c r="M629" s="13" t="n">
        <x:f>G629-L629</x:f>
        <x:v>5368.08</x:v>
      </x:c>
      <x:c r="N629" s="9" t="str">
        <x:f>IF(H629=0,"0 Current",IF(H629&lt;=30,"1 1-30",IF(H629&lt;=60,"2 31-60",IF(H629&lt;=90,"3 61-90",IF(H629&lt;=120,"4 91-120","5 121+")))))</x:f>
        <x:v>3 61-90</x:v>
      </x:c>
      <x:c r="O629" s="9" t="n">
        <x:f>IF(J629&gt;0,1,0)</x:f>
        <x:v>1</x:v>
      </x:c>
    </x:row>
    <x:row r="630">
      <x:c r="A630" s="15" t="str">
        <x:v>626</x:v>
      </x:c>
      <x:c r="B630" s="9" t="str">
        <x:v>Jordan</x:v>
      </x:c>
      <x:c r="C630" s="9" t="str">
        <x:v>Auto</x:v>
      </x:c>
      <x:c r="D630" s="9" t="str">
        <x:v>South</x:v>
      </x:c>
      <x:c r="E630" s="9" t="n">
        <x:v>748</x:v>
      </x:c>
      <x:c r="F630" s="11" t="n">
        <x:v>46103</x:v>
      </x:c>
      <x:c r="G630" s="13" t="n">
        <x:v>19362.11</x:v>
      </x:c>
      <x:c r="H630" s="9" t="n">
        <x:v>144</x:v>
      </x:c>
      <x:c r="I630" s="9" t="n">
        <x:v>6</x:v>
      </x:c>
      <x:c r="J630" s="9" t="n">
        <x:v>4</x:v>
      </x:c>
      <x:c r="K630" s="9" t="n">
        <x:v>1</x:v>
      </x:c>
      <x:c r="L630" s="13" t="n">
        <x:f>SUMIFS('Payments'!$D$5:$D$3014,'Payments'!$B$5:$B$3014,A630)</x:f>
        <x:v>3103.49</x:v>
      </x:c>
      <x:c r="M630" s="13" t="n">
        <x:f>G630-L630</x:f>
        <x:v>16258.62</x:v>
      </x:c>
      <x:c r="N630" s="9" t="str">
        <x:f>IF(H630=0,"0 Current",IF(H630&lt;=30,"1 1-30",IF(H630&lt;=60,"2 31-60",IF(H630&lt;=90,"3 61-90",IF(H630&lt;=120,"4 91-120","5 121+")))))</x:f>
        <x:v>5 121+</x:v>
      </x:c>
      <x:c r="O630" s="9" t="n">
        <x:f>IF(J630&gt;0,1,0)</x:f>
        <x:v>1</x:v>
      </x:c>
    </x:row>
    <x:row r="631">
      <x:c r="A631" s="15" t="str">
        <x:v>627</x:v>
      </x:c>
      <x:c r="B631" s="9" t="str">
        <x:v>Morgan</x:v>
      </x:c>
      <x:c r="C631" s="9" t="str">
        <x:v>Auto</x:v>
      </x:c>
      <x:c r="D631" s="9" t="str">
        <x:v>Northeast</x:v>
      </x:c>
      <x:c r="E631" s="9" t="n">
        <x:v>445</x:v>
      </x:c>
      <x:c r="F631" s="11" t="n">
        <x:v>46029</x:v>
      </x:c>
      <x:c r="G631" s="13" t="n">
        <x:v>13999.19</x:v>
      </x:c>
      <x:c r="H631" s="9" t="n">
        <x:v>83</x:v>
      </x:c>
      <x:c r="I631" s="9" t="n">
        <x:v>1</x:v>
      </x:c>
      <x:c r="J631" s="9" t="n">
        <x:v>0</x:v>
      </x:c>
      <x:c r="K631" s="9" t="n">
        <x:v>0</x:v>
      </x:c>
      <x:c r="L631" s="13" t="n">
        <x:f>SUMIFS('Payments'!$D$5:$D$3014,'Payments'!$B$5:$B$3014,A631)</x:f>
        <x:v>4108.08</x:v>
      </x:c>
      <x:c r="M631" s="13" t="n">
        <x:f>G631-L631</x:f>
        <x:v>9891.11</x:v>
      </x:c>
      <x:c r="N631" s="9" t="str">
        <x:f>IF(H631=0,"0 Current",IF(H631&lt;=30,"1 1-30",IF(H631&lt;=60,"2 31-60",IF(H631&lt;=90,"3 61-90",IF(H631&lt;=120,"4 91-120","5 121+")))))</x:f>
        <x:v>3 61-90</x:v>
      </x:c>
      <x:c r="O631" s="9" t="n">
        <x:f>IF(J631&gt;0,1,0)</x:f>
        <x:v>0</x:v>
      </x:c>
    </x:row>
    <x:row r="632">
      <x:c r="A632" s="15" t="str">
        <x:v>628</x:v>
      </x:c>
      <x:c r="B632" s="9" t="str">
        <x:v>Alex</x:v>
      </x:c>
      <x:c r="C632" s="9" t="str">
        <x:v>Auto</x:v>
      </x:c>
      <x:c r="D632" s="9" t="str">
        <x:v>Midwest</x:v>
      </x:c>
      <x:c r="E632" s="9" t="n">
        <x:v>544</x:v>
      </x:c>
      <x:c r="F632" s="11" t="n">
        <x:v>46145</x:v>
      </x:c>
      <x:c r="G632" s="13" t="n">
        <x:v>20207.84</x:v>
      </x:c>
      <x:c r="H632" s="9" t="n">
        <x:v>176</x:v>
      </x:c>
      <x:c r="I632" s="9" t="n">
        <x:v>1</x:v>
      </x:c>
      <x:c r="J632" s="9" t="n">
        <x:v>1</x:v>
      </x:c>
      <x:c r="K632" s="9" t="n">
        <x:v>0</x:v>
      </x:c>
      <x:c r="L632" s="13" t="n">
        <x:f>SUMIFS('Payments'!$D$5:$D$3014,'Payments'!$B$5:$B$3014,A632)</x:f>
        <x:v>3258.4700000000003</x:v>
      </x:c>
      <x:c r="M632" s="13" t="n">
        <x:f>G632-L632</x:f>
        <x:v>16949.37</x:v>
      </x:c>
      <x:c r="N632" s="9" t="str">
        <x:f>IF(H632=0,"0 Current",IF(H632&lt;=30,"1 1-30",IF(H632&lt;=60,"2 31-60",IF(H632&lt;=90,"3 61-90",IF(H632&lt;=120,"4 91-120","5 121+")))))</x:f>
        <x:v>5 121+</x:v>
      </x:c>
      <x:c r="O632" s="9" t="n">
        <x:f>IF(J632&gt;0,1,0)</x:f>
        <x:v>1</x:v>
      </x:c>
    </x:row>
    <x:row r="633">
      <x:c r="A633" s="15" t="str">
        <x:v>629</x:v>
      </x:c>
      <x:c r="B633" s="9" t="str">
        <x:v>Jordan</x:v>
      </x:c>
      <x:c r="C633" s="9" t="str">
        <x:v>Auto</x:v>
      </x:c>
      <x:c r="D633" s="9" t="str">
        <x:v>South</x:v>
      </x:c>
      <x:c r="E633" s="9" t="n">
        <x:v>709</x:v>
      </x:c>
      <x:c r="F633" s="11" t="n">
        <x:v>46093</x:v>
      </x:c>
      <x:c r="G633" s="13" t="n">
        <x:v>23060.98</x:v>
      </x:c>
      <x:c r="H633" s="9" t="n">
        <x:v>236</x:v>
      </x:c>
      <x:c r="I633" s="9" t="n">
        <x:v>1</x:v>
      </x:c>
      <x:c r="J633" s="9" t="n">
        <x:v>1</x:v>
      </x:c>
      <x:c r="K633" s="9" t="n">
        <x:v>1</x:v>
      </x:c>
      <x:c r="L633" s="13" t="n">
        <x:f>SUMIFS('Payments'!$D$5:$D$3014,'Payments'!$B$5:$B$3014,A633)</x:f>
        <x:v>1306.15</x:v>
      </x:c>
      <x:c r="M633" s="13" t="n">
        <x:f>G633-L633</x:f>
        <x:v>21754.829999999998</x:v>
      </x:c>
      <x:c r="N633" s="9" t="str">
        <x:f>IF(H633=0,"0 Current",IF(H633&lt;=30,"1 1-30",IF(H633&lt;=60,"2 31-60",IF(H633&lt;=90,"3 61-90",IF(H633&lt;=120,"4 91-120","5 121+")))))</x:f>
        <x:v>5 121+</x:v>
      </x:c>
      <x:c r="O633" s="9" t="n">
        <x:f>IF(J633&gt;0,1,0)</x:f>
        <x:v>1</x:v>
      </x:c>
    </x:row>
    <x:row r="634">
      <x:c r="A634" s="15" t="str">
        <x:v>630</x:v>
      </x:c>
      <x:c r="B634" s="9" t="str">
        <x:v>Casey</x:v>
      </x:c>
      <x:c r="C634" s="9" t="str">
        <x:v>Personal Loan</x:v>
      </x:c>
      <x:c r="D634" s="9" t="str">
        <x:v>South</x:v>
      </x:c>
      <x:c r="E634" s="9" t="n">
        <x:v>455</x:v>
      </x:c>
      <x:c r="F634" s="11" t="n">
        <x:v>46128</x:v>
      </x:c>
      <x:c r="G634" s="13" t="n">
        <x:v>6865.8</x:v>
      </x:c>
      <x:c r="H634" s="9" t="n">
        <x:v>146</x:v>
      </x:c>
      <x:c r="I634" s="9" t="n">
        <x:v>7</x:v>
      </x:c>
      <x:c r="J634" s="9" t="n">
        <x:v>5</x:v>
      </x:c>
      <x:c r="K634" s="9" t="n">
        <x:v>1</x:v>
      </x:c>
      <x:c r="L634" s="13" t="n">
        <x:f>SUMIFS('Payments'!$D$5:$D$3014,'Payments'!$B$5:$B$3014,A634)</x:f>
        <x:v>746.41</x:v>
      </x:c>
      <x:c r="M634" s="13" t="n">
        <x:f>G634-L634</x:f>
        <x:v>6119.39</x:v>
      </x:c>
      <x:c r="N634" s="9" t="str">
        <x:f>IF(H634=0,"0 Current",IF(H634&lt;=30,"1 1-30",IF(H634&lt;=60,"2 31-60",IF(H634&lt;=90,"3 61-90",IF(H634&lt;=120,"4 91-120","5 121+")))))</x:f>
        <x:v>5 121+</x:v>
      </x:c>
      <x:c r="O634" s="9" t="n">
        <x:f>IF(J634&gt;0,1,0)</x:f>
        <x:v>1</x:v>
      </x:c>
    </x:row>
    <x:row r="635">
      <x:c r="A635" s="15" t="str">
        <x:v>631</x:v>
      </x:c>
      <x:c r="B635" s="9" t="str">
        <x:v>Taylor</x:v>
      </x:c>
      <x:c r="C635" s="9" t="str">
        <x:v>Medical</x:v>
      </x:c>
      <x:c r="D635" s="9" t="str">
        <x:v>South</x:v>
      </x:c>
      <x:c r="E635" s="9" t="n">
        <x:v>720</x:v>
      </x:c>
      <x:c r="F635" s="11" t="n">
        <x:v>46115</x:v>
      </x:c>
      <x:c r="G635" s="13" t="n">
        <x:v>19199.9</x:v>
      </x:c>
      <x:c r="H635" s="9" t="n">
        <x:v>47</x:v>
      </x:c>
      <x:c r="I635" s="9" t="n">
        <x:v>5</x:v>
      </x:c>
      <x:c r="J635" s="9" t="n">
        <x:v>2</x:v>
      </x:c>
      <x:c r="K635" s="9" t="n">
        <x:v>0</x:v>
      </x:c>
      <x:c r="L635" s="13" t="n">
        <x:f>SUMIFS('Payments'!$D$5:$D$3014,'Payments'!$B$5:$B$3014,A635)</x:f>
        <x:v>2455.6400000000003</x:v>
      </x:c>
      <x:c r="M635" s="13" t="n">
        <x:f>G635-L635</x:f>
        <x:v>16744.260000000002</x:v>
      </x:c>
      <x:c r="N635" s="9" t="str">
        <x:f>IF(H635=0,"0 Current",IF(H635&lt;=30,"1 1-30",IF(H635&lt;=60,"2 31-60",IF(H635&lt;=90,"3 61-90",IF(H635&lt;=120,"4 91-120","5 121+")))))</x:f>
        <x:v>2 31-60</x:v>
      </x:c>
      <x:c r="O635" s="9" t="n">
        <x:f>IF(J635&gt;0,1,0)</x:f>
        <x:v>1</x:v>
      </x:c>
    </x:row>
    <x:row r="636">
      <x:c r="A636" s="15" t="str">
        <x:v>632</x:v>
      </x:c>
      <x:c r="B636" s="9" t="str">
        <x:v>Alex</x:v>
      </x:c>
      <x:c r="C636" s="9" t="str">
        <x:v>Personal Loan</x:v>
      </x:c>
      <x:c r="D636" s="9" t="str">
        <x:v>South</x:v>
      </x:c>
      <x:c r="E636" s="9" t="n">
        <x:v>539</x:v>
      </x:c>
      <x:c r="F636" s="11" t="n">
        <x:v>46035</x:v>
      </x:c>
      <x:c r="G636" s="13" t="n">
        <x:v>22662.59</x:v>
      </x:c>
      <x:c r="H636" s="9" t="n">
        <x:v>4</x:v>
      </x:c>
      <x:c r="I636" s="9" t="n">
        <x:v>1</x:v>
      </x:c>
      <x:c r="J636" s="9" t="n">
        <x:v>0</x:v>
      </x:c>
      <x:c r="K636" s="9" t="n">
        <x:v>0</x:v>
      </x:c>
      <x:c r="L636" s="13" t="n">
        <x:f>SUMIFS('Payments'!$D$5:$D$3014,'Payments'!$B$5:$B$3014,A636)</x:f>
        <x:v>9305.1</x:v>
      </x:c>
      <x:c r="M636" s="13" t="n">
        <x:f>G636-L636</x:f>
        <x:v>13357.49</x:v>
      </x:c>
      <x:c r="N636" s="9" t="str">
        <x:f>IF(H636=0,"0 Current",IF(H636&lt;=30,"1 1-30",IF(H636&lt;=60,"2 31-60",IF(H636&lt;=90,"3 61-90",IF(H636&lt;=120,"4 91-120","5 121+")))))</x:f>
        <x:v>1 1-30</x:v>
      </x:c>
      <x:c r="O636" s="9" t="n">
        <x:f>IF(J636&gt;0,1,0)</x:f>
        <x:v>0</x:v>
      </x:c>
    </x:row>
    <x:row r="637">
      <x:c r="A637" s="15" t="str">
        <x:v>633</x:v>
      </x:c>
      <x:c r="B637" s="9" t="str">
        <x:v>Riley</x:v>
      </x:c>
      <x:c r="C637" s="9" t="str">
        <x:v>Medical</x:v>
      </x:c>
      <x:c r="D637" s="9" t="str">
        <x:v>Midwest</x:v>
      </x:c>
      <x:c r="E637" s="9" t="n">
        <x:v>816</x:v>
      </x:c>
      <x:c r="F637" s="11" t="n">
        <x:v>46165</x:v>
      </x:c>
      <x:c r="G637" s="13" t="n">
        <x:v>5211.66</x:v>
      </x:c>
      <x:c r="H637" s="9" t="n">
        <x:v>204</x:v>
      </x:c>
      <x:c r="I637" s="9" t="n">
        <x:v>6</x:v>
      </x:c>
      <x:c r="J637" s="9" t="n">
        <x:v>3</x:v>
      </x:c>
      <x:c r="K637" s="9" t="n">
        <x:v>0</x:v>
      </x:c>
      <x:c r="L637" s="13" t="n">
        <x:f>SUMIFS('Payments'!$D$5:$D$3014,'Payments'!$B$5:$B$3014,A637)</x:f>
        <x:v>1863.31</x:v>
      </x:c>
      <x:c r="M637" s="13" t="n">
        <x:f>G637-L637</x:f>
        <x:v>3348.35</x:v>
      </x:c>
      <x:c r="N637" s="9" t="str">
        <x:f>IF(H637=0,"0 Current",IF(H637&lt;=30,"1 1-30",IF(H637&lt;=60,"2 31-60",IF(H637&lt;=90,"3 61-90",IF(H637&lt;=120,"4 91-120","5 121+")))))</x:f>
        <x:v>5 121+</x:v>
      </x:c>
      <x:c r="O637" s="9" t="n">
        <x:f>IF(J637&gt;0,1,0)</x:f>
        <x:v>1</x:v>
      </x:c>
    </x:row>
    <x:row r="638">
      <x:c r="A638" s="15" t="str">
        <x:v>634</x:v>
      </x:c>
      <x:c r="B638" s="9" t="str">
        <x:v>Jordan</x:v>
      </x:c>
      <x:c r="C638" s="9" t="str">
        <x:v>Credit Card</x:v>
      </x:c>
      <x:c r="D638" s="9" t="str">
        <x:v>South</x:v>
      </x:c>
      <x:c r="E638" s="9" t="n">
        <x:v>725</x:v>
      </x:c>
      <x:c r="F638" s="11" t="n">
        <x:v>46125</x:v>
      </x:c>
      <x:c r="G638" s="13" t="n">
        <x:v>24606.25</x:v>
      </x:c>
      <x:c r="H638" s="9" t="n">
        <x:v>159</x:v>
      </x:c>
      <x:c r="I638" s="9" t="n">
        <x:v>4</x:v>
      </x:c>
      <x:c r="J638" s="9" t="n">
        <x:v>2</x:v>
      </x:c>
      <x:c r="K638" s="9" t="n">
        <x:v>1</x:v>
      </x:c>
      <x:c r="L638" s="13" t="n">
        <x:f>SUMIFS('Payments'!$D$5:$D$3014,'Payments'!$B$5:$B$3014,A638)</x:f>
        <x:v>3549.2799999999997</x:v>
      </x:c>
      <x:c r="M638" s="13" t="n">
        <x:f>G638-L638</x:f>
        <x:v>21056.97</x:v>
      </x:c>
      <x:c r="N638" s="9" t="str">
        <x:f>IF(H638=0,"0 Current",IF(H638&lt;=30,"1 1-30",IF(H638&lt;=60,"2 31-60",IF(H638&lt;=90,"3 61-90",IF(H638&lt;=120,"4 91-120","5 121+")))))</x:f>
        <x:v>5 121+</x:v>
      </x:c>
      <x:c r="O638" s="9" t="n">
        <x:f>IF(J638&gt;0,1,0)</x:f>
        <x:v>1</x:v>
      </x:c>
    </x:row>
    <x:row r="639">
      <x:c r="A639" s="15" t="str">
        <x:v>635</x:v>
      </x:c>
      <x:c r="B639" s="9" t="str">
        <x:v>Casey</x:v>
      </x:c>
      <x:c r="C639" s="9" t="str">
        <x:v>Medical</x:v>
      </x:c>
      <x:c r="D639" s="9" t="str">
        <x:v>Northeast</x:v>
      </x:c>
      <x:c r="E639" s="9" t="n">
        <x:v>561</x:v>
      </x:c>
      <x:c r="F639" s="11" t="n">
        <x:v>46170</x:v>
      </x:c>
      <x:c r="G639" s="13" t="n">
        <x:v>6900.7</x:v>
      </x:c>
      <x:c r="H639" s="9" t="n">
        <x:v>52</x:v>
      </x:c>
      <x:c r="I639" s="9" t="n">
        <x:v>2</x:v>
      </x:c>
      <x:c r="J639" s="9" t="n">
        <x:v>2</x:v>
      </x:c>
      <x:c r="K639" s="9" t="n">
        <x:v>1</x:v>
      </x:c>
      <x:c r="L639" s="13" t="n">
        <x:f>SUMIFS('Payments'!$D$5:$D$3014,'Payments'!$B$5:$B$3014,A639)</x:f>
        <x:v>292.37</x:v>
      </x:c>
      <x:c r="M639" s="13" t="n">
        <x:f>G639-L639</x:f>
        <x:v>6608.33</x:v>
      </x:c>
      <x:c r="N639" s="9" t="str">
        <x:f>IF(H639=0,"0 Current",IF(H639&lt;=30,"1 1-30",IF(H639&lt;=60,"2 31-60",IF(H639&lt;=90,"3 61-90",IF(H639&lt;=120,"4 91-120","5 121+")))))</x:f>
        <x:v>2 31-60</x:v>
      </x:c>
      <x:c r="O639" s="9" t="n">
        <x:f>IF(J639&gt;0,1,0)</x:f>
        <x:v>1</x:v>
      </x:c>
    </x:row>
    <x:row r="640">
      <x:c r="A640" s="15" t="str">
        <x:v>636</x:v>
      </x:c>
      <x:c r="B640" s="9" t="str">
        <x:v>Casey</x:v>
      </x:c>
      <x:c r="C640" s="9" t="str">
        <x:v>Personal Loan</x:v>
      </x:c>
      <x:c r="D640" s="9" t="str">
        <x:v>South</x:v>
      </x:c>
      <x:c r="E640" s="9" t="n">
        <x:v>486</x:v>
      </x:c>
      <x:c r="F640" s="11" t="n">
        <x:v>46081</x:v>
      </x:c>
      <x:c r="G640" s="13" t="n">
        <x:v>9258.01</x:v>
      </x:c>
      <x:c r="H640" s="9" t="n">
        <x:v>41</x:v>
      </x:c>
      <x:c r="I640" s="9" t="n">
        <x:v>2</x:v>
      </x:c>
      <x:c r="J640" s="9" t="n">
        <x:v>1</x:v>
      </x:c>
      <x:c r="K640" s="9" t="n">
        <x:v>0</x:v>
      </x:c>
      <x:c r="L640" s="13" t="n">
        <x:f>SUMIFS('Payments'!$D$5:$D$3014,'Payments'!$B$5:$B$3014,A640)</x:f>
        <x:v>1135.78</x:v>
      </x:c>
      <x:c r="M640" s="13" t="n">
        <x:f>G640-L640</x:f>
        <x:v>8122.2300000000005</x:v>
      </x:c>
      <x:c r="N640" s="9" t="str">
        <x:f>IF(H640=0,"0 Current",IF(H640&lt;=30,"1 1-30",IF(H640&lt;=60,"2 31-60",IF(H640&lt;=90,"3 61-90",IF(H640&lt;=120,"4 91-120","5 121+")))))</x:f>
        <x:v>2 31-60</x:v>
      </x:c>
      <x:c r="O640" s="9" t="n">
        <x:f>IF(J640&gt;0,1,0)</x:f>
        <x:v>1</x:v>
      </x:c>
    </x:row>
    <x:row r="641">
      <x:c r="A641" s="15" t="str">
        <x:v>637</x:v>
      </x:c>
      <x:c r="B641" s="9" t="str">
        <x:v>Morgan</x:v>
      </x:c>
      <x:c r="C641" s="9" t="str">
        <x:v>Medical</x:v>
      </x:c>
      <x:c r="D641" s="9" t="str">
        <x:v>Midwest</x:v>
      </x:c>
      <x:c r="E641" s="9" t="n">
        <x:v>509</x:v>
      </x:c>
      <x:c r="F641" s="11" t="n">
        <x:v>46119</x:v>
      </x:c>
      <x:c r="G641" s="13" t="n">
        <x:v>1566.35</x:v>
      </x:c>
      <x:c r="H641" s="9" t="n">
        <x:v>97</x:v>
      </x:c>
      <x:c r="I641" s="9" t="n">
        <x:v>7</x:v>
      </x:c>
      <x:c r="J641" s="9" t="n">
        <x:v>4</x:v>
      </x:c>
      <x:c r="K641" s="9" t="n">
        <x:v>1</x:v>
      </x:c>
      <x:c r="L641" s="13" t="n">
        <x:f>SUMIFS('Payments'!$D$5:$D$3014,'Payments'!$B$5:$B$3014,A641)</x:f>
        <x:v>0</x:v>
      </x:c>
      <x:c r="M641" s="13" t="n">
        <x:f>G641-L641</x:f>
        <x:v>1566.35</x:v>
      </x:c>
      <x:c r="N641" s="9" t="str">
        <x:f>IF(H641=0,"0 Current",IF(H641&lt;=30,"1 1-30",IF(H641&lt;=60,"2 31-60",IF(H641&lt;=90,"3 61-90",IF(H641&lt;=120,"4 91-120","5 121+")))))</x:f>
        <x:v>4 91-120</x:v>
      </x:c>
      <x:c r="O641" s="9" t="n">
        <x:f>IF(J641&gt;0,1,0)</x:f>
        <x:v>1</x:v>
      </x:c>
    </x:row>
    <x:row r="642">
      <x:c r="A642" s="15" t="str">
        <x:v>638</x:v>
      </x:c>
      <x:c r="B642" s="9" t="str">
        <x:v>Taylor</x:v>
      </x:c>
      <x:c r="C642" s="9" t="str">
        <x:v>Personal Loan</x:v>
      </x:c>
      <x:c r="D642" s="9" t="str">
        <x:v>Northeast</x:v>
      </x:c>
      <x:c r="E642" s="9" t="n">
        <x:v>758</x:v>
      </x:c>
      <x:c r="F642" s="11" t="n">
        <x:v>46148</x:v>
      </x:c>
      <x:c r="G642" s="13" t="n">
        <x:v>15531.98</x:v>
      </x:c>
      <x:c r="H642" s="9" t="n">
        <x:v>106</x:v>
      </x:c>
      <x:c r="I642" s="9" t="n">
        <x:v>8</x:v>
      </x:c>
      <x:c r="J642" s="9" t="n">
        <x:v>4</x:v>
      </x:c>
      <x:c r="K642" s="9" t="n">
        <x:v>1</x:v>
      </x:c>
      <x:c r="L642" s="13" t="n">
        <x:f>SUMIFS('Payments'!$D$5:$D$3014,'Payments'!$B$5:$B$3014,A642)</x:f>
        <x:v>561.36</x:v>
      </x:c>
      <x:c r="M642" s="13" t="n">
        <x:f>G642-L642</x:f>
        <x:v>14970.619999999999</x:v>
      </x:c>
      <x:c r="N642" s="9" t="str">
        <x:f>IF(H642=0,"0 Current",IF(H642&lt;=30,"1 1-30",IF(H642&lt;=60,"2 31-60",IF(H642&lt;=90,"3 61-90",IF(H642&lt;=120,"4 91-120","5 121+")))))</x:f>
        <x:v>4 91-120</x:v>
      </x:c>
      <x:c r="O642" s="9" t="n">
        <x:f>IF(J642&gt;0,1,0)</x:f>
        <x:v>1</x:v>
      </x:c>
    </x:row>
    <x:row r="643">
      <x:c r="A643" s="15" t="str">
        <x:v>639</x:v>
      </x:c>
      <x:c r="B643" s="9" t="str">
        <x:v>Taylor</x:v>
      </x:c>
      <x:c r="C643" s="9" t="str">
        <x:v>Credit Card</x:v>
      </x:c>
      <x:c r="D643" s="9" t="str">
        <x:v>Northeast</x:v>
      </x:c>
      <x:c r="E643" s="9" t="n">
        <x:v>487</x:v>
      </x:c>
      <x:c r="F643" s="11" t="n">
        <x:v>46099</x:v>
      </x:c>
      <x:c r="G643" s="13" t="n">
        <x:v>10120</x:v>
      </x:c>
      <x:c r="H643" s="9" t="n">
        <x:v>166</x:v>
      </x:c>
      <x:c r="I643" s="9" t="n">
        <x:v>5</x:v>
      </x:c>
      <x:c r="J643" s="9" t="n">
        <x:v>1</x:v>
      </x:c>
      <x:c r="K643" s="9" t="n">
        <x:v>0</x:v>
      </x:c>
      <x:c r="L643" s="13" t="n">
        <x:f>SUMIFS('Payments'!$D$5:$D$3014,'Payments'!$B$5:$B$3014,A643)</x:f>
        <x:v>2155.21</x:v>
      </x:c>
      <x:c r="M643" s="13" t="n">
        <x:f>G643-L643</x:f>
        <x:v>7964.79</x:v>
      </x:c>
      <x:c r="N643" s="9" t="str">
        <x:f>IF(H643=0,"0 Current",IF(H643&lt;=30,"1 1-30",IF(H643&lt;=60,"2 31-60",IF(H643&lt;=90,"3 61-90",IF(H643&lt;=120,"4 91-120","5 121+")))))</x:f>
        <x:v>5 121+</x:v>
      </x:c>
      <x:c r="O643" s="9" t="n">
        <x:f>IF(J643&gt;0,1,0)</x:f>
        <x:v>1</x:v>
      </x:c>
    </x:row>
    <x:row r="644">
      <x:c r="A644" s="15" t="str">
        <x:v>640</x:v>
      </x:c>
      <x:c r="B644" s="9" t="str">
        <x:v>Taylor</x:v>
      </x:c>
      <x:c r="C644" s="9" t="str">
        <x:v>Personal Loan</x:v>
      </x:c>
      <x:c r="D644" s="9" t="str">
        <x:v>Northeast</x:v>
      </x:c>
      <x:c r="E644" s="9" t="n">
        <x:v>603</x:v>
      </x:c>
      <x:c r="F644" s="11" t="n">
        <x:v>46038</x:v>
      </x:c>
      <x:c r="G644" s="13" t="n">
        <x:v>9300.72</x:v>
      </x:c>
      <x:c r="H644" s="9" t="n">
        <x:v>95</x:v>
      </x:c>
      <x:c r="I644" s="9" t="n">
        <x:v>5</x:v>
      </x:c>
      <x:c r="J644" s="9" t="n">
        <x:v>3</x:v>
      </x:c>
      <x:c r="K644" s="9" t="n">
        <x:v>1</x:v>
      </x:c>
      <x:c r="L644" s="13" t="n">
        <x:f>SUMIFS('Payments'!$D$5:$D$3014,'Payments'!$B$5:$B$3014,A644)</x:f>
        <x:v>1560.5900000000001</x:v>
      </x:c>
      <x:c r="M644" s="13" t="n">
        <x:f>G644-L644</x:f>
        <x:v>7740.129999999999</x:v>
      </x:c>
      <x:c r="N644" s="9" t="str">
        <x:f>IF(H644=0,"0 Current",IF(H644&lt;=30,"1 1-30",IF(H644&lt;=60,"2 31-60",IF(H644&lt;=90,"3 61-90",IF(H644&lt;=120,"4 91-120","5 121+")))))</x:f>
        <x:v>4 91-120</x:v>
      </x:c>
      <x:c r="O644" s="9" t="n">
        <x:f>IF(J644&gt;0,1,0)</x:f>
        <x:v>1</x:v>
      </x:c>
    </x:row>
    <x:row r="645">
      <x:c r="A645" s="15" t="str">
        <x:v>641</x:v>
      </x:c>
      <x:c r="B645" s="9" t="str">
        <x:v>Jordan</x:v>
      </x:c>
      <x:c r="C645" s="9" t="str">
        <x:v>Credit Card</x:v>
      </x:c>
      <x:c r="D645" s="9" t="str">
        <x:v>South</x:v>
      </x:c>
      <x:c r="E645" s="9" t="n">
        <x:v>721</x:v>
      </x:c>
      <x:c r="F645" s="11" t="n">
        <x:v>46030</x:v>
      </x:c>
      <x:c r="G645" s="13" t="n">
        <x:v>1583.39</x:v>
      </x:c>
      <x:c r="H645" s="9" t="n">
        <x:v>227</x:v>
      </x:c>
      <x:c r="I645" s="9" t="n">
        <x:v>8</x:v>
      </x:c>
      <x:c r="J645" s="9" t="n">
        <x:v>2</x:v>
      </x:c>
      <x:c r="K645" s="9" t="n">
        <x:v>0</x:v>
      </x:c>
      <x:c r="L645" s="13" t="n">
        <x:f>SUMIFS('Payments'!$D$5:$D$3014,'Payments'!$B$5:$B$3014,A645)</x:f>
        <x:v>351.56000000000006</x:v>
      </x:c>
      <x:c r="M645" s="13" t="n">
        <x:f>G645-L645</x:f>
        <x:v>1231.83</x:v>
      </x:c>
      <x:c r="N645" s="9" t="str">
        <x:f>IF(H645=0,"0 Current",IF(H645&lt;=30,"1 1-30",IF(H645&lt;=60,"2 31-60",IF(H645&lt;=90,"3 61-90",IF(H645&lt;=120,"4 91-120","5 121+")))))</x:f>
        <x:v>5 121+</x:v>
      </x:c>
      <x:c r="O645" s="9" t="n">
        <x:f>IF(J645&gt;0,1,0)</x:f>
        <x:v>1</x:v>
      </x:c>
    </x:row>
    <x:row r="646">
      <x:c r="A646" s="15" t="str">
        <x:v>642</x:v>
      </x:c>
      <x:c r="B646" s="9" t="str">
        <x:v>Morgan</x:v>
      </x:c>
      <x:c r="C646" s="9" t="str">
        <x:v>Auto</x:v>
      </x:c>
      <x:c r="D646" s="9" t="str">
        <x:v>Midwest</x:v>
      </x:c>
      <x:c r="E646" s="9" t="n">
        <x:v>428</x:v>
      </x:c>
      <x:c r="F646" s="11" t="n">
        <x:v>46023</x:v>
      </x:c>
      <x:c r="G646" s="13" t="n">
        <x:v>13562.35</x:v>
      </x:c>
      <x:c r="H646" s="9" t="n">
        <x:v>230</x:v>
      </x:c>
      <x:c r="I646" s="9" t="n">
        <x:v>1</x:v>
      </x:c>
      <x:c r="J646" s="9" t="n">
        <x:v>0</x:v>
      </x:c>
      <x:c r="K646" s="9" t="n">
        <x:v>0</x:v>
      </x:c>
      <x:c r="L646" s="13" t="n">
        <x:f>SUMIFS('Payments'!$D$5:$D$3014,'Payments'!$B$5:$B$3014,A646)</x:f>
        <x:v>1771.6</x:v>
      </x:c>
      <x:c r="M646" s="13" t="n">
        <x:f>G646-L646</x:f>
        <x:v>11790.75</x:v>
      </x:c>
      <x:c r="N646" s="9" t="str">
        <x:f>IF(H646=0,"0 Current",IF(H646&lt;=30,"1 1-30",IF(H646&lt;=60,"2 31-60",IF(H646&lt;=90,"3 61-90",IF(H646&lt;=120,"4 91-120","5 121+")))))</x:f>
        <x:v>5 121+</x:v>
      </x:c>
      <x:c r="O646" s="9" t="n">
        <x:f>IF(J646&gt;0,1,0)</x:f>
        <x:v>0</x:v>
      </x:c>
    </x:row>
    <x:row r="647">
      <x:c r="A647" s="15" t="str">
        <x:v>643</x:v>
      </x:c>
      <x:c r="B647" s="9" t="str">
        <x:v>Casey</x:v>
      </x:c>
      <x:c r="C647" s="9" t="str">
        <x:v>Medical</x:v>
      </x:c>
      <x:c r="D647" s="9" t="str">
        <x:v>South</x:v>
      </x:c>
      <x:c r="E647" s="9" t="n">
        <x:v>555</x:v>
      </x:c>
      <x:c r="F647" s="11" t="n">
        <x:v>46169</x:v>
      </x:c>
      <x:c r="G647" s="13" t="n">
        <x:v>8732.87</x:v>
      </x:c>
      <x:c r="H647" s="9" t="n">
        <x:v>131</x:v>
      </x:c>
      <x:c r="I647" s="9" t="n">
        <x:v>3</x:v>
      </x:c>
      <x:c r="J647" s="9" t="n">
        <x:v>1</x:v>
      </x:c>
      <x:c r="K647" s="9" t="n">
        <x:v>0</x:v>
      </x:c>
      <x:c r="L647" s="13" t="n">
        <x:f>SUMIFS('Payments'!$D$5:$D$3014,'Payments'!$B$5:$B$3014,A647)</x:f>
        <x:v>1065.71</x:v>
      </x:c>
      <x:c r="M647" s="13" t="n">
        <x:f>G647-L647</x:f>
        <x:v>7667.160000000001</x:v>
      </x:c>
      <x:c r="N647" s="9" t="str">
        <x:f>IF(H647=0,"0 Current",IF(H647&lt;=30,"1 1-30",IF(H647&lt;=60,"2 31-60",IF(H647&lt;=90,"3 61-90",IF(H647&lt;=120,"4 91-120","5 121+")))))</x:f>
        <x:v>5 121+</x:v>
      </x:c>
      <x:c r="O647" s="9" t="n">
        <x:f>IF(J647&gt;0,1,0)</x:f>
        <x:v>1</x:v>
      </x:c>
    </x:row>
    <x:row r="648">
      <x:c r="A648" s="15" t="str">
        <x:v>644</x:v>
      </x:c>
      <x:c r="B648" s="9" t="str">
        <x:v>Taylor</x:v>
      </x:c>
      <x:c r="C648" s="9" t="str">
        <x:v>Personal Loan</x:v>
      </x:c>
      <x:c r="D648" s="9" t="str">
        <x:v>Northeast</x:v>
      </x:c>
      <x:c r="E648" s="9" t="n">
        <x:v>484</x:v>
      </x:c>
      <x:c r="F648" s="11" t="n">
        <x:v>46087</x:v>
      </x:c>
      <x:c r="G648" s="13" t="n">
        <x:v>8243.8</x:v>
      </x:c>
      <x:c r="H648" s="9" t="n">
        <x:v>84</x:v>
      </x:c>
      <x:c r="I648" s="9" t="n">
        <x:v>4</x:v>
      </x:c>
      <x:c r="J648" s="9" t="n">
        <x:v>2</x:v>
      </x:c>
      <x:c r="K648" s="9" t="n">
        <x:v>1</x:v>
      </x:c>
      <x:c r="L648" s="13" t="n">
        <x:f>SUMIFS('Payments'!$D$5:$D$3014,'Payments'!$B$5:$B$3014,A648)</x:f>
        <x:v>2343.98</x:v>
      </x:c>
      <x:c r="M648" s="13" t="n">
        <x:f>G648-L648</x:f>
        <x:v>5899.82</x:v>
      </x:c>
      <x:c r="N648" s="9" t="str">
        <x:f>IF(H648=0,"0 Current",IF(H648&lt;=30,"1 1-30",IF(H648&lt;=60,"2 31-60",IF(H648&lt;=90,"3 61-90",IF(H648&lt;=120,"4 91-120","5 121+")))))</x:f>
        <x:v>3 61-90</x:v>
      </x:c>
      <x:c r="O648" s="9" t="n">
        <x:f>IF(J648&gt;0,1,0)</x:f>
        <x:v>1</x:v>
      </x:c>
    </x:row>
    <x:row r="649">
      <x:c r="A649" s="15" t="str">
        <x:v>645</x:v>
      </x:c>
      <x:c r="B649" s="9" t="str">
        <x:v>Taylor</x:v>
      </x:c>
      <x:c r="C649" s="9" t="str">
        <x:v>Credit Card</x:v>
      </x:c>
      <x:c r="D649" s="9" t="str">
        <x:v>West</x:v>
      </x:c>
      <x:c r="E649" s="9" t="n">
        <x:v>689</x:v>
      </x:c>
      <x:c r="F649" s="11" t="n">
        <x:v>46031</x:v>
      </x:c>
      <x:c r="G649" s="13" t="n">
        <x:v>16649.32</x:v>
      </x:c>
      <x:c r="H649" s="9" t="n">
        <x:v>203</x:v>
      </x:c>
      <x:c r="I649" s="9" t="n">
        <x:v>2</x:v>
      </x:c>
      <x:c r="J649" s="9" t="n">
        <x:v>0</x:v>
      </x:c>
      <x:c r="K649" s="9" t="n">
        <x:v>0</x:v>
      </x:c>
      <x:c r="L649" s="13" t="n">
        <x:f>SUMIFS('Payments'!$D$5:$D$3014,'Payments'!$B$5:$B$3014,A649)</x:f>
        <x:v>487.55</x:v>
      </x:c>
      <x:c r="M649" s="13" t="n">
        <x:f>G649-L649</x:f>
        <x:v>16161.77</x:v>
      </x:c>
      <x:c r="N649" s="9" t="str">
        <x:f>IF(H649=0,"0 Current",IF(H649&lt;=30,"1 1-30",IF(H649&lt;=60,"2 31-60",IF(H649&lt;=90,"3 61-90",IF(H649&lt;=120,"4 91-120","5 121+")))))</x:f>
        <x:v>5 121+</x:v>
      </x:c>
      <x:c r="O649" s="9" t="n">
        <x:f>IF(J649&gt;0,1,0)</x:f>
        <x:v>0</x:v>
      </x:c>
    </x:row>
    <x:row r="650">
      <x:c r="A650" s="15" t="str">
        <x:v>646</x:v>
      </x:c>
      <x:c r="B650" s="9" t="str">
        <x:v>Riley</x:v>
      </x:c>
      <x:c r="C650" s="9" t="str">
        <x:v>Auto</x:v>
      </x:c>
      <x:c r="D650" s="9" t="str">
        <x:v>Northeast</x:v>
      </x:c>
      <x:c r="E650" s="9" t="n">
        <x:v>801</x:v>
      </x:c>
      <x:c r="F650" s="11" t="n">
        <x:v>46105</x:v>
      </x:c>
      <x:c r="G650" s="13" t="n">
        <x:v>991.25</x:v>
      </x:c>
      <x:c r="H650" s="9" t="n">
        <x:v>123</x:v>
      </x:c>
      <x:c r="I650" s="9" t="n">
        <x:v>7</x:v>
      </x:c>
      <x:c r="J650" s="9" t="n">
        <x:v>3</x:v>
      </x:c>
      <x:c r="K650" s="9" t="n">
        <x:v>0</x:v>
      </x:c>
      <x:c r="L650" s="13" t="n">
        <x:f>SUMIFS('Payments'!$D$5:$D$3014,'Payments'!$B$5:$B$3014,A650)</x:f>
        <x:v>145.32</x:v>
      </x:c>
      <x:c r="M650" s="13" t="n">
        <x:f>G650-L650</x:f>
        <x:v>845.9300000000001</x:v>
      </x:c>
      <x:c r="N650" s="9" t="str">
        <x:f>IF(H650=0,"0 Current",IF(H650&lt;=30,"1 1-30",IF(H650&lt;=60,"2 31-60",IF(H650&lt;=90,"3 61-90",IF(H650&lt;=120,"4 91-120","5 121+")))))</x:f>
        <x:v>5 121+</x:v>
      </x:c>
      <x:c r="O650" s="9" t="n">
        <x:f>IF(J650&gt;0,1,0)</x:f>
        <x:v>1</x:v>
      </x:c>
    </x:row>
    <x:row r="651">
      <x:c r="A651" s="15" t="str">
        <x:v>647</x:v>
      </x:c>
      <x:c r="B651" s="9" t="str">
        <x:v>Taylor</x:v>
      </x:c>
      <x:c r="C651" s="9" t="str">
        <x:v>Personal Loan</x:v>
      </x:c>
      <x:c r="D651" s="9" t="str">
        <x:v>Northeast</x:v>
      </x:c>
      <x:c r="E651" s="9" t="n">
        <x:v>663</x:v>
      </x:c>
      <x:c r="F651" s="11" t="n">
        <x:v>46139</x:v>
      </x:c>
      <x:c r="G651" s="13" t="n">
        <x:v>4547.64</x:v>
      </x:c>
      <x:c r="H651" s="9" t="n">
        <x:v>195</x:v>
      </x:c>
      <x:c r="I651" s="9" t="n">
        <x:v>1</x:v>
      </x:c>
      <x:c r="J651" s="9" t="n">
        <x:v>1</x:v>
      </x:c>
      <x:c r="K651" s="9" t="n">
        <x:v>1</x:v>
      </x:c>
      <x:c r="L651" s="13" t="n">
        <x:f>SUMIFS('Payments'!$D$5:$D$3014,'Payments'!$B$5:$B$3014,A651)</x:f>
        <x:v>1360.31</x:v>
      </x:c>
      <x:c r="M651" s="13" t="n">
        <x:f>G651-L651</x:f>
        <x:v>3187.3300000000004</x:v>
      </x:c>
      <x:c r="N651" s="9" t="str">
        <x:f>IF(H651=0,"0 Current",IF(H651&lt;=30,"1 1-30",IF(H651&lt;=60,"2 31-60",IF(H651&lt;=90,"3 61-90",IF(H651&lt;=120,"4 91-120","5 121+")))))</x:f>
        <x:v>5 121+</x:v>
      </x:c>
      <x:c r="O651" s="9" t="n">
        <x:f>IF(J651&gt;0,1,0)</x:f>
        <x:v>1</x:v>
      </x:c>
    </x:row>
    <x:row r="652">
      <x:c r="A652" s="15" t="str">
        <x:v>648</x:v>
      </x:c>
      <x:c r="B652" s="9" t="str">
        <x:v>Riley</x:v>
      </x:c>
      <x:c r="C652" s="9" t="str">
        <x:v>Personal Loan</x:v>
      </x:c>
      <x:c r="D652" s="9" t="str">
        <x:v>West</x:v>
      </x:c>
      <x:c r="E652" s="9" t="n">
        <x:v>818</x:v>
      </x:c>
      <x:c r="F652" s="11" t="n">
        <x:v>46051</x:v>
      </x:c>
      <x:c r="G652" s="13" t="n">
        <x:v>5544.81</x:v>
      </x:c>
      <x:c r="H652" s="9" t="n">
        <x:v>32</x:v>
      </x:c>
      <x:c r="I652" s="9" t="n">
        <x:v>1</x:v>
      </x:c>
      <x:c r="J652" s="9" t="n">
        <x:v>0</x:v>
      </x:c>
      <x:c r="K652" s="9" t="n">
        <x:v>0</x:v>
      </x:c>
      <x:c r="L652" s="13" t="n">
        <x:f>SUMIFS('Payments'!$D$5:$D$3014,'Payments'!$B$5:$B$3014,A652)</x:f>
        <x:v>994.1099999999999</x:v>
      </x:c>
      <x:c r="M652" s="13" t="n">
        <x:f>G652-L652</x:f>
        <x:v>4550.700000000001</x:v>
      </x:c>
      <x:c r="N652" s="9" t="str">
        <x:f>IF(H652=0,"0 Current",IF(H652&lt;=30,"1 1-30",IF(H652&lt;=60,"2 31-60",IF(H652&lt;=90,"3 61-90",IF(H652&lt;=120,"4 91-120","5 121+")))))</x:f>
        <x:v>2 31-60</x:v>
      </x:c>
      <x:c r="O652" s="9" t="n">
        <x:f>IF(J652&gt;0,1,0)</x:f>
        <x:v>0</x:v>
      </x:c>
    </x:row>
    <x:row r="653">
      <x:c r="A653" s="15" t="str">
        <x:v>649</x:v>
      </x:c>
      <x:c r="B653" s="9" t="str">
        <x:v>Casey</x:v>
      </x:c>
      <x:c r="C653" s="9" t="str">
        <x:v>Medical</x:v>
      </x:c>
      <x:c r="D653" s="9" t="str">
        <x:v>Midwest</x:v>
      </x:c>
      <x:c r="E653" s="9" t="n">
        <x:v>682</x:v>
      </x:c>
      <x:c r="F653" s="11" t="n">
        <x:v>46153</x:v>
      </x:c>
      <x:c r="G653" s="13" t="n">
        <x:v>8673.77</x:v>
      </x:c>
      <x:c r="H653" s="9" t="n">
        <x:v>198</x:v>
      </x:c>
      <x:c r="I653" s="9" t="n">
        <x:v>3</x:v>
      </x:c>
      <x:c r="J653" s="9" t="n">
        <x:v>2</x:v>
      </x:c>
      <x:c r="K653" s="9" t="n">
        <x:v>0</x:v>
      </x:c>
      <x:c r="L653" s="13" t="n">
        <x:f>SUMIFS('Payments'!$D$5:$D$3014,'Payments'!$B$5:$B$3014,A653)</x:f>
        <x:v>0</x:v>
      </x:c>
      <x:c r="M653" s="13" t="n">
        <x:f>G653-L653</x:f>
        <x:v>8673.77</x:v>
      </x:c>
      <x:c r="N653" s="9" t="str">
        <x:f>IF(H653=0,"0 Current",IF(H653&lt;=30,"1 1-30",IF(H653&lt;=60,"2 31-60",IF(H653&lt;=90,"3 61-90",IF(H653&lt;=120,"4 91-120","5 121+")))))</x:f>
        <x:v>5 121+</x:v>
      </x:c>
      <x:c r="O653" s="9" t="n">
        <x:f>IF(J653&gt;0,1,0)</x:f>
        <x:v>1</x:v>
      </x:c>
    </x:row>
    <x:row r="654">
      <x:c r="A654" s="15" t="str">
        <x:v>650</x:v>
      </x:c>
      <x:c r="B654" s="9" t="str">
        <x:v>Alex</x:v>
      </x:c>
      <x:c r="C654" s="9" t="str">
        <x:v>Personal Loan</x:v>
      </x:c>
      <x:c r="D654" s="9" t="str">
        <x:v>Northeast</x:v>
      </x:c>
      <x:c r="E654" s="9" t="n">
        <x:v>651</x:v>
      </x:c>
      <x:c r="F654" s="11" t="n">
        <x:v>46158</x:v>
      </x:c>
      <x:c r="G654" s="13" t="n">
        <x:v>22521.99</x:v>
      </x:c>
      <x:c r="H654" s="9" t="n">
        <x:v>138</x:v>
      </x:c>
      <x:c r="I654" s="9" t="n">
        <x:v>5</x:v>
      </x:c>
      <x:c r="J654" s="9" t="n">
        <x:v>1</x:v>
      </x:c>
      <x:c r="K654" s="9" t="n">
        <x:v>0</x:v>
      </x:c>
      <x:c r="L654" s="13" t="n">
        <x:f>SUMIFS('Payments'!$D$5:$D$3014,'Payments'!$B$5:$B$3014,A654)</x:f>
        <x:v>2793.28</x:v>
      </x:c>
      <x:c r="M654" s="13" t="n">
        <x:f>G654-L654</x:f>
        <x:v>19728.710000000003</x:v>
      </x:c>
      <x:c r="N654" s="9" t="str">
        <x:f>IF(H654=0,"0 Current",IF(H654&lt;=30,"1 1-30",IF(H654&lt;=60,"2 31-60",IF(H654&lt;=90,"3 61-90",IF(H654&lt;=120,"4 91-120","5 121+")))))</x:f>
        <x:v>5 121+</x:v>
      </x:c>
      <x:c r="O654" s="9" t="n">
        <x:f>IF(J654&gt;0,1,0)</x:f>
        <x:v>1</x:v>
      </x:c>
    </x:row>
    <x:row r="655">
      <x:c r="A655" s="15" t="str">
        <x:v>651</x:v>
      </x:c>
      <x:c r="B655" s="9" t="str">
        <x:v>Alex</x:v>
      </x:c>
      <x:c r="C655" s="9" t="str">
        <x:v>Auto</x:v>
      </x:c>
      <x:c r="D655" s="9" t="str">
        <x:v>South</x:v>
      </x:c>
      <x:c r="E655" s="9" t="n">
        <x:v>734</x:v>
      </x:c>
      <x:c r="F655" s="11" t="n">
        <x:v>46074</x:v>
      </x:c>
      <x:c r="G655" s="13" t="n">
        <x:v>12177.83</x:v>
      </x:c>
      <x:c r="H655" s="9" t="n">
        <x:v>75</x:v>
      </x:c>
      <x:c r="I655" s="9" t="n">
        <x:v>4</x:v>
      </x:c>
      <x:c r="J655" s="9" t="n">
        <x:v>0</x:v>
      </x:c>
      <x:c r="K655" s="9" t="n">
        <x:v>0</x:v>
      </x:c>
      <x:c r="L655" s="13" t="n">
        <x:f>SUMIFS('Payments'!$D$5:$D$3014,'Payments'!$B$5:$B$3014,A655)</x:f>
        <x:v>3490.85</x:v>
      </x:c>
      <x:c r="M655" s="13" t="n">
        <x:f>G655-L655</x:f>
        <x:v>8686.98</x:v>
      </x:c>
      <x:c r="N655" s="9" t="str">
        <x:f>IF(H655=0,"0 Current",IF(H655&lt;=30,"1 1-30",IF(H655&lt;=60,"2 31-60",IF(H655&lt;=90,"3 61-90",IF(H655&lt;=120,"4 91-120","5 121+")))))</x:f>
        <x:v>3 61-90</x:v>
      </x:c>
      <x:c r="O655" s="9" t="n">
        <x:f>IF(J655&gt;0,1,0)</x:f>
        <x:v>0</x:v>
      </x:c>
    </x:row>
    <x:row r="656">
      <x:c r="A656" s="15" t="str">
        <x:v>652</x:v>
      </x:c>
      <x:c r="B656" s="9" t="str">
        <x:v>Casey</x:v>
      </x:c>
      <x:c r="C656" s="9" t="str">
        <x:v>Auto</x:v>
      </x:c>
      <x:c r="D656" s="9" t="str">
        <x:v>Northeast</x:v>
      </x:c>
      <x:c r="E656" s="9" t="n">
        <x:v>792</x:v>
      </x:c>
      <x:c r="F656" s="11" t="n">
        <x:v>46146</x:v>
      </x:c>
      <x:c r="G656" s="13" t="n">
        <x:v>7221.49</x:v>
      </x:c>
      <x:c r="H656" s="9" t="n">
        <x:v>201</x:v>
      </x:c>
      <x:c r="I656" s="9" t="n">
        <x:v>6</x:v>
      </x:c>
      <x:c r="J656" s="9" t="n">
        <x:v>1</x:v>
      </x:c>
      <x:c r="K656" s="9" t="n">
        <x:v>1</x:v>
      </x:c>
      <x:c r="L656" s="13" t="n">
        <x:f>SUMIFS('Payments'!$D$5:$D$3014,'Payments'!$B$5:$B$3014,A656)</x:f>
        <x:v>856.83</x:v>
      </x:c>
      <x:c r="M656" s="13" t="n">
        <x:f>G656-L656</x:f>
        <x:v>6364.66</x:v>
      </x:c>
      <x:c r="N656" s="9" t="str">
        <x:f>IF(H656=0,"0 Current",IF(H656&lt;=30,"1 1-30",IF(H656&lt;=60,"2 31-60",IF(H656&lt;=90,"3 61-90",IF(H656&lt;=120,"4 91-120","5 121+")))))</x:f>
        <x:v>5 121+</x:v>
      </x:c>
      <x:c r="O656" s="9" t="n">
        <x:f>IF(J656&gt;0,1,0)</x:f>
        <x:v>1</x:v>
      </x:c>
    </x:row>
    <x:row r="657">
      <x:c r="A657" s="15" t="str">
        <x:v>653</x:v>
      </x:c>
      <x:c r="B657" s="9" t="str">
        <x:v>Morgan</x:v>
      </x:c>
      <x:c r="C657" s="9" t="str">
        <x:v>Medical</x:v>
      </x:c>
      <x:c r="D657" s="9" t="str">
        <x:v>Midwest</x:v>
      </x:c>
      <x:c r="E657" s="9" t="n">
        <x:v>654</x:v>
      </x:c>
      <x:c r="F657" s="11" t="n">
        <x:v>46061</x:v>
      </x:c>
      <x:c r="G657" s="13" t="n">
        <x:v>9133.18</x:v>
      </x:c>
      <x:c r="H657" s="9" t="n">
        <x:v>172</x:v>
      </x:c>
      <x:c r="I657" s="9" t="n">
        <x:v>8</x:v>
      </x:c>
      <x:c r="J657" s="9" t="n">
        <x:v>1</x:v>
      </x:c>
      <x:c r="K657" s="9" t="n">
        <x:v>0</x:v>
      </x:c>
      <x:c r="L657" s="13" t="n">
        <x:f>SUMIFS('Payments'!$D$5:$D$3014,'Payments'!$B$5:$B$3014,A657)</x:f>
        <x:v>1031.02</x:v>
      </x:c>
      <x:c r="M657" s="13" t="n">
        <x:f>G657-L657</x:f>
        <x:v>8102.16</x:v>
      </x:c>
      <x:c r="N657" s="9" t="str">
        <x:f>IF(H657=0,"0 Current",IF(H657&lt;=30,"1 1-30",IF(H657&lt;=60,"2 31-60",IF(H657&lt;=90,"3 61-90",IF(H657&lt;=120,"4 91-120","5 121+")))))</x:f>
        <x:v>5 121+</x:v>
      </x:c>
      <x:c r="O657" s="9" t="n">
        <x:f>IF(J657&gt;0,1,0)</x:f>
        <x:v>1</x:v>
      </x:c>
    </x:row>
    <x:row r="658">
      <x:c r="A658" s="15" t="str">
        <x:v>654</x:v>
      </x:c>
      <x:c r="B658" s="9" t="str">
        <x:v>Riley</x:v>
      </x:c>
      <x:c r="C658" s="9" t="str">
        <x:v>Medical</x:v>
      </x:c>
      <x:c r="D658" s="9" t="str">
        <x:v>Northeast</x:v>
      </x:c>
      <x:c r="E658" s="9" t="n">
        <x:v>451</x:v>
      </x:c>
      <x:c r="F658" s="11" t="n">
        <x:v>46142</x:v>
      </x:c>
      <x:c r="G658" s="13" t="n">
        <x:v>18363.98</x:v>
      </x:c>
      <x:c r="H658" s="9" t="n">
        <x:v>224</x:v>
      </x:c>
      <x:c r="I658" s="9" t="n">
        <x:v>5</x:v>
      </x:c>
      <x:c r="J658" s="9" t="n">
        <x:v>3</x:v>
      </x:c>
      <x:c r="K658" s="9" t="n">
        <x:v>1</x:v>
      </x:c>
      <x:c r="L658" s="13" t="n">
        <x:f>SUMIFS('Payments'!$D$5:$D$3014,'Payments'!$B$5:$B$3014,A658)</x:f>
        <x:v>2877.2400000000002</x:v>
      </x:c>
      <x:c r="M658" s="13" t="n">
        <x:f>G658-L658</x:f>
        <x:v>15486.74</x:v>
      </x:c>
      <x:c r="N658" s="9" t="str">
        <x:f>IF(H658=0,"0 Current",IF(H658&lt;=30,"1 1-30",IF(H658&lt;=60,"2 31-60",IF(H658&lt;=90,"3 61-90",IF(H658&lt;=120,"4 91-120","5 121+")))))</x:f>
        <x:v>5 121+</x:v>
      </x:c>
      <x:c r="O658" s="9" t="n">
        <x:f>IF(J658&gt;0,1,0)</x:f>
        <x:v>1</x:v>
      </x:c>
    </x:row>
    <x:row r="659">
      <x:c r="A659" s="15" t="str">
        <x:v>655</x:v>
      </x:c>
      <x:c r="B659" s="9" t="str">
        <x:v>Jordan</x:v>
      </x:c>
      <x:c r="C659" s="9" t="str">
        <x:v>Personal Loan</x:v>
      </x:c>
      <x:c r="D659" s="9" t="str">
        <x:v>West</x:v>
      </x:c>
      <x:c r="E659" s="9" t="n">
        <x:v>625</x:v>
      </x:c>
      <x:c r="F659" s="11" t="n">
        <x:v>46094</x:v>
      </x:c>
      <x:c r="G659" s="13" t="n">
        <x:v>12070.64</x:v>
      </x:c>
      <x:c r="H659" s="9" t="n">
        <x:v>107</x:v>
      </x:c>
      <x:c r="I659" s="9" t="n">
        <x:v>7</x:v>
      </x:c>
      <x:c r="J659" s="9" t="n">
        <x:v>1</x:v>
      </x:c>
      <x:c r="K659" s="9" t="n">
        <x:v>0</x:v>
      </x:c>
      <x:c r="L659" s="13" t="n">
        <x:f>SUMIFS('Payments'!$D$5:$D$3014,'Payments'!$B$5:$B$3014,A659)</x:f>
        <x:v>988.84</x:v>
      </x:c>
      <x:c r="M659" s="13" t="n">
        <x:f>G659-L659</x:f>
        <x:v>11081.8</x:v>
      </x:c>
      <x:c r="N659" s="9" t="str">
        <x:f>IF(H659=0,"0 Current",IF(H659&lt;=30,"1 1-30",IF(H659&lt;=60,"2 31-60",IF(H659&lt;=90,"3 61-90",IF(H659&lt;=120,"4 91-120","5 121+")))))</x:f>
        <x:v>4 91-120</x:v>
      </x:c>
      <x:c r="O659" s="9" t="n">
        <x:f>IF(J659&gt;0,1,0)</x:f>
        <x:v>1</x:v>
      </x:c>
    </x:row>
    <x:row r="660">
      <x:c r="A660" s="15" t="str">
        <x:v>656</x:v>
      </x:c>
      <x:c r="B660" s="9" t="str">
        <x:v>Riley</x:v>
      </x:c>
      <x:c r="C660" s="9" t="str">
        <x:v>Credit Card</x:v>
      </x:c>
      <x:c r="D660" s="9" t="str">
        <x:v>West</x:v>
      </x:c>
      <x:c r="E660" s="9" t="n">
        <x:v>771</x:v>
      </x:c>
      <x:c r="F660" s="11" t="n">
        <x:v>46120</x:v>
      </x:c>
      <x:c r="G660" s="13" t="n">
        <x:v>2265.85</x:v>
      </x:c>
      <x:c r="H660" s="9" t="n">
        <x:v>151</x:v>
      </x:c>
      <x:c r="I660" s="9" t="n">
        <x:v>1</x:v>
      </x:c>
      <x:c r="J660" s="9" t="n">
        <x:v>1</x:v>
      </x:c>
      <x:c r="K660" s="9" t="n">
        <x:v>1</x:v>
      </x:c>
      <x:c r="L660" s="13" t="n">
        <x:f>SUMIFS('Payments'!$D$5:$D$3014,'Payments'!$B$5:$B$3014,A660)</x:f>
        <x:v>0</x:v>
      </x:c>
      <x:c r="M660" s="13" t="n">
        <x:f>G660-L660</x:f>
        <x:v>2265.85</x:v>
      </x:c>
      <x:c r="N660" s="9" t="str">
        <x:f>IF(H660=0,"0 Current",IF(H660&lt;=30,"1 1-30",IF(H660&lt;=60,"2 31-60",IF(H660&lt;=90,"3 61-90",IF(H660&lt;=120,"4 91-120","5 121+")))))</x:f>
        <x:v>5 121+</x:v>
      </x:c>
      <x:c r="O660" s="9" t="n">
        <x:f>IF(J660&gt;0,1,0)</x:f>
        <x:v>1</x:v>
      </x:c>
    </x:row>
    <x:row r="661">
      <x:c r="A661" s="15" t="str">
        <x:v>657</x:v>
      </x:c>
      <x:c r="B661" s="9" t="str">
        <x:v>Riley</x:v>
      </x:c>
      <x:c r="C661" s="9" t="str">
        <x:v>Auto</x:v>
      </x:c>
      <x:c r="D661" s="9" t="str">
        <x:v>Northeast</x:v>
      </x:c>
      <x:c r="E661" s="9" t="n">
        <x:v>671</x:v>
      </x:c>
      <x:c r="F661" s="11" t="n">
        <x:v>46084</x:v>
      </x:c>
      <x:c r="G661" s="13" t="n">
        <x:v>15628.88</x:v>
      </x:c>
      <x:c r="H661" s="9" t="n">
        <x:v>208</x:v>
      </x:c>
      <x:c r="I661" s="9" t="n">
        <x:v>7</x:v>
      </x:c>
      <x:c r="J661" s="9" t="n">
        <x:v>3</x:v>
      </x:c>
      <x:c r="K661" s="9" t="n">
        <x:v>0</x:v>
      </x:c>
      <x:c r="L661" s="13" t="n">
        <x:f>SUMIFS('Payments'!$D$5:$D$3014,'Payments'!$B$5:$B$3014,A661)</x:f>
        <x:v>3713.75</x:v>
      </x:c>
      <x:c r="M661" s="13" t="n">
        <x:f>G661-L661</x:f>
        <x:v>11915.13</x:v>
      </x:c>
      <x:c r="N661" s="9" t="str">
        <x:f>IF(H661=0,"0 Current",IF(H661&lt;=30,"1 1-30",IF(H661&lt;=60,"2 31-60",IF(H661&lt;=90,"3 61-90",IF(H661&lt;=120,"4 91-120","5 121+")))))</x:f>
        <x:v>5 121+</x:v>
      </x:c>
      <x:c r="O661" s="9" t="n">
        <x:f>IF(J661&gt;0,1,0)</x:f>
        <x:v>1</x:v>
      </x:c>
    </x:row>
    <x:row r="662">
      <x:c r="A662" s="15" t="str">
        <x:v>658</x:v>
      </x:c>
      <x:c r="B662" s="9" t="str">
        <x:v>Jordan</x:v>
      </x:c>
      <x:c r="C662" s="9" t="str">
        <x:v>Auto</x:v>
      </x:c>
      <x:c r="D662" s="9" t="str">
        <x:v>West</x:v>
      </x:c>
      <x:c r="E662" s="9" t="n">
        <x:v>457</x:v>
      </x:c>
      <x:c r="F662" s="11" t="n">
        <x:v>46107</x:v>
      </x:c>
      <x:c r="G662" s="13" t="n">
        <x:v>4644.14</x:v>
      </x:c>
      <x:c r="H662" s="9" t="n">
        <x:v>205</x:v>
      </x:c>
      <x:c r="I662" s="9" t="n">
        <x:v>7</x:v>
      </x:c>
      <x:c r="J662" s="9" t="n">
        <x:v>2</x:v>
      </x:c>
      <x:c r="K662" s="9" t="n">
        <x:v>1</x:v>
      </x:c>
      <x:c r="L662" s="13" t="n">
        <x:f>SUMIFS('Payments'!$D$5:$D$3014,'Payments'!$B$5:$B$3014,A662)</x:f>
        <x:v>0</x:v>
      </x:c>
      <x:c r="M662" s="13" t="n">
        <x:f>G662-L662</x:f>
        <x:v>4644.14</x:v>
      </x:c>
      <x:c r="N662" s="9" t="str">
        <x:f>IF(H662=0,"0 Current",IF(H662&lt;=30,"1 1-30",IF(H662&lt;=60,"2 31-60",IF(H662&lt;=90,"3 61-90",IF(H662&lt;=120,"4 91-120","5 121+")))))</x:f>
        <x:v>5 121+</x:v>
      </x:c>
      <x:c r="O662" s="9" t="n">
        <x:f>IF(J662&gt;0,1,0)</x:f>
        <x:v>1</x:v>
      </x:c>
    </x:row>
    <x:row r="663">
      <x:c r="A663" s="15" t="str">
        <x:v>659</x:v>
      </x:c>
      <x:c r="B663" s="9" t="str">
        <x:v>Taylor</x:v>
      </x:c>
      <x:c r="C663" s="9" t="str">
        <x:v>Auto</x:v>
      </x:c>
      <x:c r="D663" s="9" t="str">
        <x:v>Northeast</x:v>
      </x:c>
      <x:c r="E663" s="9" t="n">
        <x:v>584</x:v>
      </x:c>
      <x:c r="F663" s="11" t="n">
        <x:v>46163</x:v>
      </x:c>
      <x:c r="G663" s="13" t="n">
        <x:v>14000.67</x:v>
      </x:c>
      <x:c r="H663" s="9" t="n">
        <x:v>192</x:v>
      </x:c>
      <x:c r="I663" s="9" t="n">
        <x:v>5</x:v>
      </x:c>
      <x:c r="J663" s="9" t="n">
        <x:v>2</x:v>
      </x:c>
      <x:c r="K663" s="9" t="n">
        <x:v>0</x:v>
      </x:c>
      <x:c r="L663" s="13" t="n">
        <x:f>SUMIFS('Payments'!$D$5:$D$3014,'Payments'!$B$5:$B$3014,A663)</x:f>
        <x:v>703.99</x:v>
      </x:c>
      <x:c r="M663" s="13" t="n">
        <x:f>G663-L663</x:f>
        <x:v>13296.68</x:v>
      </x:c>
      <x:c r="N663" s="9" t="str">
        <x:f>IF(H663=0,"0 Current",IF(H663&lt;=30,"1 1-30",IF(H663&lt;=60,"2 31-60",IF(H663&lt;=90,"3 61-90",IF(H663&lt;=120,"4 91-120","5 121+")))))</x:f>
        <x:v>5 121+</x:v>
      </x:c>
      <x:c r="O663" s="9" t="n">
        <x:f>IF(J663&gt;0,1,0)</x:f>
        <x:v>1</x:v>
      </x:c>
    </x:row>
    <x:row r="664">
      <x:c r="A664" s="15" t="str">
        <x:v>660</x:v>
      </x:c>
      <x:c r="B664" s="9" t="str">
        <x:v>Casey</x:v>
      </x:c>
      <x:c r="C664" s="9" t="str">
        <x:v>Personal Loan</x:v>
      </x:c>
      <x:c r="D664" s="9" t="str">
        <x:v>South</x:v>
      </x:c>
      <x:c r="E664" s="9" t="n">
        <x:v>453</x:v>
      </x:c>
      <x:c r="F664" s="11" t="n">
        <x:v>46070</x:v>
      </x:c>
      <x:c r="G664" s="13" t="n">
        <x:v>16551.44</x:v>
      </x:c>
      <x:c r="H664" s="9" t="n">
        <x:v>219</x:v>
      </x:c>
      <x:c r="I664" s="9" t="n">
        <x:v>2</x:v>
      </x:c>
      <x:c r="J664" s="9" t="n">
        <x:v>0</x:v>
      </x:c>
      <x:c r="K664" s="9" t="n">
        <x:v>0</x:v>
      </x:c>
      <x:c r="L664" s="13" t="n">
        <x:f>SUMIFS('Payments'!$D$5:$D$3014,'Payments'!$B$5:$B$3014,A664)</x:f>
        <x:v>4075.22</x:v>
      </x:c>
      <x:c r="M664" s="13" t="n">
        <x:f>G664-L664</x:f>
        <x:v>12476.22</x:v>
      </x:c>
      <x:c r="N664" s="9" t="str">
        <x:f>IF(H664=0,"0 Current",IF(H664&lt;=30,"1 1-30",IF(H664&lt;=60,"2 31-60",IF(H664&lt;=90,"3 61-90",IF(H664&lt;=120,"4 91-120","5 121+")))))</x:f>
        <x:v>5 121+</x:v>
      </x:c>
      <x:c r="O664" s="9" t="n">
        <x:f>IF(J664&gt;0,1,0)</x:f>
        <x:v>0</x:v>
      </x:c>
    </x:row>
    <x:row r="665">
      <x:c r="A665" s="15" t="str">
        <x:v>661</x:v>
      </x:c>
      <x:c r="B665" s="9" t="str">
        <x:v>Jordan</x:v>
      </x:c>
      <x:c r="C665" s="9" t="str">
        <x:v>Medical</x:v>
      </x:c>
      <x:c r="D665" s="9" t="str">
        <x:v>South</x:v>
      </x:c>
      <x:c r="E665" s="9" t="n">
        <x:v>560</x:v>
      </x:c>
      <x:c r="F665" s="11" t="n">
        <x:v>46152</x:v>
      </x:c>
      <x:c r="G665" s="13" t="n">
        <x:v>24008.45</x:v>
      </x:c>
      <x:c r="H665" s="9" t="n">
        <x:v>101</x:v>
      </x:c>
      <x:c r="I665" s="9" t="n">
        <x:v>5</x:v>
      </x:c>
      <x:c r="J665" s="9" t="n">
        <x:v>3</x:v>
      </x:c>
      <x:c r="K665" s="9" t="n">
        <x:v>1</x:v>
      </x:c>
      <x:c r="L665" s="13" t="n">
        <x:f>SUMIFS('Payments'!$D$5:$D$3014,'Payments'!$B$5:$B$3014,A665)</x:f>
        <x:v>3813.29</x:v>
      </x:c>
      <x:c r="M665" s="13" t="n">
        <x:f>G665-L665</x:f>
        <x:v>20195.16</x:v>
      </x:c>
      <x:c r="N665" s="9" t="str">
        <x:f>IF(H665=0,"0 Current",IF(H665&lt;=30,"1 1-30",IF(H665&lt;=60,"2 31-60",IF(H665&lt;=90,"3 61-90",IF(H665&lt;=120,"4 91-120","5 121+")))))</x:f>
        <x:v>4 91-120</x:v>
      </x:c>
      <x:c r="O665" s="9" t="n">
        <x:f>IF(J665&gt;0,1,0)</x:f>
        <x:v>1</x:v>
      </x:c>
    </x:row>
    <x:row r="666">
      <x:c r="A666" s="15" t="str">
        <x:v>662</x:v>
      </x:c>
      <x:c r="B666" s="9" t="str">
        <x:v>Jordan</x:v>
      </x:c>
      <x:c r="C666" s="9" t="str">
        <x:v>Medical</x:v>
      </x:c>
      <x:c r="D666" s="9" t="str">
        <x:v>Midwest</x:v>
      </x:c>
      <x:c r="E666" s="9" t="n">
        <x:v>615</x:v>
      </x:c>
      <x:c r="F666" s="11" t="n">
        <x:v>46168</x:v>
      </x:c>
      <x:c r="G666" s="13" t="n">
        <x:v>3948.2</x:v>
      </x:c>
      <x:c r="H666" s="9" t="n">
        <x:v>113</x:v>
      </x:c>
      <x:c r="I666" s="9" t="n">
        <x:v>3</x:v>
      </x:c>
      <x:c r="J666" s="9" t="n">
        <x:v>1</x:v>
      </x:c>
      <x:c r="K666" s="9" t="n">
        <x:v>0</x:v>
      </x:c>
      <x:c r="L666" s="13" t="n">
        <x:f>SUMIFS('Payments'!$D$5:$D$3014,'Payments'!$B$5:$B$3014,A666)</x:f>
        <x:v>0</x:v>
      </x:c>
      <x:c r="M666" s="13" t="n">
        <x:f>G666-L666</x:f>
        <x:v>3948.2</x:v>
      </x:c>
      <x:c r="N666" s="9" t="str">
        <x:f>IF(H666=0,"0 Current",IF(H666&lt;=30,"1 1-30",IF(H666&lt;=60,"2 31-60",IF(H666&lt;=90,"3 61-90",IF(H666&lt;=120,"4 91-120","5 121+")))))</x:f>
        <x:v>4 91-120</x:v>
      </x:c>
      <x:c r="O666" s="9" t="n">
        <x:f>IF(J666&gt;0,1,0)</x:f>
        <x:v>1</x:v>
      </x:c>
    </x:row>
    <x:row r="667">
      <x:c r="A667" s="15" t="str">
        <x:v>663</x:v>
      </x:c>
      <x:c r="B667" s="9" t="str">
        <x:v>Casey</x:v>
      </x:c>
      <x:c r="C667" s="9" t="str">
        <x:v>Auto</x:v>
      </x:c>
      <x:c r="D667" s="9" t="str">
        <x:v>Midwest</x:v>
      </x:c>
      <x:c r="E667" s="9" t="n">
        <x:v>652</x:v>
      </x:c>
      <x:c r="F667" s="11" t="n">
        <x:v>46079</x:v>
      </x:c>
      <x:c r="G667" s="13" t="n">
        <x:v>10790.79</x:v>
      </x:c>
      <x:c r="H667" s="9" t="n">
        <x:v>165</x:v>
      </x:c>
      <x:c r="I667" s="9" t="n">
        <x:v>4</x:v>
      </x:c>
      <x:c r="J667" s="9" t="n">
        <x:v>2</x:v>
      </x:c>
      <x:c r="K667" s="9" t="n">
        <x:v>1</x:v>
      </x:c>
      <x:c r="L667" s="13" t="n">
        <x:f>SUMIFS('Payments'!$D$5:$D$3014,'Payments'!$B$5:$B$3014,A667)</x:f>
        <x:v>391.09</x:v>
      </x:c>
      <x:c r="M667" s="13" t="n">
        <x:f>G667-L667</x:f>
        <x:v>10399.7</x:v>
      </x:c>
      <x:c r="N667" s="9" t="str">
        <x:f>IF(H667=0,"0 Current",IF(H667&lt;=30,"1 1-30",IF(H667&lt;=60,"2 31-60",IF(H667&lt;=90,"3 61-90",IF(H667&lt;=120,"4 91-120","5 121+")))))</x:f>
        <x:v>5 121+</x:v>
      </x:c>
      <x:c r="O667" s="9" t="n">
        <x:f>IF(J667&gt;0,1,0)</x:f>
        <x:v>1</x:v>
      </x:c>
    </x:row>
    <x:row r="668">
      <x:c r="A668" s="15" t="str">
        <x:v>664</x:v>
      </x:c>
      <x:c r="B668" s="9" t="str">
        <x:v>Morgan</x:v>
      </x:c>
      <x:c r="C668" s="9" t="str">
        <x:v>Medical</x:v>
      </x:c>
      <x:c r="D668" s="9" t="str">
        <x:v>West</x:v>
      </x:c>
      <x:c r="E668" s="9" t="n">
        <x:v>470</x:v>
      </x:c>
      <x:c r="F668" s="11" t="n">
        <x:v>46168</x:v>
      </x:c>
      <x:c r="G668" s="13" t="n">
        <x:v>8563.09</x:v>
      </x:c>
      <x:c r="H668" s="9" t="n">
        <x:v>217</x:v>
      </x:c>
      <x:c r="I668" s="9" t="n">
        <x:v>4</x:v>
      </x:c>
      <x:c r="J668" s="9" t="n">
        <x:v>0</x:v>
      </x:c>
      <x:c r="K668" s="9" t="n">
        <x:v>0</x:v>
      </x:c>
      <x:c r="L668" s="13" t="n">
        <x:f>SUMIFS('Payments'!$D$5:$D$3014,'Payments'!$B$5:$B$3014,A668)</x:f>
        <x:v>3528.71</x:v>
      </x:c>
      <x:c r="M668" s="13" t="n">
        <x:f>G668-L668</x:f>
        <x:v>5034.38</x:v>
      </x:c>
      <x:c r="N668" s="9" t="str">
        <x:f>IF(H668=0,"0 Current",IF(H668&lt;=30,"1 1-30",IF(H668&lt;=60,"2 31-60",IF(H668&lt;=90,"3 61-90",IF(H668&lt;=120,"4 91-120","5 121+")))))</x:f>
        <x:v>5 121+</x:v>
      </x:c>
      <x:c r="O668" s="9" t="n">
        <x:f>IF(J668&gt;0,1,0)</x:f>
        <x:v>0</x:v>
      </x:c>
    </x:row>
    <x:row r="669">
      <x:c r="A669" s="15" t="str">
        <x:v>665</x:v>
      </x:c>
      <x:c r="B669" s="9" t="str">
        <x:v>Riley</x:v>
      </x:c>
      <x:c r="C669" s="9" t="str">
        <x:v>Medical</x:v>
      </x:c>
      <x:c r="D669" s="9" t="str">
        <x:v>Northeast</x:v>
      </x:c>
      <x:c r="E669" s="9" t="n">
        <x:v>755</x:v>
      </x:c>
      <x:c r="F669" s="11" t="n">
        <x:v>46086</x:v>
      </x:c>
      <x:c r="G669" s="13" t="n">
        <x:v>23076.9</x:v>
      </x:c>
      <x:c r="H669" s="9" t="n">
        <x:v>24</x:v>
      </x:c>
      <x:c r="I669" s="9" t="n">
        <x:v>8</x:v>
      </x:c>
      <x:c r="J669" s="9" t="n">
        <x:v>2</x:v>
      </x:c>
      <x:c r="K669" s="9" t="n">
        <x:v>1</x:v>
      </x:c>
      <x:c r="L669" s="13" t="n">
        <x:f>SUMIFS('Payments'!$D$5:$D$3014,'Payments'!$B$5:$B$3014,A669)</x:f>
        <x:v>7198.549999999999</x:v>
      </x:c>
      <x:c r="M669" s="13" t="n">
        <x:f>G669-L669</x:f>
        <x:v>15878.350000000002</x:v>
      </x:c>
      <x:c r="N669" s="9" t="str">
        <x:f>IF(H669=0,"0 Current",IF(H669&lt;=30,"1 1-30",IF(H669&lt;=60,"2 31-60",IF(H669&lt;=90,"3 61-90",IF(H669&lt;=120,"4 91-120","5 121+")))))</x:f>
        <x:v>1 1-30</x:v>
      </x:c>
      <x:c r="O669" s="9" t="n">
        <x:f>IF(J669&gt;0,1,0)</x:f>
        <x:v>1</x:v>
      </x:c>
    </x:row>
    <x:row r="670">
      <x:c r="A670" s="15" t="str">
        <x:v>666</x:v>
      </x:c>
      <x:c r="B670" s="9" t="str">
        <x:v>Alex</x:v>
      </x:c>
      <x:c r="C670" s="9" t="str">
        <x:v>Personal Loan</x:v>
      </x:c>
      <x:c r="D670" s="9" t="str">
        <x:v>South</x:v>
      </x:c>
      <x:c r="E670" s="9" t="n">
        <x:v>640</x:v>
      </x:c>
      <x:c r="F670" s="11" t="n">
        <x:v>46145</x:v>
      </x:c>
      <x:c r="G670" s="13" t="n">
        <x:v>6702.54</x:v>
      </x:c>
      <x:c r="H670" s="9" t="n">
        <x:v>16</x:v>
      </x:c>
      <x:c r="I670" s="9" t="n">
        <x:v>7</x:v>
      </x:c>
      <x:c r="J670" s="9" t="n">
        <x:v>3</x:v>
      </x:c>
      <x:c r="K670" s="9" t="n">
        <x:v>1</x:v>
      </x:c>
      <x:c r="L670" s="13" t="n">
        <x:f>SUMIFS('Payments'!$D$5:$D$3014,'Payments'!$B$5:$B$3014,A670)</x:f>
        <x:v>802.92</x:v>
      </x:c>
      <x:c r="M670" s="13" t="n">
        <x:f>G670-L670</x:f>
        <x:v>5899.62</x:v>
      </x:c>
      <x:c r="N670" s="9" t="str">
        <x:f>IF(H670=0,"0 Current",IF(H670&lt;=30,"1 1-30",IF(H670&lt;=60,"2 31-60",IF(H670&lt;=90,"3 61-90",IF(H670&lt;=120,"4 91-120","5 121+")))))</x:f>
        <x:v>1 1-30</x:v>
      </x:c>
      <x:c r="O670" s="9" t="n">
        <x:f>IF(J670&gt;0,1,0)</x:f>
        <x:v>1</x:v>
      </x:c>
    </x:row>
    <x:row r="671">
      <x:c r="A671" s="15" t="str">
        <x:v>667</x:v>
      </x:c>
      <x:c r="B671" s="9" t="str">
        <x:v>Riley</x:v>
      </x:c>
      <x:c r="C671" s="9" t="str">
        <x:v>Personal Loan</x:v>
      </x:c>
      <x:c r="D671" s="9" t="str">
        <x:v>West</x:v>
      </x:c>
      <x:c r="E671" s="9" t="n">
        <x:v>536</x:v>
      </x:c>
      <x:c r="F671" s="11" t="n">
        <x:v>46127</x:v>
      </x:c>
      <x:c r="G671" s="13" t="n">
        <x:v>6549.57</x:v>
      </x:c>
      <x:c r="H671" s="9" t="n">
        <x:v>220</x:v>
      </x:c>
      <x:c r="I671" s="9" t="n">
        <x:v>0</x:v>
      </x:c>
      <x:c r="J671" s="9" t="n">
        <x:v>0</x:v>
      </x:c>
      <x:c r="K671" s="9" t="n">
        <x:v>0</x:v>
      </x:c>
      <x:c r="L671" s="13" t="n">
        <x:f>SUMIFS('Payments'!$D$5:$D$3014,'Payments'!$B$5:$B$3014,A671)</x:f>
        <x:v>0</x:v>
      </x:c>
      <x:c r="M671" s="13" t="n">
        <x:f>G671-L671</x:f>
        <x:v>6549.57</x:v>
      </x:c>
      <x:c r="N671" s="9" t="str">
        <x:f>IF(H671=0,"0 Current",IF(H671&lt;=30,"1 1-30",IF(H671&lt;=60,"2 31-60",IF(H671&lt;=90,"3 61-90",IF(H671&lt;=120,"4 91-120","5 121+")))))</x:f>
        <x:v>5 121+</x:v>
      </x:c>
      <x:c r="O671" s="9" t="n">
        <x:f>IF(J671&gt;0,1,0)</x:f>
        <x:v>0</x:v>
      </x:c>
    </x:row>
    <x:row r="672">
      <x:c r="A672" s="15" t="str">
        <x:v>668</x:v>
      </x:c>
      <x:c r="B672" s="9" t="str">
        <x:v>Alex</x:v>
      </x:c>
      <x:c r="C672" s="9" t="str">
        <x:v>Credit Card</x:v>
      </x:c>
      <x:c r="D672" s="9" t="str">
        <x:v>West</x:v>
      </x:c>
      <x:c r="E672" s="9" t="n">
        <x:v>593</x:v>
      </x:c>
      <x:c r="F672" s="11" t="n">
        <x:v>46114</x:v>
      </x:c>
      <x:c r="G672" s="13" t="n">
        <x:v>5519.88</x:v>
      </x:c>
      <x:c r="H672" s="9" t="n">
        <x:v>135</x:v>
      </x:c>
      <x:c r="I672" s="9" t="n">
        <x:v>0</x:v>
      </x:c>
      <x:c r="J672" s="9" t="n">
        <x:v>0</x:v>
      </x:c>
      <x:c r="K672" s="9" t="n">
        <x:v>0</x:v>
      </x:c>
      <x:c r="L672" s="13" t="n">
        <x:f>SUMIFS('Payments'!$D$5:$D$3014,'Payments'!$B$5:$B$3014,A672)</x:f>
        <x:v>802.45</x:v>
      </x:c>
      <x:c r="M672" s="13" t="n">
        <x:f>G672-L672</x:f>
        <x:v>4717.43</x:v>
      </x:c>
      <x:c r="N672" s="9" t="str">
        <x:f>IF(H672=0,"0 Current",IF(H672&lt;=30,"1 1-30",IF(H672&lt;=60,"2 31-60",IF(H672&lt;=90,"3 61-90",IF(H672&lt;=120,"4 91-120","5 121+")))))</x:f>
        <x:v>5 121+</x:v>
      </x:c>
      <x:c r="O672" s="9" t="n">
        <x:f>IF(J672&gt;0,1,0)</x:f>
        <x:v>0</x:v>
      </x:c>
    </x:row>
    <x:row r="673">
      <x:c r="A673" s="15" t="str">
        <x:v>669</x:v>
      </x:c>
      <x:c r="B673" s="9" t="str">
        <x:v>Jordan</x:v>
      </x:c>
      <x:c r="C673" s="9" t="str">
        <x:v>Credit Card</x:v>
      </x:c>
      <x:c r="D673" s="9" t="str">
        <x:v>West</x:v>
      </x:c>
      <x:c r="E673" s="9" t="n">
        <x:v>624</x:v>
      </x:c>
      <x:c r="F673" s="11" t="n">
        <x:v>46149</x:v>
      </x:c>
      <x:c r="G673" s="13" t="n">
        <x:v>5512.19</x:v>
      </x:c>
      <x:c r="H673" s="9" t="n">
        <x:v>24</x:v>
      </x:c>
      <x:c r="I673" s="9" t="n">
        <x:v>5</x:v>
      </x:c>
      <x:c r="J673" s="9" t="n">
        <x:v>1</x:v>
      </x:c>
      <x:c r="K673" s="9" t="n">
        <x:v>0</x:v>
      </x:c>
      <x:c r="L673" s="13" t="n">
        <x:f>SUMIFS('Payments'!$D$5:$D$3014,'Payments'!$B$5:$B$3014,A673)</x:f>
        <x:v>1693.85</x:v>
      </x:c>
      <x:c r="M673" s="13" t="n">
        <x:f>G673-L673</x:f>
        <x:v>3818.3399999999997</x:v>
      </x:c>
      <x:c r="N673" s="9" t="str">
        <x:f>IF(H673=0,"0 Current",IF(H673&lt;=30,"1 1-30",IF(H673&lt;=60,"2 31-60",IF(H673&lt;=90,"3 61-90",IF(H673&lt;=120,"4 91-120","5 121+")))))</x:f>
        <x:v>1 1-30</x:v>
      </x:c>
      <x:c r="O673" s="9" t="n">
        <x:f>IF(J673&gt;0,1,0)</x:f>
        <x:v>1</x:v>
      </x:c>
    </x:row>
    <x:row r="674">
      <x:c r="A674" s="15" t="str">
        <x:v>670</x:v>
      </x:c>
      <x:c r="B674" s="9" t="str">
        <x:v>Taylor</x:v>
      </x:c>
      <x:c r="C674" s="9" t="str">
        <x:v>Credit Card</x:v>
      </x:c>
      <x:c r="D674" s="9" t="str">
        <x:v>West</x:v>
      </x:c>
      <x:c r="E674" s="9" t="n">
        <x:v>793</x:v>
      </x:c>
      <x:c r="F674" s="11" t="n">
        <x:v>46081</x:v>
      </x:c>
      <x:c r="G674" s="13" t="n">
        <x:v>15230.42</x:v>
      </x:c>
      <x:c r="H674" s="9" t="n">
        <x:v>86</x:v>
      </x:c>
      <x:c r="I674" s="9" t="n">
        <x:v>8</x:v>
      </x:c>
      <x:c r="J674" s="9" t="n">
        <x:v>2</x:v>
      </x:c>
      <x:c r="K674" s="9" t="n">
        <x:v>0</x:v>
      </x:c>
      <x:c r="L674" s="13" t="n">
        <x:f>SUMIFS('Payments'!$D$5:$D$3014,'Payments'!$B$5:$B$3014,A674)</x:f>
        <x:v>2541.21</x:v>
      </x:c>
      <x:c r="M674" s="13" t="n">
        <x:f>G674-L674</x:f>
        <x:v>12689.21</x:v>
      </x:c>
      <x:c r="N674" s="9" t="str">
        <x:f>IF(H674=0,"0 Current",IF(H674&lt;=30,"1 1-30",IF(H674&lt;=60,"2 31-60",IF(H674&lt;=90,"3 61-90",IF(H674&lt;=120,"4 91-120","5 121+")))))</x:f>
        <x:v>3 61-90</x:v>
      </x:c>
      <x:c r="O674" s="9" t="n">
        <x:f>IF(J674&gt;0,1,0)</x:f>
        <x:v>1</x:v>
      </x:c>
    </x:row>
    <x:row r="675">
      <x:c r="A675" s="15" t="str">
        <x:v>671</x:v>
      </x:c>
      <x:c r="B675" s="9" t="str">
        <x:v>Riley</x:v>
      </x:c>
      <x:c r="C675" s="9" t="str">
        <x:v>Medical</x:v>
      </x:c>
      <x:c r="D675" s="9" t="str">
        <x:v>Northeast</x:v>
      </x:c>
      <x:c r="E675" s="9" t="n">
        <x:v>580</x:v>
      </x:c>
      <x:c r="F675" s="11" t="n">
        <x:v>46150</x:v>
      </x:c>
      <x:c r="G675" s="13" t="n">
        <x:v>8124.68</x:v>
      </x:c>
      <x:c r="H675" s="9" t="n">
        <x:v>88</x:v>
      </x:c>
      <x:c r="I675" s="9" t="n">
        <x:v>2</x:v>
      </x:c>
      <x:c r="J675" s="9" t="n">
        <x:v>1</x:v>
      </x:c>
      <x:c r="K675" s="9" t="n">
        <x:v>0</x:v>
      </x:c>
      <x:c r="L675" s="13" t="n">
        <x:f>SUMIFS('Payments'!$D$5:$D$3014,'Payments'!$B$5:$B$3014,A675)</x:f>
        <x:v>0</x:v>
      </x:c>
      <x:c r="M675" s="13" t="n">
        <x:f>G675-L675</x:f>
        <x:v>8124.68</x:v>
      </x:c>
      <x:c r="N675" s="9" t="str">
        <x:f>IF(H675=0,"0 Current",IF(H675&lt;=30,"1 1-30",IF(H675&lt;=60,"2 31-60",IF(H675&lt;=90,"3 61-90",IF(H675&lt;=120,"4 91-120","5 121+")))))</x:f>
        <x:v>3 61-90</x:v>
      </x:c>
      <x:c r="O675" s="9" t="n">
        <x:f>IF(J675&gt;0,1,0)</x:f>
        <x:v>1</x:v>
      </x:c>
    </x:row>
    <x:row r="676">
      <x:c r="A676" s="15" t="str">
        <x:v>672</x:v>
      </x:c>
      <x:c r="B676" s="9" t="str">
        <x:v>Casey</x:v>
      </x:c>
      <x:c r="C676" s="9" t="str">
        <x:v>Auto</x:v>
      </x:c>
      <x:c r="D676" s="9" t="str">
        <x:v>West</x:v>
      </x:c>
      <x:c r="E676" s="9" t="n">
        <x:v>580</x:v>
      </x:c>
      <x:c r="F676" s="11" t="n">
        <x:v>46068</x:v>
      </x:c>
      <x:c r="G676" s="13" t="n">
        <x:v>21778.9</x:v>
      </x:c>
      <x:c r="H676" s="9" t="n">
        <x:v>7</x:v>
      </x:c>
      <x:c r="I676" s="9" t="n">
        <x:v>2</x:v>
      </x:c>
      <x:c r="J676" s="9" t="n">
        <x:v>1</x:v>
      </x:c>
      <x:c r="K676" s="9" t="n">
        <x:v>1</x:v>
      </x:c>
      <x:c r="L676" s="13" t="n">
        <x:f>SUMIFS('Payments'!$D$5:$D$3014,'Payments'!$B$5:$B$3014,A676)</x:f>
        <x:v>3388.25</x:v>
      </x:c>
      <x:c r="M676" s="13" t="n">
        <x:f>G676-L676</x:f>
        <x:v>18390.65</x:v>
      </x:c>
      <x:c r="N676" s="9" t="str">
        <x:f>IF(H676=0,"0 Current",IF(H676&lt;=30,"1 1-30",IF(H676&lt;=60,"2 31-60",IF(H676&lt;=90,"3 61-90",IF(H676&lt;=120,"4 91-120","5 121+")))))</x:f>
        <x:v>1 1-30</x:v>
      </x:c>
      <x:c r="O676" s="9" t="n">
        <x:f>IF(J676&gt;0,1,0)</x:f>
        <x:v>1</x:v>
      </x:c>
    </x:row>
    <x:row r="677">
      <x:c r="A677" s="15" t="str">
        <x:v>673</x:v>
      </x:c>
      <x:c r="B677" s="9" t="str">
        <x:v>Taylor</x:v>
      </x:c>
      <x:c r="C677" s="9" t="str">
        <x:v>Auto</x:v>
      </x:c>
      <x:c r="D677" s="9" t="str">
        <x:v>Midwest</x:v>
      </x:c>
      <x:c r="E677" s="9" t="n">
        <x:v>611</x:v>
      </x:c>
      <x:c r="F677" s="11" t="n">
        <x:v>46109</x:v>
      </x:c>
      <x:c r="G677" s="13" t="n">
        <x:v>19570.11</x:v>
      </x:c>
      <x:c r="H677" s="9" t="n">
        <x:v>200</x:v>
      </x:c>
      <x:c r="I677" s="9" t="n">
        <x:v>5</x:v>
      </x:c>
      <x:c r="J677" s="9" t="n">
        <x:v>2</x:v>
      </x:c>
      <x:c r="K677" s="9" t="n">
        <x:v>1</x:v>
      </x:c>
      <x:c r="L677" s="13" t="n">
        <x:f>SUMIFS('Payments'!$D$5:$D$3014,'Payments'!$B$5:$B$3014,A677)</x:f>
        <x:v>2675.5</x:v>
      </x:c>
      <x:c r="M677" s="13" t="n">
        <x:f>G677-L677</x:f>
        <x:v>16894.61</x:v>
      </x:c>
      <x:c r="N677" s="9" t="str">
        <x:f>IF(H677=0,"0 Current",IF(H677&lt;=30,"1 1-30",IF(H677&lt;=60,"2 31-60",IF(H677&lt;=90,"3 61-90",IF(H677&lt;=120,"4 91-120","5 121+")))))</x:f>
        <x:v>5 121+</x:v>
      </x:c>
      <x:c r="O677" s="9" t="n">
        <x:f>IF(J677&gt;0,1,0)</x:f>
        <x:v>1</x:v>
      </x:c>
    </x:row>
    <x:row r="678">
      <x:c r="A678" s="15" t="str">
        <x:v>674</x:v>
      </x:c>
      <x:c r="B678" s="9" t="str">
        <x:v>Alex</x:v>
      </x:c>
      <x:c r="C678" s="9" t="str">
        <x:v>Personal Loan</x:v>
      </x:c>
      <x:c r="D678" s="9" t="str">
        <x:v>South</x:v>
      </x:c>
      <x:c r="E678" s="9" t="n">
        <x:v>771</x:v>
      </x:c>
      <x:c r="F678" s="11" t="n">
        <x:v>46048</x:v>
      </x:c>
      <x:c r="G678" s="13" t="n">
        <x:v>22303.82</x:v>
      </x:c>
      <x:c r="H678" s="9" t="n">
        <x:v>233</x:v>
      </x:c>
      <x:c r="I678" s="9" t="n">
        <x:v>4</x:v>
      </x:c>
      <x:c r="J678" s="9" t="n">
        <x:v>0</x:v>
      </x:c>
      <x:c r="K678" s="9" t="n">
        <x:v>0</x:v>
      </x:c>
      <x:c r="L678" s="13" t="n">
        <x:f>SUMIFS('Payments'!$D$5:$D$3014,'Payments'!$B$5:$B$3014,A678)</x:f>
        <x:v>7856.2</x:v>
      </x:c>
      <x:c r="M678" s="13" t="n">
        <x:f>G678-L678</x:f>
        <x:v>14447.619999999999</x:v>
      </x:c>
      <x:c r="N678" s="9" t="str">
        <x:f>IF(H678=0,"0 Current",IF(H678&lt;=30,"1 1-30",IF(H678&lt;=60,"2 31-60",IF(H678&lt;=90,"3 61-90",IF(H678&lt;=120,"4 91-120","5 121+")))))</x:f>
        <x:v>5 121+</x:v>
      </x:c>
      <x:c r="O678" s="9" t="n">
        <x:f>IF(J678&gt;0,1,0)</x:f>
        <x:v>0</x:v>
      </x:c>
    </x:row>
    <x:row r="679">
      <x:c r="A679" s="15" t="str">
        <x:v>675</x:v>
      </x:c>
      <x:c r="B679" s="9" t="str">
        <x:v>Morgan</x:v>
      </x:c>
      <x:c r="C679" s="9" t="str">
        <x:v>Personal Loan</x:v>
      </x:c>
      <x:c r="D679" s="9" t="str">
        <x:v>West</x:v>
      </x:c>
      <x:c r="E679" s="9" t="n">
        <x:v>454</x:v>
      </x:c>
      <x:c r="F679" s="11" t="n">
        <x:v>46122</x:v>
      </x:c>
      <x:c r="G679" s="13" t="n">
        <x:v>13330.27</x:v>
      </x:c>
      <x:c r="H679" s="9" t="n">
        <x:v>197</x:v>
      </x:c>
      <x:c r="I679" s="9" t="n">
        <x:v>8</x:v>
      </x:c>
      <x:c r="J679" s="9" t="n">
        <x:v>3</x:v>
      </x:c>
      <x:c r="K679" s="9" t="n">
        <x:v>1</x:v>
      </x:c>
      <x:c r="L679" s="13" t="n">
        <x:f>SUMIFS('Payments'!$D$5:$D$3014,'Payments'!$B$5:$B$3014,A679)</x:f>
        <x:v>0</x:v>
      </x:c>
      <x:c r="M679" s="13" t="n">
        <x:f>G679-L679</x:f>
        <x:v>13330.27</x:v>
      </x:c>
      <x:c r="N679" s="9" t="str">
        <x:f>IF(H679=0,"0 Current",IF(H679&lt;=30,"1 1-30",IF(H679&lt;=60,"2 31-60",IF(H679&lt;=90,"3 61-90",IF(H679&lt;=120,"4 91-120","5 121+")))))</x:f>
        <x:v>5 121+</x:v>
      </x:c>
      <x:c r="O679" s="9" t="n">
        <x:f>IF(J679&gt;0,1,0)</x:f>
        <x:v>1</x:v>
      </x:c>
    </x:row>
    <x:row r="680">
      <x:c r="A680" s="15" t="str">
        <x:v>676</x:v>
      </x:c>
      <x:c r="B680" s="9" t="str">
        <x:v>Taylor</x:v>
      </x:c>
      <x:c r="C680" s="9" t="str">
        <x:v>Medical</x:v>
      </x:c>
      <x:c r="D680" s="9" t="str">
        <x:v>Northeast</x:v>
      </x:c>
      <x:c r="E680" s="9" t="n">
        <x:v>463</x:v>
      </x:c>
      <x:c r="F680" s="11" t="n">
        <x:v>46036</x:v>
      </x:c>
      <x:c r="G680" s="13" t="n">
        <x:v>18695.06</x:v>
      </x:c>
      <x:c r="H680" s="9" t="n">
        <x:v>130</x:v>
      </x:c>
      <x:c r="I680" s="9" t="n">
        <x:v>7</x:v>
      </x:c>
      <x:c r="J680" s="9" t="n">
        <x:v>3</x:v>
      </x:c>
      <x:c r="K680" s="9" t="n">
        <x:v>1</x:v>
      </x:c>
      <x:c r="L680" s="13" t="n">
        <x:f>SUMIFS('Payments'!$D$5:$D$3014,'Payments'!$B$5:$B$3014,A680)</x:f>
        <x:v>2367.83</x:v>
      </x:c>
      <x:c r="M680" s="13" t="n">
        <x:f>G680-L680</x:f>
        <x:v>16327.230000000001</x:v>
      </x:c>
      <x:c r="N680" s="9" t="str">
        <x:f>IF(H680=0,"0 Current",IF(H680&lt;=30,"1 1-30",IF(H680&lt;=60,"2 31-60",IF(H680&lt;=90,"3 61-90",IF(H680&lt;=120,"4 91-120","5 121+")))))</x:f>
        <x:v>5 121+</x:v>
      </x:c>
      <x:c r="O680" s="9" t="n">
        <x:f>IF(J680&gt;0,1,0)</x:f>
        <x:v>1</x:v>
      </x:c>
    </x:row>
    <x:row r="681">
      <x:c r="A681" s="15" t="str">
        <x:v>677</x:v>
      </x:c>
      <x:c r="B681" s="9" t="str">
        <x:v>Taylor</x:v>
      </x:c>
      <x:c r="C681" s="9" t="str">
        <x:v>Personal Loan</x:v>
      </x:c>
      <x:c r="D681" s="9" t="str">
        <x:v>Northeast</x:v>
      </x:c>
      <x:c r="E681" s="9" t="n">
        <x:v>641</x:v>
      </x:c>
      <x:c r="F681" s="11" t="n">
        <x:v>46024</x:v>
      </x:c>
      <x:c r="G681" s="13" t="n">
        <x:v>10582.57</x:v>
      </x:c>
      <x:c r="H681" s="9" t="n">
        <x:v>45</x:v>
      </x:c>
      <x:c r="I681" s="9" t="n">
        <x:v>3</x:v>
      </x:c>
      <x:c r="J681" s="9" t="n">
        <x:v>2</x:v>
      </x:c>
      <x:c r="K681" s="9" t="n">
        <x:v>0</x:v>
      </x:c>
      <x:c r="L681" s="13" t="n">
        <x:f>SUMIFS('Payments'!$D$5:$D$3014,'Payments'!$B$5:$B$3014,A681)</x:f>
        <x:v>2091.12</x:v>
      </x:c>
      <x:c r="M681" s="13" t="n">
        <x:f>G681-L681</x:f>
        <x:v>8491.45</x:v>
      </x:c>
      <x:c r="N681" s="9" t="str">
        <x:f>IF(H681=0,"0 Current",IF(H681&lt;=30,"1 1-30",IF(H681&lt;=60,"2 31-60",IF(H681&lt;=90,"3 61-90",IF(H681&lt;=120,"4 91-120","5 121+")))))</x:f>
        <x:v>2 31-60</x:v>
      </x:c>
      <x:c r="O681" s="9" t="n">
        <x:f>IF(J681&gt;0,1,0)</x:f>
        <x:v>1</x:v>
      </x:c>
    </x:row>
    <x:row r="682">
      <x:c r="A682" s="15" t="str">
        <x:v>678</x:v>
      </x:c>
      <x:c r="B682" s="9" t="str">
        <x:v>Taylor</x:v>
      </x:c>
      <x:c r="C682" s="9" t="str">
        <x:v>Credit Card</x:v>
      </x:c>
      <x:c r="D682" s="9" t="str">
        <x:v>Northeast</x:v>
      </x:c>
      <x:c r="E682" s="9" t="n">
        <x:v>801</x:v>
      </x:c>
      <x:c r="F682" s="11" t="n">
        <x:v>46092</x:v>
      </x:c>
      <x:c r="G682" s="13" t="n">
        <x:v>17663.23</x:v>
      </x:c>
      <x:c r="H682" s="9" t="n">
        <x:v>106</x:v>
      </x:c>
      <x:c r="I682" s="9" t="n">
        <x:v>4</x:v>
      </x:c>
      <x:c r="J682" s="9" t="n">
        <x:v>2</x:v>
      </x:c>
      <x:c r="K682" s="9" t="n">
        <x:v>0</x:v>
      </x:c>
      <x:c r="L682" s="13" t="n">
        <x:f>SUMIFS('Payments'!$D$5:$D$3014,'Payments'!$B$5:$B$3014,A682)</x:f>
        <x:v>3558.06</x:v>
      </x:c>
      <x:c r="M682" s="13" t="n">
        <x:f>G682-L682</x:f>
        <x:v>14105.17</x:v>
      </x:c>
      <x:c r="N682" s="9" t="str">
        <x:f>IF(H682=0,"0 Current",IF(H682&lt;=30,"1 1-30",IF(H682&lt;=60,"2 31-60",IF(H682&lt;=90,"3 61-90",IF(H682&lt;=120,"4 91-120","5 121+")))))</x:f>
        <x:v>4 91-120</x:v>
      </x:c>
      <x:c r="O682" s="9" t="n">
        <x:f>IF(J682&gt;0,1,0)</x:f>
        <x:v>1</x:v>
      </x:c>
    </x:row>
    <x:row r="683">
      <x:c r="A683" s="15" t="str">
        <x:v>679</x:v>
      </x:c>
      <x:c r="B683" s="9" t="str">
        <x:v>Taylor</x:v>
      </x:c>
      <x:c r="C683" s="9" t="str">
        <x:v>Credit Card</x:v>
      </x:c>
      <x:c r="D683" s="9" t="str">
        <x:v>Midwest</x:v>
      </x:c>
      <x:c r="E683" s="9" t="n">
        <x:v>486</x:v>
      </x:c>
      <x:c r="F683" s="11" t="n">
        <x:v>46080</x:v>
      </x:c>
      <x:c r="G683" s="13" t="n">
        <x:v>3458</x:v>
      </x:c>
      <x:c r="H683" s="9" t="n">
        <x:v>29</x:v>
      </x:c>
      <x:c r="I683" s="9" t="n">
        <x:v>2</x:v>
      </x:c>
      <x:c r="J683" s="9" t="n">
        <x:v>1</x:v>
      </x:c>
      <x:c r="K683" s="9" t="n">
        <x:v>0</x:v>
      </x:c>
      <x:c r="L683" s="13" t="n">
        <x:f>SUMIFS('Payments'!$D$5:$D$3014,'Payments'!$B$5:$B$3014,A683)</x:f>
        <x:v>330.16</x:v>
      </x:c>
      <x:c r="M683" s="13" t="n">
        <x:f>G683-L683</x:f>
        <x:v>3127.84</x:v>
      </x:c>
      <x:c r="N683" s="9" t="str">
        <x:f>IF(H683=0,"0 Current",IF(H683&lt;=30,"1 1-30",IF(H683&lt;=60,"2 31-60",IF(H683&lt;=90,"3 61-90",IF(H683&lt;=120,"4 91-120","5 121+")))))</x:f>
        <x:v>1 1-30</x:v>
      </x:c>
      <x:c r="O683" s="9" t="n">
        <x:f>IF(J683&gt;0,1,0)</x:f>
        <x:v>1</x:v>
      </x:c>
    </x:row>
    <x:row r="684">
      <x:c r="A684" s="15" t="str">
        <x:v>680</x:v>
      </x:c>
      <x:c r="B684" s="9" t="str">
        <x:v>Riley</x:v>
      </x:c>
      <x:c r="C684" s="9" t="str">
        <x:v>Personal Loan</x:v>
      </x:c>
      <x:c r="D684" s="9" t="str">
        <x:v>Northeast</x:v>
      </x:c>
      <x:c r="E684" s="9" t="n">
        <x:v>720</x:v>
      </x:c>
      <x:c r="F684" s="11" t="n">
        <x:v>46124</x:v>
      </x:c>
      <x:c r="G684" s="13" t="n">
        <x:v>12445.66</x:v>
      </x:c>
      <x:c r="H684" s="9" t="n">
        <x:v>72</x:v>
      </x:c>
      <x:c r="I684" s="9" t="n">
        <x:v>3</x:v>
      </x:c>
      <x:c r="J684" s="9" t="n">
        <x:v>0</x:v>
      </x:c>
      <x:c r="K684" s="9" t="n">
        <x:v>0</x:v>
      </x:c>
      <x:c r="L684" s="13" t="n">
        <x:f>SUMIFS('Payments'!$D$5:$D$3014,'Payments'!$B$5:$B$3014,A684)</x:f>
        <x:v>3022.6000000000004</x:v>
      </x:c>
      <x:c r="M684" s="13" t="n">
        <x:f>G684-L684</x:f>
        <x:v>9423.06</x:v>
      </x:c>
      <x:c r="N684" s="9" t="str">
        <x:f>IF(H684=0,"0 Current",IF(H684&lt;=30,"1 1-30",IF(H684&lt;=60,"2 31-60",IF(H684&lt;=90,"3 61-90",IF(H684&lt;=120,"4 91-120","5 121+")))))</x:f>
        <x:v>3 61-90</x:v>
      </x:c>
      <x:c r="O684" s="9" t="n">
        <x:f>IF(J684&gt;0,1,0)</x:f>
        <x:v>0</x:v>
      </x:c>
    </x:row>
    <x:row r="685">
      <x:c r="A685" s="15" t="str">
        <x:v>681</x:v>
      </x:c>
      <x:c r="B685" s="9" t="str">
        <x:v>Casey</x:v>
      </x:c>
      <x:c r="C685" s="9" t="str">
        <x:v>Credit Card</x:v>
      </x:c>
      <x:c r="D685" s="9" t="str">
        <x:v>Midwest</x:v>
      </x:c>
      <x:c r="E685" s="9" t="n">
        <x:v>763</x:v>
      </x:c>
      <x:c r="F685" s="11" t="n">
        <x:v>46032</x:v>
      </x:c>
      <x:c r="G685" s="13" t="n">
        <x:v>16776.57</x:v>
      </x:c>
      <x:c r="H685" s="9" t="n">
        <x:v>195</x:v>
      </x:c>
      <x:c r="I685" s="9" t="n">
        <x:v>3</x:v>
      </x:c>
      <x:c r="J685" s="9" t="n">
        <x:v>2</x:v>
      </x:c>
      <x:c r="K685" s="9" t="n">
        <x:v>0</x:v>
      </x:c>
      <x:c r="L685" s="13" t="n">
        <x:f>SUMIFS('Payments'!$D$5:$D$3014,'Payments'!$B$5:$B$3014,A685)</x:f>
        <x:v>0</x:v>
      </x:c>
      <x:c r="M685" s="13" t="n">
        <x:f>G685-L685</x:f>
        <x:v>16776.57</x:v>
      </x:c>
      <x:c r="N685" s="9" t="str">
        <x:f>IF(H685=0,"0 Current",IF(H685&lt;=30,"1 1-30",IF(H685&lt;=60,"2 31-60",IF(H685&lt;=90,"3 61-90",IF(H685&lt;=120,"4 91-120","5 121+")))))</x:f>
        <x:v>5 121+</x:v>
      </x:c>
      <x:c r="O685" s="9" t="n">
        <x:f>IF(J685&gt;0,1,0)</x:f>
        <x:v>1</x:v>
      </x:c>
    </x:row>
    <x:row r="686">
      <x:c r="A686" s="15" t="str">
        <x:v>682</x:v>
      </x:c>
      <x:c r="B686" s="9" t="str">
        <x:v>Casey</x:v>
      </x:c>
      <x:c r="C686" s="9" t="str">
        <x:v>Medical</x:v>
      </x:c>
      <x:c r="D686" s="9" t="str">
        <x:v>Northeast</x:v>
      </x:c>
      <x:c r="E686" s="9" t="n">
        <x:v>630</x:v>
      </x:c>
      <x:c r="F686" s="11" t="n">
        <x:v>46033</x:v>
      </x:c>
      <x:c r="G686" s="13" t="n">
        <x:v>21623.32</x:v>
      </x:c>
      <x:c r="H686" s="9" t="n">
        <x:v>185</x:v>
      </x:c>
      <x:c r="I686" s="9" t="n">
        <x:v>5</x:v>
      </x:c>
      <x:c r="J686" s="9" t="n">
        <x:v>1</x:v>
      </x:c>
      <x:c r="K686" s="9" t="n">
        <x:v>1</x:v>
      </x:c>
      <x:c r="L686" s="13" t="n">
        <x:f>SUMIFS('Payments'!$D$5:$D$3014,'Payments'!$B$5:$B$3014,A686)</x:f>
        <x:v>323.90999999999997</x:v>
      </x:c>
      <x:c r="M686" s="13" t="n">
        <x:f>G686-L686</x:f>
        <x:v>21299.41</x:v>
      </x:c>
      <x:c r="N686" s="9" t="str">
        <x:f>IF(H686=0,"0 Current",IF(H686&lt;=30,"1 1-30",IF(H686&lt;=60,"2 31-60",IF(H686&lt;=90,"3 61-90",IF(H686&lt;=120,"4 91-120","5 121+")))))</x:f>
        <x:v>5 121+</x:v>
      </x:c>
      <x:c r="O686" s="9" t="n">
        <x:f>IF(J686&gt;0,1,0)</x:f>
        <x:v>1</x:v>
      </x:c>
    </x:row>
    <x:row r="687">
      <x:c r="A687" s="15" t="str">
        <x:v>683</x:v>
      </x:c>
      <x:c r="B687" s="9" t="str">
        <x:v>Taylor</x:v>
      </x:c>
      <x:c r="C687" s="9" t="str">
        <x:v>Medical</x:v>
      </x:c>
      <x:c r="D687" s="9" t="str">
        <x:v>Midwest</x:v>
      </x:c>
      <x:c r="E687" s="9" t="n">
        <x:v>760</x:v>
      </x:c>
      <x:c r="F687" s="11" t="n">
        <x:v>46080</x:v>
      </x:c>
      <x:c r="G687" s="13" t="n">
        <x:v>8215.97</x:v>
      </x:c>
      <x:c r="H687" s="9" t="n">
        <x:v>85</x:v>
      </x:c>
      <x:c r="I687" s="9" t="n">
        <x:v>8</x:v>
      </x:c>
      <x:c r="J687" s="9" t="n">
        <x:v>2</x:v>
      </x:c>
      <x:c r="K687" s="9" t="n">
        <x:v>1</x:v>
      </x:c>
      <x:c r="L687" s="13" t="n">
        <x:f>SUMIFS('Payments'!$D$5:$D$3014,'Payments'!$B$5:$B$3014,A687)</x:f>
        <x:v>962.7199999999999</x:v>
      </x:c>
      <x:c r="M687" s="13" t="n">
        <x:f>G687-L687</x:f>
        <x:v>7253.249999999999</x:v>
      </x:c>
      <x:c r="N687" s="9" t="str">
        <x:f>IF(H687=0,"0 Current",IF(H687&lt;=30,"1 1-30",IF(H687&lt;=60,"2 31-60",IF(H687&lt;=90,"3 61-90",IF(H687&lt;=120,"4 91-120","5 121+")))))</x:f>
        <x:v>3 61-90</x:v>
      </x:c>
      <x:c r="O687" s="9" t="n">
        <x:f>IF(J687&gt;0,1,0)</x:f>
        <x:v>1</x:v>
      </x:c>
    </x:row>
    <x:row r="688">
      <x:c r="A688" s="15" t="str">
        <x:v>684</x:v>
      </x:c>
      <x:c r="B688" s="9" t="str">
        <x:v>Alex</x:v>
      </x:c>
      <x:c r="C688" s="9" t="str">
        <x:v>Auto</x:v>
      </x:c>
      <x:c r="D688" s="9" t="str">
        <x:v>West</x:v>
      </x:c>
      <x:c r="E688" s="9" t="n">
        <x:v>789</x:v>
      </x:c>
      <x:c r="F688" s="11" t="n">
        <x:v>46049</x:v>
      </x:c>
      <x:c r="G688" s="13" t="n">
        <x:v>10300.49</x:v>
      </x:c>
      <x:c r="H688" s="9" t="n">
        <x:v>0</x:v>
      </x:c>
      <x:c r="I688" s="9" t="n">
        <x:v>8</x:v>
      </x:c>
      <x:c r="J688" s="9" t="n">
        <x:v>2</x:v>
      </x:c>
      <x:c r="K688" s="9" t="n">
        <x:v>1</x:v>
      </x:c>
      <x:c r="L688" s="13" t="n">
        <x:f>SUMIFS('Payments'!$D$5:$D$3014,'Payments'!$B$5:$B$3014,A688)</x:f>
        <x:v>2279.8999999999996</x:v>
      </x:c>
      <x:c r="M688" s="13" t="n">
        <x:f>G688-L688</x:f>
        <x:v>8020.59</x:v>
      </x:c>
      <x:c r="N688" s="9" t="str">
        <x:f>IF(H688=0,"0 Current",IF(H688&lt;=30,"1 1-30",IF(H688&lt;=60,"2 31-60",IF(H688&lt;=90,"3 61-90",IF(H688&lt;=120,"4 91-120","5 121+")))))</x:f>
        <x:v>0 Current</x:v>
      </x:c>
      <x:c r="O688" s="9" t="n">
        <x:f>IF(J688&gt;0,1,0)</x:f>
        <x:v>1</x:v>
      </x:c>
    </x:row>
    <x:row r="689">
      <x:c r="A689" s="15" t="str">
        <x:v>685</x:v>
      </x:c>
      <x:c r="B689" s="9" t="str">
        <x:v>Casey</x:v>
      </x:c>
      <x:c r="C689" s="9" t="str">
        <x:v>Personal Loan</x:v>
      </x:c>
      <x:c r="D689" s="9" t="str">
        <x:v>Northeast</x:v>
      </x:c>
      <x:c r="E689" s="9" t="n">
        <x:v>567</x:v>
      </x:c>
      <x:c r="F689" s="11" t="n">
        <x:v>46115</x:v>
      </x:c>
      <x:c r="G689" s="13" t="n">
        <x:v>9888.52</x:v>
      </x:c>
      <x:c r="H689" s="9" t="n">
        <x:v>163</x:v>
      </x:c>
      <x:c r="I689" s="9" t="n">
        <x:v>2</x:v>
      </x:c>
      <x:c r="J689" s="9" t="n">
        <x:v>2</x:v>
      </x:c>
      <x:c r="K689" s="9" t="n">
        <x:v>0</x:v>
      </x:c>
      <x:c r="L689" s="13" t="n">
        <x:f>SUMIFS('Payments'!$D$5:$D$3014,'Payments'!$B$5:$B$3014,A689)</x:f>
        <x:v>519.15</x:v>
      </x:c>
      <x:c r="M689" s="13" t="n">
        <x:f>G689-L689</x:f>
        <x:v>9369.37</x:v>
      </x:c>
      <x:c r="N689" s="9" t="str">
        <x:f>IF(H689=0,"0 Current",IF(H689&lt;=30,"1 1-30",IF(H689&lt;=60,"2 31-60",IF(H689&lt;=90,"3 61-90",IF(H689&lt;=120,"4 91-120","5 121+")))))</x:f>
        <x:v>5 121+</x:v>
      </x:c>
      <x:c r="O689" s="9" t="n">
        <x:f>IF(J689&gt;0,1,0)</x:f>
        <x:v>1</x:v>
      </x:c>
    </x:row>
    <x:row r="690">
      <x:c r="A690" s="15" t="str">
        <x:v>686</x:v>
      </x:c>
      <x:c r="B690" s="9" t="str">
        <x:v>Morgan</x:v>
      </x:c>
      <x:c r="C690" s="9" t="str">
        <x:v>Auto</x:v>
      </x:c>
      <x:c r="D690" s="9" t="str">
        <x:v>Midwest</x:v>
      </x:c>
      <x:c r="E690" s="9" t="n">
        <x:v>600</x:v>
      </x:c>
      <x:c r="F690" s="11" t="n">
        <x:v>46059</x:v>
      </x:c>
      <x:c r="G690" s="13" t="n">
        <x:v>2284.88</x:v>
      </x:c>
      <x:c r="H690" s="9" t="n">
        <x:v>181</x:v>
      </x:c>
      <x:c r="I690" s="9" t="n">
        <x:v>7</x:v>
      </x:c>
      <x:c r="J690" s="9" t="n">
        <x:v>2</x:v>
      </x:c>
      <x:c r="K690" s="9" t="n">
        <x:v>1</x:v>
      </x:c>
      <x:c r="L690" s="13" t="n">
        <x:f>SUMIFS('Payments'!$D$5:$D$3014,'Payments'!$B$5:$B$3014,A690)</x:f>
        <x:v>361.51</x:v>
      </x:c>
      <x:c r="M690" s="13" t="n">
        <x:f>G690-L690</x:f>
        <x:v>1923.3700000000001</x:v>
      </x:c>
      <x:c r="N690" s="9" t="str">
        <x:f>IF(H690=0,"0 Current",IF(H690&lt;=30,"1 1-30",IF(H690&lt;=60,"2 31-60",IF(H690&lt;=90,"3 61-90",IF(H690&lt;=120,"4 91-120","5 121+")))))</x:f>
        <x:v>5 121+</x:v>
      </x:c>
      <x:c r="O690" s="9" t="n">
        <x:f>IF(J690&gt;0,1,0)</x:f>
        <x:v>1</x:v>
      </x:c>
    </x:row>
    <x:row r="691">
      <x:c r="A691" s="15" t="str">
        <x:v>687</x:v>
      </x:c>
      <x:c r="B691" s="9" t="str">
        <x:v>Riley</x:v>
      </x:c>
      <x:c r="C691" s="9" t="str">
        <x:v>Auto</x:v>
      </x:c>
      <x:c r="D691" s="9" t="str">
        <x:v>Northeast</x:v>
      </x:c>
      <x:c r="E691" s="9" t="n">
        <x:v>715</x:v>
      </x:c>
      <x:c r="F691" s="11" t="n">
        <x:v>46116</x:v>
      </x:c>
      <x:c r="G691" s="13" t="n">
        <x:v>19935.39</x:v>
      </x:c>
      <x:c r="H691" s="9" t="n">
        <x:v>95</x:v>
      </x:c>
      <x:c r="I691" s="9" t="n">
        <x:v>1</x:v>
      </x:c>
      <x:c r="J691" s="9" t="n">
        <x:v>1</x:v>
      </x:c>
      <x:c r="K691" s="9" t="n">
        <x:v>0</x:v>
      </x:c>
      <x:c r="L691" s="13" t="n">
        <x:f>SUMIFS('Payments'!$D$5:$D$3014,'Payments'!$B$5:$B$3014,A691)</x:f>
        <x:v>950.2</x:v>
      </x:c>
      <x:c r="M691" s="13" t="n">
        <x:f>G691-L691</x:f>
        <x:v>18985.19</x:v>
      </x:c>
      <x:c r="N691" s="9" t="str">
        <x:f>IF(H691=0,"0 Current",IF(H691&lt;=30,"1 1-30",IF(H691&lt;=60,"2 31-60",IF(H691&lt;=90,"3 61-90",IF(H691&lt;=120,"4 91-120","5 121+")))))</x:f>
        <x:v>4 91-120</x:v>
      </x:c>
      <x:c r="O691" s="9" t="n">
        <x:f>IF(J691&gt;0,1,0)</x:f>
        <x:v>1</x:v>
      </x:c>
    </x:row>
    <x:row r="692">
      <x:c r="A692" s="15" t="str">
        <x:v>688</x:v>
      </x:c>
      <x:c r="B692" s="9" t="str">
        <x:v>Alex</x:v>
      </x:c>
      <x:c r="C692" s="9" t="str">
        <x:v>Medical</x:v>
      </x:c>
      <x:c r="D692" s="9" t="str">
        <x:v>South</x:v>
      </x:c>
      <x:c r="E692" s="9" t="n">
        <x:v>499</x:v>
      </x:c>
      <x:c r="F692" s="11" t="n">
        <x:v>46099</x:v>
      </x:c>
      <x:c r="G692" s="13" t="n">
        <x:v>17785.47</x:v>
      </x:c>
      <x:c r="H692" s="9" t="n">
        <x:v>55</x:v>
      </x:c>
      <x:c r="I692" s="9" t="n">
        <x:v>8</x:v>
      </x:c>
      <x:c r="J692" s="9" t="n">
        <x:v>1</x:v>
      </x:c>
      <x:c r="K692" s="9" t="n">
        <x:v>0</x:v>
      </x:c>
      <x:c r="L692" s="13" t="n">
        <x:f>SUMIFS('Payments'!$D$5:$D$3014,'Payments'!$B$5:$B$3014,A692)</x:f>
        <x:v>3195.46</x:v>
      </x:c>
      <x:c r="M692" s="13" t="n">
        <x:f>G692-L692</x:f>
        <x:v>14590.010000000002</x:v>
      </x:c>
      <x:c r="N692" s="9" t="str">
        <x:f>IF(H692=0,"0 Current",IF(H692&lt;=30,"1 1-30",IF(H692&lt;=60,"2 31-60",IF(H692&lt;=90,"3 61-90",IF(H692&lt;=120,"4 91-120","5 121+")))))</x:f>
        <x:v>2 31-60</x:v>
      </x:c>
      <x:c r="O692" s="9" t="n">
        <x:f>IF(J692&gt;0,1,0)</x:f>
        <x:v>1</x:v>
      </x:c>
    </x:row>
    <x:row r="693">
      <x:c r="A693" s="15" t="str">
        <x:v>689</x:v>
      </x:c>
      <x:c r="B693" s="9" t="str">
        <x:v>Morgan</x:v>
      </x:c>
      <x:c r="C693" s="9" t="str">
        <x:v>Medical</x:v>
      </x:c>
      <x:c r="D693" s="9" t="str">
        <x:v>West</x:v>
      </x:c>
      <x:c r="E693" s="9" t="n">
        <x:v>534</x:v>
      </x:c>
      <x:c r="F693" s="11" t="n">
        <x:v>46128</x:v>
      </x:c>
      <x:c r="G693" s="13" t="n">
        <x:v>13774.58</x:v>
      </x:c>
      <x:c r="H693" s="9" t="n">
        <x:v>222</x:v>
      </x:c>
      <x:c r="I693" s="9" t="n">
        <x:v>8</x:v>
      </x:c>
      <x:c r="J693" s="9" t="n">
        <x:v>4</x:v>
      </x:c>
      <x:c r="K693" s="9" t="n">
        <x:v>1</x:v>
      </x:c>
      <x:c r="L693" s="13" t="n">
        <x:f>SUMIFS('Payments'!$D$5:$D$3014,'Payments'!$B$5:$B$3014,A693)</x:f>
        <x:v>1285.81</x:v>
      </x:c>
      <x:c r="M693" s="13" t="n">
        <x:f>G693-L693</x:f>
        <x:v>12488.77</x:v>
      </x:c>
      <x:c r="N693" s="9" t="str">
        <x:f>IF(H693=0,"0 Current",IF(H693&lt;=30,"1 1-30",IF(H693&lt;=60,"2 31-60",IF(H693&lt;=90,"3 61-90",IF(H693&lt;=120,"4 91-120","5 121+")))))</x:f>
        <x:v>5 121+</x:v>
      </x:c>
      <x:c r="O693" s="9" t="n">
        <x:f>IF(J693&gt;0,1,0)</x:f>
        <x:v>1</x:v>
      </x:c>
    </x:row>
    <x:row r="694">
      <x:c r="A694" s="15" t="str">
        <x:v>690</x:v>
      </x:c>
      <x:c r="B694" s="9" t="str">
        <x:v>Riley</x:v>
      </x:c>
      <x:c r="C694" s="9" t="str">
        <x:v>Auto</x:v>
      </x:c>
      <x:c r="D694" s="9" t="str">
        <x:v>Northeast</x:v>
      </x:c>
      <x:c r="E694" s="9" t="n">
        <x:v>599</x:v>
      </x:c>
      <x:c r="F694" s="11" t="n">
        <x:v>46115</x:v>
      </x:c>
      <x:c r="G694" s="13" t="n">
        <x:v>13733.03</x:v>
      </x:c>
      <x:c r="H694" s="9" t="n">
        <x:v>121</x:v>
      </x:c>
      <x:c r="I694" s="9" t="n">
        <x:v>8</x:v>
      </x:c>
      <x:c r="J694" s="9" t="n">
        <x:v>4</x:v>
      </x:c>
      <x:c r="K694" s="9" t="n">
        <x:v>1</x:v>
      </x:c>
      <x:c r="L694" s="13" t="n">
        <x:f>SUMIFS('Payments'!$D$5:$D$3014,'Payments'!$B$5:$B$3014,A694)</x:f>
        <x:v>1274.24</x:v>
      </x:c>
      <x:c r="M694" s="13" t="n">
        <x:f>G694-L694</x:f>
        <x:v>12458.79</x:v>
      </x:c>
      <x:c r="N694" s="9" t="str">
        <x:f>IF(H694=0,"0 Current",IF(H694&lt;=30,"1 1-30",IF(H694&lt;=60,"2 31-60",IF(H694&lt;=90,"3 61-90",IF(H694&lt;=120,"4 91-120","5 121+")))))</x:f>
        <x:v>5 121+</x:v>
      </x:c>
      <x:c r="O694" s="9" t="n">
        <x:f>IF(J694&gt;0,1,0)</x:f>
        <x:v>1</x:v>
      </x:c>
    </x:row>
    <x:row r="695">
      <x:c r="A695" s="15" t="str">
        <x:v>691</x:v>
      </x:c>
      <x:c r="B695" s="9" t="str">
        <x:v>Alex</x:v>
      </x:c>
      <x:c r="C695" s="9" t="str">
        <x:v>Credit Card</x:v>
      </x:c>
      <x:c r="D695" s="9" t="str">
        <x:v>Midwest</x:v>
      </x:c>
      <x:c r="E695" s="9" t="n">
        <x:v>478</x:v>
      </x:c>
      <x:c r="F695" s="11" t="n">
        <x:v>46060</x:v>
      </x:c>
      <x:c r="G695" s="13" t="n">
        <x:v>19160.62</x:v>
      </x:c>
      <x:c r="H695" s="9" t="n">
        <x:v>34</x:v>
      </x:c>
      <x:c r="I695" s="9" t="n">
        <x:v>5</x:v>
      </x:c>
      <x:c r="J695" s="9" t="n">
        <x:v>3</x:v>
      </x:c>
      <x:c r="K695" s="9" t="n">
        <x:v>1</x:v>
      </x:c>
      <x:c r="L695" s="13" t="n">
        <x:f>SUMIFS('Payments'!$D$5:$D$3014,'Payments'!$B$5:$B$3014,A695)</x:f>
        <x:v>4530.5599999999995</x:v>
      </x:c>
      <x:c r="M695" s="13" t="n">
        <x:f>G695-L695</x:f>
        <x:v>14630.06</x:v>
      </x:c>
      <x:c r="N695" s="9" t="str">
        <x:f>IF(H695=0,"0 Current",IF(H695&lt;=30,"1 1-30",IF(H695&lt;=60,"2 31-60",IF(H695&lt;=90,"3 61-90",IF(H695&lt;=120,"4 91-120","5 121+")))))</x:f>
        <x:v>2 31-60</x:v>
      </x:c>
      <x:c r="O695" s="9" t="n">
        <x:f>IF(J695&gt;0,1,0)</x:f>
        <x:v>1</x:v>
      </x:c>
    </x:row>
    <x:row r="696">
      <x:c r="A696" s="15" t="str">
        <x:v>692</x:v>
      </x:c>
      <x:c r="B696" s="9" t="str">
        <x:v>Casey</x:v>
      </x:c>
      <x:c r="C696" s="9" t="str">
        <x:v>Personal Loan</x:v>
      </x:c>
      <x:c r="D696" s="9" t="str">
        <x:v>Midwest</x:v>
      </x:c>
      <x:c r="E696" s="9" t="n">
        <x:v>713</x:v>
      </x:c>
      <x:c r="F696" s="11" t="n">
        <x:v>46040</x:v>
      </x:c>
      <x:c r="G696" s="13" t="n">
        <x:v>7933.79</x:v>
      </x:c>
      <x:c r="H696" s="9" t="n">
        <x:v>173</x:v>
      </x:c>
      <x:c r="I696" s="9" t="n">
        <x:v>4</x:v>
      </x:c>
      <x:c r="J696" s="9" t="n">
        <x:v>0</x:v>
      </x:c>
      <x:c r="K696" s="9" t="n">
        <x:v>0</x:v>
      </x:c>
      <x:c r="L696" s="13" t="n">
        <x:f>SUMIFS('Payments'!$D$5:$D$3014,'Payments'!$B$5:$B$3014,A696)</x:f>
        <x:v>1933.95</x:v>
      </x:c>
      <x:c r="M696" s="13" t="n">
        <x:f>G696-L696</x:f>
        <x:v>5999.84</x:v>
      </x:c>
      <x:c r="N696" s="9" t="str">
        <x:f>IF(H696=0,"0 Current",IF(H696&lt;=30,"1 1-30",IF(H696&lt;=60,"2 31-60",IF(H696&lt;=90,"3 61-90",IF(H696&lt;=120,"4 91-120","5 121+")))))</x:f>
        <x:v>5 121+</x:v>
      </x:c>
      <x:c r="O696" s="9" t="n">
        <x:f>IF(J696&gt;0,1,0)</x:f>
        <x:v>0</x:v>
      </x:c>
    </x:row>
    <x:row r="697">
      <x:c r="A697" s="15" t="str">
        <x:v>693</x:v>
      </x:c>
      <x:c r="B697" s="9" t="str">
        <x:v>Riley</x:v>
      </x:c>
      <x:c r="C697" s="9" t="str">
        <x:v>Personal Loan</x:v>
      </x:c>
      <x:c r="D697" s="9" t="str">
        <x:v>South</x:v>
      </x:c>
      <x:c r="E697" s="9" t="n">
        <x:v>639</x:v>
      </x:c>
      <x:c r="F697" s="11" t="n">
        <x:v>46087</x:v>
      </x:c>
      <x:c r="G697" s="13" t="n">
        <x:v>8554.03</x:v>
      </x:c>
      <x:c r="H697" s="9" t="n">
        <x:v>133</x:v>
      </x:c>
      <x:c r="I697" s="9" t="n">
        <x:v>7</x:v>
      </x:c>
      <x:c r="J697" s="9" t="n">
        <x:v>4</x:v>
      </x:c>
      <x:c r="K697" s="9" t="n">
        <x:v>1</x:v>
      </x:c>
      <x:c r="L697" s="13" t="n">
        <x:f>SUMIFS('Payments'!$D$5:$D$3014,'Payments'!$B$5:$B$3014,A697)</x:f>
        <x:v>0</x:v>
      </x:c>
      <x:c r="M697" s="13" t="n">
        <x:f>G697-L697</x:f>
        <x:v>8554.03</x:v>
      </x:c>
      <x:c r="N697" s="9" t="str">
        <x:f>IF(H697=0,"0 Current",IF(H697&lt;=30,"1 1-30",IF(H697&lt;=60,"2 31-60",IF(H697&lt;=90,"3 61-90",IF(H697&lt;=120,"4 91-120","5 121+")))))</x:f>
        <x:v>5 121+</x:v>
      </x:c>
      <x:c r="O697" s="9" t="n">
        <x:f>IF(J697&gt;0,1,0)</x:f>
        <x:v>1</x:v>
      </x:c>
    </x:row>
    <x:row r="698">
      <x:c r="A698" s="15" t="str">
        <x:v>694</x:v>
      </x:c>
      <x:c r="B698" s="9" t="str">
        <x:v>Riley</x:v>
      </x:c>
      <x:c r="C698" s="9" t="str">
        <x:v>Credit Card</x:v>
      </x:c>
      <x:c r="D698" s="9" t="str">
        <x:v>Northeast</x:v>
      </x:c>
      <x:c r="E698" s="9" t="n">
        <x:v>731</x:v>
      </x:c>
      <x:c r="F698" s="11" t="n">
        <x:v>46043</x:v>
      </x:c>
      <x:c r="G698" s="13" t="n">
        <x:v>14463.62</x:v>
      </x:c>
      <x:c r="H698" s="9" t="n">
        <x:v>33</x:v>
      </x:c>
      <x:c r="I698" s="9" t="n">
        <x:v>6</x:v>
      </x:c>
      <x:c r="J698" s="9" t="n">
        <x:v>3</x:v>
      </x:c>
      <x:c r="K698" s="9" t="n">
        <x:v>0</x:v>
      </x:c>
      <x:c r="L698" s="13" t="n">
        <x:f>SUMIFS('Payments'!$D$5:$D$3014,'Payments'!$B$5:$B$3014,A698)</x:f>
        <x:v>2348.6400000000003</x:v>
      </x:c>
      <x:c r="M698" s="13" t="n">
        <x:f>G698-L698</x:f>
        <x:v>12114.98</x:v>
      </x:c>
      <x:c r="N698" s="9" t="str">
        <x:f>IF(H698=0,"0 Current",IF(H698&lt;=30,"1 1-30",IF(H698&lt;=60,"2 31-60",IF(H698&lt;=90,"3 61-90",IF(H698&lt;=120,"4 91-120","5 121+")))))</x:f>
        <x:v>2 31-60</x:v>
      </x:c>
      <x:c r="O698" s="9" t="n">
        <x:f>IF(J698&gt;0,1,0)</x:f>
        <x:v>1</x:v>
      </x:c>
    </x:row>
    <x:row r="699">
      <x:c r="A699" s="15" t="str">
        <x:v>695</x:v>
      </x:c>
      <x:c r="B699" s="9" t="str">
        <x:v>Riley</x:v>
      </x:c>
      <x:c r="C699" s="9" t="str">
        <x:v>Medical</x:v>
      </x:c>
      <x:c r="D699" s="9" t="str">
        <x:v>Midwest</x:v>
      </x:c>
      <x:c r="E699" s="9" t="n">
        <x:v>434</x:v>
      </x:c>
      <x:c r="F699" s="11" t="n">
        <x:v>46111</x:v>
      </x:c>
      <x:c r="G699" s="13" t="n">
        <x:v>11471.79</x:v>
      </x:c>
      <x:c r="H699" s="9" t="n">
        <x:v>125</x:v>
      </x:c>
      <x:c r="I699" s="9" t="n">
        <x:v>1</x:v>
      </x:c>
      <x:c r="J699" s="9" t="n">
        <x:v>1</x:v>
      </x:c>
      <x:c r="K699" s="9" t="n">
        <x:v>1</x:v>
      </x:c>
      <x:c r="L699" s="13" t="n">
        <x:f>SUMIFS('Payments'!$D$5:$D$3014,'Payments'!$B$5:$B$3014,A699)</x:f>
        <x:v>1898.37</x:v>
      </x:c>
      <x:c r="M699" s="13" t="n">
        <x:f>G699-L699</x:f>
        <x:v>9573.420000000002</x:v>
      </x:c>
      <x:c r="N699" s="9" t="str">
        <x:f>IF(H699=0,"0 Current",IF(H699&lt;=30,"1 1-30",IF(H699&lt;=60,"2 31-60",IF(H699&lt;=90,"3 61-90",IF(H699&lt;=120,"4 91-120","5 121+")))))</x:f>
        <x:v>5 121+</x:v>
      </x:c>
      <x:c r="O699" s="9" t="n">
        <x:f>IF(J699&gt;0,1,0)</x:f>
        <x:v>1</x:v>
      </x:c>
    </x:row>
    <x:row r="700">
      <x:c r="A700" s="15" t="str">
        <x:v>696</x:v>
      </x:c>
      <x:c r="B700" s="9" t="str">
        <x:v>Alex</x:v>
      </x:c>
      <x:c r="C700" s="9" t="str">
        <x:v>Medical</x:v>
      </x:c>
      <x:c r="D700" s="9" t="str">
        <x:v>South</x:v>
      </x:c>
      <x:c r="E700" s="9" t="n">
        <x:v>559</x:v>
      </x:c>
      <x:c r="F700" s="11" t="n">
        <x:v>46153</x:v>
      </x:c>
      <x:c r="G700" s="13" t="n">
        <x:v>5261.59</x:v>
      </x:c>
      <x:c r="H700" s="9" t="n">
        <x:v>206</x:v>
      </x:c>
      <x:c r="I700" s="9" t="n">
        <x:v>3</x:v>
      </x:c>
      <x:c r="J700" s="9" t="n">
        <x:v>1</x:v>
      </x:c>
      <x:c r="K700" s="9" t="n">
        <x:v>0</x:v>
      </x:c>
      <x:c r="L700" s="13" t="n">
        <x:f>SUMIFS('Payments'!$D$5:$D$3014,'Payments'!$B$5:$B$3014,A700)</x:f>
        <x:v>0</x:v>
      </x:c>
      <x:c r="M700" s="13" t="n">
        <x:f>G700-L700</x:f>
        <x:v>5261.59</x:v>
      </x:c>
      <x:c r="N700" s="9" t="str">
        <x:f>IF(H700=0,"0 Current",IF(H700&lt;=30,"1 1-30",IF(H700&lt;=60,"2 31-60",IF(H700&lt;=90,"3 61-90",IF(H700&lt;=120,"4 91-120","5 121+")))))</x:f>
        <x:v>5 121+</x:v>
      </x:c>
      <x:c r="O700" s="9" t="n">
        <x:f>IF(J700&gt;0,1,0)</x:f>
        <x:v>1</x:v>
      </x:c>
    </x:row>
    <x:row r="701">
      <x:c r="A701" s="15" t="str">
        <x:v>697</x:v>
      </x:c>
      <x:c r="B701" s="9" t="str">
        <x:v>Taylor</x:v>
      </x:c>
      <x:c r="C701" s="9" t="str">
        <x:v>Credit Card</x:v>
      </x:c>
      <x:c r="D701" s="9" t="str">
        <x:v>Midwest</x:v>
      </x:c>
      <x:c r="E701" s="9" t="n">
        <x:v>593</x:v>
      </x:c>
      <x:c r="F701" s="11" t="n">
        <x:v>46042</x:v>
      </x:c>
      <x:c r="G701" s="13" t="n">
        <x:v>904.55</x:v>
      </x:c>
      <x:c r="H701" s="9" t="n">
        <x:v>188</x:v>
      </x:c>
      <x:c r="I701" s="9" t="n">
        <x:v>7</x:v>
      </x:c>
      <x:c r="J701" s="9" t="n">
        <x:v>4</x:v>
      </x:c>
      <x:c r="K701" s="9" t="n">
        <x:v>1</x:v>
      </x:c>
      <x:c r="L701" s="13" t="n">
        <x:f>SUMIFS('Payments'!$D$5:$D$3014,'Payments'!$B$5:$B$3014,A701)</x:f>
        <x:v>146.75</x:v>
      </x:c>
      <x:c r="M701" s="13" t="n">
        <x:f>G701-L701</x:f>
        <x:v>757.8</x:v>
      </x:c>
      <x:c r="N701" s="9" t="str">
        <x:f>IF(H701=0,"0 Current",IF(H701&lt;=30,"1 1-30",IF(H701&lt;=60,"2 31-60",IF(H701&lt;=90,"3 61-90",IF(H701&lt;=120,"4 91-120","5 121+")))))</x:f>
        <x:v>5 121+</x:v>
      </x:c>
      <x:c r="O701" s="9" t="n">
        <x:f>IF(J701&gt;0,1,0)</x:f>
        <x:v>1</x:v>
      </x:c>
    </x:row>
    <x:row r="702">
      <x:c r="A702" s="15" t="str">
        <x:v>698</x:v>
      </x:c>
      <x:c r="B702" s="9" t="str">
        <x:v>Jordan</x:v>
      </x:c>
      <x:c r="C702" s="9" t="str">
        <x:v>Medical</x:v>
      </x:c>
      <x:c r="D702" s="9" t="str">
        <x:v>Midwest</x:v>
      </x:c>
      <x:c r="E702" s="9" t="n">
        <x:v>423</x:v>
      </x:c>
      <x:c r="F702" s="11" t="n">
        <x:v>46043</x:v>
      </x:c>
      <x:c r="G702" s="13" t="n">
        <x:v>16727.8</x:v>
      </x:c>
      <x:c r="H702" s="9" t="n">
        <x:v>121</x:v>
      </x:c>
      <x:c r="I702" s="9" t="n">
        <x:v>2</x:v>
      </x:c>
      <x:c r="J702" s="9" t="n">
        <x:v>1</x:v>
      </x:c>
      <x:c r="K702" s="9" t="n">
        <x:v>0</x:v>
      </x:c>
      <x:c r="L702" s="13" t="n">
        <x:f>SUMIFS('Payments'!$D$5:$D$3014,'Payments'!$B$5:$B$3014,A702)</x:f>
        <x:v>1866.6</x:v>
      </x:c>
      <x:c r="M702" s="13" t="n">
        <x:f>G702-L702</x:f>
        <x:v>14861.199999999999</x:v>
      </x:c>
      <x:c r="N702" s="9" t="str">
        <x:f>IF(H702=0,"0 Current",IF(H702&lt;=30,"1 1-30",IF(H702&lt;=60,"2 31-60",IF(H702&lt;=90,"3 61-90",IF(H702&lt;=120,"4 91-120","5 121+")))))</x:f>
        <x:v>5 121+</x:v>
      </x:c>
      <x:c r="O702" s="9" t="n">
        <x:f>IF(J702&gt;0,1,0)</x:f>
        <x:v>1</x:v>
      </x:c>
    </x:row>
    <x:row r="703">
      <x:c r="A703" s="15" t="str">
        <x:v>699</x:v>
      </x:c>
      <x:c r="B703" s="9" t="str">
        <x:v>Casey</x:v>
      </x:c>
      <x:c r="C703" s="9" t="str">
        <x:v>Credit Card</x:v>
      </x:c>
      <x:c r="D703" s="9" t="str">
        <x:v>South</x:v>
      </x:c>
      <x:c r="E703" s="9" t="n">
        <x:v>493</x:v>
      </x:c>
      <x:c r="F703" s="11" t="n">
        <x:v>46038</x:v>
      </x:c>
      <x:c r="G703" s="13" t="n">
        <x:v>19060.48</x:v>
      </x:c>
      <x:c r="H703" s="9" t="n">
        <x:v>20</x:v>
      </x:c>
      <x:c r="I703" s="9" t="n">
        <x:v>2</x:v>
      </x:c>
      <x:c r="J703" s="9" t="n">
        <x:v>1</x:v>
      </x:c>
      <x:c r="K703" s="9" t="n">
        <x:v>0</x:v>
      </x:c>
      <x:c r="L703" s="13" t="n">
        <x:f>SUMIFS('Payments'!$D$5:$D$3014,'Payments'!$B$5:$B$3014,A703)</x:f>
        <x:v>528.31</x:v>
      </x:c>
      <x:c r="M703" s="13" t="n">
        <x:f>G703-L703</x:f>
        <x:v>18532.17</x:v>
      </x:c>
      <x:c r="N703" s="9" t="str">
        <x:f>IF(H703=0,"0 Current",IF(H703&lt;=30,"1 1-30",IF(H703&lt;=60,"2 31-60",IF(H703&lt;=90,"3 61-90",IF(H703&lt;=120,"4 91-120","5 121+")))))</x:f>
        <x:v>1 1-30</x:v>
      </x:c>
      <x:c r="O703" s="9" t="n">
        <x:f>IF(J703&gt;0,1,0)</x:f>
        <x:v>1</x:v>
      </x:c>
    </x:row>
    <x:row r="704">
      <x:c r="A704" s="15" t="str">
        <x:v>700</x:v>
      </x:c>
      <x:c r="B704" s="9" t="str">
        <x:v>Casey</x:v>
      </x:c>
      <x:c r="C704" s="9" t="str">
        <x:v>Personal Loan</x:v>
      </x:c>
      <x:c r="D704" s="9" t="str">
        <x:v>West</x:v>
      </x:c>
      <x:c r="E704" s="9" t="n">
        <x:v>455</x:v>
      </x:c>
      <x:c r="F704" s="11" t="n">
        <x:v>46042</x:v>
      </x:c>
      <x:c r="G704" s="13" t="n">
        <x:v>8393.61</x:v>
      </x:c>
      <x:c r="H704" s="9" t="n">
        <x:v>193</x:v>
      </x:c>
      <x:c r="I704" s="9" t="n">
        <x:v>4</x:v>
      </x:c>
      <x:c r="J704" s="9" t="n">
        <x:v>1</x:v>
      </x:c>
      <x:c r="K704" s="9" t="n">
        <x:v>0</x:v>
      </x:c>
      <x:c r="L704" s="13" t="n">
        <x:f>SUMIFS('Payments'!$D$5:$D$3014,'Payments'!$B$5:$B$3014,A704)</x:f>
        <x:v>222.89</x:v>
      </x:c>
      <x:c r="M704" s="13" t="n">
        <x:f>G704-L704</x:f>
        <x:v>8170.72</x:v>
      </x:c>
      <x:c r="N704" s="9" t="str">
        <x:f>IF(H704=0,"0 Current",IF(H704&lt;=30,"1 1-30",IF(H704&lt;=60,"2 31-60",IF(H704&lt;=90,"3 61-90",IF(H704&lt;=120,"4 91-120","5 121+")))))</x:f>
        <x:v>5 121+</x:v>
      </x:c>
      <x:c r="O704" s="9" t="n">
        <x:f>IF(J704&gt;0,1,0)</x:f>
        <x:v>1</x:v>
      </x:c>
    </x:row>
    <x:row r="705">
      <x:c r="A705" s="15" t="str">
        <x:v>701</x:v>
      </x:c>
      <x:c r="B705" s="9" t="str">
        <x:v>Casey</x:v>
      </x:c>
      <x:c r="C705" s="9" t="str">
        <x:v>Credit Card</x:v>
      </x:c>
      <x:c r="D705" s="9" t="str">
        <x:v>South</x:v>
      </x:c>
      <x:c r="E705" s="9" t="n">
        <x:v>799</x:v>
      </x:c>
      <x:c r="F705" s="11" t="n">
        <x:v>46087</x:v>
      </x:c>
      <x:c r="G705" s="13" t="n">
        <x:v>12304.83</x:v>
      </x:c>
      <x:c r="H705" s="9" t="n">
        <x:v>15</x:v>
      </x:c>
      <x:c r="I705" s="9" t="n">
        <x:v>7</x:v>
      </x:c>
      <x:c r="J705" s="9" t="n">
        <x:v>4</x:v>
      </x:c>
      <x:c r="K705" s="9" t="n">
        <x:v>1</x:v>
      </x:c>
      <x:c r="L705" s="13" t="n">
        <x:f>SUMIFS('Payments'!$D$5:$D$3014,'Payments'!$B$5:$B$3014,A705)</x:f>
        <x:v>0</x:v>
      </x:c>
      <x:c r="M705" s="13" t="n">
        <x:f>G705-L705</x:f>
        <x:v>12304.83</x:v>
      </x:c>
      <x:c r="N705" s="9" t="str">
        <x:f>IF(H705=0,"0 Current",IF(H705&lt;=30,"1 1-30",IF(H705&lt;=60,"2 31-60",IF(H705&lt;=90,"3 61-90",IF(H705&lt;=120,"4 91-120","5 121+")))))</x:f>
        <x:v>1 1-30</x:v>
      </x:c>
      <x:c r="O705" s="9" t="n">
        <x:f>IF(J705&gt;0,1,0)</x:f>
        <x:v>1</x:v>
      </x:c>
    </x:row>
    <x:row r="706">
      <x:c r="A706" s="15" t="str">
        <x:v>702</x:v>
      </x:c>
      <x:c r="B706" s="9" t="str">
        <x:v>Riley</x:v>
      </x:c>
      <x:c r="C706" s="9" t="str">
        <x:v>Personal Loan</x:v>
      </x:c>
      <x:c r="D706" s="9" t="str">
        <x:v>Northeast</x:v>
      </x:c>
      <x:c r="E706" s="9" t="n">
        <x:v>466</x:v>
      </x:c>
      <x:c r="F706" s="11" t="n">
        <x:v>46115</x:v>
      </x:c>
      <x:c r="G706" s="13" t="n">
        <x:v>3263.15</x:v>
      </x:c>
      <x:c r="H706" s="9" t="n">
        <x:v>186</x:v>
      </x:c>
      <x:c r="I706" s="9" t="n">
        <x:v>7</x:v>
      </x:c>
      <x:c r="J706" s="9" t="n">
        <x:v>1</x:v>
      </x:c>
      <x:c r="K706" s="9" t="n">
        <x:v>0</x:v>
      </x:c>
      <x:c r="L706" s="13" t="n">
        <x:f>SUMIFS('Payments'!$D$5:$D$3014,'Payments'!$B$5:$B$3014,A706)</x:f>
        <x:v>630.28</x:v>
      </x:c>
      <x:c r="M706" s="13" t="n">
        <x:f>G706-L706</x:f>
        <x:v>2632.87</x:v>
      </x:c>
      <x:c r="N706" s="9" t="str">
        <x:f>IF(H706=0,"0 Current",IF(H706&lt;=30,"1 1-30",IF(H706&lt;=60,"2 31-60",IF(H706&lt;=90,"3 61-90",IF(H706&lt;=120,"4 91-120","5 121+")))))</x:f>
        <x:v>5 121+</x:v>
      </x:c>
      <x:c r="O706" s="9" t="n">
        <x:f>IF(J706&gt;0,1,0)</x:f>
        <x:v>1</x:v>
      </x:c>
    </x:row>
    <x:row r="707">
      <x:c r="A707" s="15" t="str">
        <x:v>703</x:v>
      </x:c>
      <x:c r="B707" s="9" t="str">
        <x:v>Casey</x:v>
      </x:c>
      <x:c r="C707" s="9" t="str">
        <x:v>Medical</x:v>
      </x:c>
      <x:c r="D707" s="9" t="str">
        <x:v>South</x:v>
      </x:c>
      <x:c r="E707" s="9" t="n">
        <x:v>612</x:v>
      </x:c>
      <x:c r="F707" s="11" t="n">
        <x:v>46141</x:v>
      </x:c>
      <x:c r="G707" s="13" t="n">
        <x:v>19465.65</x:v>
      </x:c>
      <x:c r="H707" s="9" t="n">
        <x:v>188</x:v>
      </x:c>
      <x:c r="I707" s="9" t="n">
        <x:v>5</x:v>
      </x:c>
      <x:c r="J707" s="9" t="n">
        <x:v>2</x:v>
      </x:c>
      <x:c r="K707" s="9" t="n">
        <x:v>1</x:v>
      </x:c>
      <x:c r="L707" s="13" t="n">
        <x:f>SUMIFS('Payments'!$D$5:$D$3014,'Payments'!$B$5:$B$3014,A707)</x:f>
        <x:v>1559.6200000000001</x:v>
      </x:c>
      <x:c r="M707" s="13" t="n">
        <x:f>G707-L707</x:f>
        <x:v>17906.030000000002</x:v>
      </x:c>
      <x:c r="N707" s="9" t="str">
        <x:f>IF(H707=0,"0 Current",IF(H707&lt;=30,"1 1-30",IF(H707&lt;=60,"2 31-60",IF(H707&lt;=90,"3 61-90",IF(H707&lt;=120,"4 91-120","5 121+")))))</x:f>
        <x:v>5 121+</x:v>
      </x:c>
      <x:c r="O707" s="9" t="n">
        <x:f>IF(J707&gt;0,1,0)</x:f>
        <x:v>1</x:v>
      </x:c>
    </x:row>
    <x:row r="708">
      <x:c r="A708" s="15" t="str">
        <x:v>704</x:v>
      </x:c>
      <x:c r="B708" s="9" t="str">
        <x:v>Alex</x:v>
      </x:c>
      <x:c r="C708" s="9" t="str">
        <x:v>Credit Card</x:v>
      </x:c>
      <x:c r="D708" s="9" t="str">
        <x:v>West</x:v>
      </x:c>
      <x:c r="E708" s="9" t="n">
        <x:v>652</x:v>
      </x:c>
      <x:c r="F708" s="11" t="n">
        <x:v>46070</x:v>
      </x:c>
      <x:c r="G708" s="13" t="n">
        <x:v>9601.37</x:v>
      </x:c>
      <x:c r="H708" s="9" t="n">
        <x:v>100</x:v>
      </x:c>
      <x:c r="I708" s="9" t="n">
        <x:v>6</x:v>
      </x:c>
      <x:c r="J708" s="9" t="n">
        <x:v>1</x:v>
      </x:c>
      <x:c r="K708" s="9" t="n">
        <x:v>0</x:v>
      </x:c>
      <x:c r="L708" s="13" t="n">
        <x:f>SUMIFS('Payments'!$D$5:$D$3014,'Payments'!$B$5:$B$3014,A708)</x:f>
        <x:v>697</x:v>
      </x:c>
      <x:c r="M708" s="13" t="n">
        <x:f>G708-L708</x:f>
        <x:v>8904.37</x:v>
      </x:c>
      <x:c r="N708" s="9" t="str">
        <x:f>IF(H708=0,"0 Current",IF(H708&lt;=30,"1 1-30",IF(H708&lt;=60,"2 31-60",IF(H708&lt;=90,"3 61-90",IF(H708&lt;=120,"4 91-120","5 121+")))))</x:f>
        <x:v>4 91-120</x:v>
      </x:c>
      <x:c r="O708" s="9" t="n">
        <x:f>IF(J708&gt;0,1,0)</x:f>
        <x:v>1</x:v>
      </x:c>
    </x:row>
    <x:row r="709">
      <x:c r="A709" s="15" t="str">
        <x:v>705</x:v>
      </x:c>
      <x:c r="B709" s="9" t="str">
        <x:v>Jordan</x:v>
      </x:c>
      <x:c r="C709" s="9" t="str">
        <x:v>Auto</x:v>
      </x:c>
      <x:c r="D709" s="9" t="str">
        <x:v>Midwest</x:v>
      </x:c>
      <x:c r="E709" s="9" t="n">
        <x:v>500</x:v>
      </x:c>
      <x:c r="F709" s="11" t="n">
        <x:v>46050</x:v>
      </x:c>
      <x:c r="G709" s="13" t="n">
        <x:v>3306.24</x:v>
      </x:c>
      <x:c r="H709" s="9" t="n">
        <x:v>155</x:v>
      </x:c>
      <x:c r="I709" s="9" t="n">
        <x:v>3</x:v>
      </x:c>
      <x:c r="J709" s="9" t="n">
        <x:v>2</x:v>
      </x:c>
      <x:c r="K709" s="9" t="n">
        <x:v>0</x:v>
      </x:c>
      <x:c r="L709" s="13" t="n">
        <x:f>SUMIFS('Payments'!$D$5:$D$3014,'Payments'!$B$5:$B$3014,A709)</x:f>
        <x:v>452.68</x:v>
      </x:c>
      <x:c r="M709" s="13" t="n">
        <x:f>G709-L709</x:f>
        <x:v>2853.56</x:v>
      </x:c>
      <x:c r="N709" s="9" t="str">
        <x:f>IF(H709=0,"0 Current",IF(H709&lt;=30,"1 1-30",IF(H709&lt;=60,"2 31-60",IF(H709&lt;=90,"3 61-90",IF(H709&lt;=120,"4 91-120","5 121+")))))</x:f>
        <x:v>5 121+</x:v>
      </x:c>
      <x:c r="O709" s="9" t="n">
        <x:f>IF(J709&gt;0,1,0)</x:f>
        <x:v>1</x:v>
      </x:c>
    </x:row>
    <x:row r="710">
      <x:c r="A710" s="15" t="str">
        <x:v>706</x:v>
      </x:c>
      <x:c r="B710" s="9" t="str">
        <x:v>Riley</x:v>
      </x:c>
      <x:c r="C710" s="9" t="str">
        <x:v>Medical</x:v>
      </x:c>
      <x:c r="D710" s="9" t="str">
        <x:v>Midwest</x:v>
      </x:c>
      <x:c r="E710" s="9" t="n">
        <x:v>579</x:v>
      </x:c>
      <x:c r="F710" s="11" t="n">
        <x:v>46132</x:v>
      </x:c>
      <x:c r="G710" s="13" t="n">
        <x:v>5610.64</x:v>
      </x:c>
      <x:c r="H710" s="9" t="n">
        <x:v>135</x:v>
      </x:c>
      <x:c r="I710" s="9" t="n">
        <x:v>7</x:v>
      </x:c>
      <x:c r="J710" s="9" t="n">
        <x:v>4</x:v>
      </x:c>
      <x:c r="K710" s="9" t="n">
        <x:v>1</x:v>
      </x:c>
      <x:c r="L710" s="13" t="n">
        <x:f>SUMIFS('Payments'!$D$5:$D$3014,'Payments'!$B$5:$B$3014,A710)</x:f>
        <x:v>635.02</x:v>
      </x:c>
      <x:c r="M710" s="13" t="n">
        <x:f>G710-L710</x:f>
        <x:v>4975.620000000001</x:v>
      </x:c>
      <x:c r="N710" s="9" t="str">
        <x:f>IF(H710=0,"0 Current",IF(H710&lt;=30,"1 1-30",IF(H710&lt;=60,"2 31-60",IF(H710&lt;=90,"3 61-90",IF(H710&lt;=120,"4 91-120","5 121+")))))</x:f>
        <x:v>5 121+</x:v>
      </x:c>
      <x:c r="O710" s="9" t="n">
        <x:f>IF(J710&gt;0,1,0)</x:f>
        <x:v>1</x:v>
      </x:c>
    </x:row>
    <x:row r="711">
      <x:c r="A711" s="15" t="str">
        <x:v>707</x:v>
      </x:c>
      <x:c r="B711" s="9" t="str">
        <x:v>Casey</x:v>
      </x:c>
      <x:c r="C711" s="9" t="str">
        <x:v>Personal Loan</x:v>
      </x:c>
      <x:c r="D711" s="9" t="str">
        <x:v>Midwest</x:v>
      </x:c>
      <x:c r="E711" s="9" t="n">
        <x:v>817</x:v>
      </x:c>
      <x:c r="F711" s="11" t="n">
        <x:v>46107</x:v>
      </x:c>
      <x:c r="G711" s="13" t="n">
        <x:v>8652.79</x:v>
      </x:c>
      <x:c r="H711" s="9" t="n">
        <x:v>200</x:v>
      </x:c>
      <x:c r="I711" s="9" t="n">
        <x:v>7</x:v>
      </x:c>
      <x:c r="J711" s="9" t="n">
        <x:v>2</x:v>
      </x:c>
      <x:c r="K711" s="9" t="n">
        <x:v>0</x:v>
      </x:c>
      <x:c r="L711" s="13" t="n">
        <x:f>SUMIFS('Payments'!$D$5:$D$3014,'Payments'!$B$5:$B$3014,A711)</x:f>
        <x:v>2068.15</x:v>
      </x:c>
      <x:c r="M711" s="13" t="n">
        <x:f>G711-L711</x:f>
        <x:v>6584.640000000001</x:v>
      </x:c>
      <x:c r="N711" s="9" t="str">
        <x:f>IF(H711=0,"0 Current",IF(H711&lt;=30,"1 1-30",IF(H711&lt;=60,"2 31-60",IF(H711&lt;=90,"3 61-90",IF(H711&lt;=120,"4 91-120","5 121+")))))</x:f>
        <x:v>5 121+</x:v>
      </x:c>
      <x:c r="O711" s="9" t="n">
        <x:f>IF(J711&gt;0,1,0)</x:f>
        <x:v>1</x:v>
      </x:c>
    </x:row>
    <x:row r="712">
      <x:c r="A712" s="15" t="str">
        <x:v>708</x:v>
      </x:c>
      <x:c r="B712" s="9" t="str">
        <x:v>Taylor</x:v>
      </x:c>
      <x:c r="C712" s="9" t="str">
        <x:v>Medical</x:v>
      </x:c>
      <x:c r="D712" s="9" t="str">
        <x:v>Northeast</x:v>
      </x:c>
      <x:c r="E712" s="9" t="n">
        <x:v>446</x:v>
      </x:c>
      <x:c r="F712" s="11" t="n">
        <x:v>46072</x:v>
      </x:c>
      <x:c r="G712" s="13" t="n">
        <x:v>12085.1</x:v>
      </x:c>
      <x:c r="H712" s="9" t="n">
        <x:v>93</x:v>
      </x:c>
      <x:c r="I712" s="9" t="n">
        <x:v>7</x:v>
      </x:c>
      <x:c r="J712" s="9" t="n">
        <x:v>4</x:v>
      </x:c>
      <x:c r="K712" s="9" t="n">
        <x:v>1</x:v>
      </x:c>
      <x:c r="L712" s="13" t="n">
        <x:f>SUMIFS('Payments'!$D$5:$D$3014,'Payments'!$B$5:$B$3014,A712)</x:f>
        <x:v>0</x:v>
      </x:c>
      <x:c r="M712" s="13" t="n">
        <x:f>G712-L712</x:f>
        <x:v>12085.1</x:v>
      </x:c>
      <x:c r="N712" s="9" t="str">
        <x:f>IF(H712=0,"0 Current",IF(H712&lt;=30,"1 1-30",IF(H712&lt;=60,"2 31-60",IF(H712&lt;=90,"3 61-90",IF(H712&lt;=120,"4 91-120","5 121+")))))</x:f>
        <x:v>4 91-120</x:v>
      </x:c>
      <x:c r="O712" s="9" t="n">
        <x:f>IF(J712&gt;0,1,0)</x:f>
        <x:v>1</x:v>
      </x:c>
    </x:row>
    <x:row r="713">
      <x:c r="A713" s="15" t="str">
        <x:v>709</x:v>
      </x:c>
      <x:c r="B713" s="9" t="str">
        <x:v>Taylor</x:v>
      </x:c>
      <x:c r="C713" s="9" t="str">
        <x:v>Credit Card</x:v>
      </x:c>
      <x:c r="D713" s="9" t="str">
        <x:v>South</x:v>
      </x:c>
      <x:c r="E713" s="9" t="n">
        <x:v>500</x:v>
      </x:c>
      <x:c r="F713" s="11" t="n">
        <x:v>46053</x:v>
      </x:c>
      <x:c r="G713" s="13" t="n">
        <x:v>12899.18</x:v>
      </x:c>
      <x:c r="H713" s="9" t="n">
        <x:v>188</x:v>
      </x:c>
      <x:c r="I713" s="9" t="n">
        <x:v>4</x:v>
      </x:c>
      <x:c r="J713" s="9" t="n">
        <x:v>2</x:v>
      </x:c>
      <x:c r="K713" s="9" t="n">
        <x:v>0</x:v>
      </x:c>
      <x:c r="L713" s="13" t="n">
        <x:f>SUMIFS('Payments'!$D$5:$D$3014,'Payments'!$B$5:$B$3014,A713)</x:f>
        <x:v>1382.32</x:v>
      </x:c>
      <x:c r="M713" s="13" t="n">
        <x:f>G713-L713</x:f>
        <x:v>11516.86</x:v>
      </x:c>
      <x:c r="N713" s="9" t="str">
        <x:f>IF(H713=0,"0 Current",IF(H713&lt;=30,"1 1-30",IF(H713&lt;=60,"2 31-60",IF(H713&lt;=90,"3 61-90",IF(H713&lt;=120,"4 91-120","5 121+")))))</x:f>
        <x:v>5 121+</x:v>
      </x:c>
      <x:c r="O713" s="9" t="n">
        <x:f>IF(J713&gt;0,1,0)</x:f>
        <x:v>1</x:v>
      </x:c>
    </x:row>
    <x:row r="714">
      <x:c r="A714" s="15" t="str">
        <x:v>710</x:v>
      </x:c>
      <x:c r="B714" s="9" t="str">
        <x:v>Taylor</x:v>
      </x:c>
      <x:c r="C714" s="9" t="str">
        <x:v>Auto</x:v>
      </x:c>
      <x:c r="D714" s="9" t="str">
        <x:v>Northeast</x:v>
      </x:c>
      <x:c r="E714" s="9" t="n">
        <x:v>765</x:v>
      </x:c>
      <x:c r="F714" s="11" t="n">
        <x:v>46029</x:v>
      </x:c>
      <x:c r="G714" s="13" t="n">
        <x:v>1708.85</x:v>
      </x:c>
      <x:c r="H714" s="9" t="n">
        <x:v>20</x:v>
      </x:c>
      <x:c r="I714" s="9" t="n">
        <x:v>6</x:v>
      </x:c>
      <x:c r="J714" s="9" t="n">
        <x:v>2</x:v>
      </x:c>
      <x:c r="K714" s="9" t="n">
        <x:v>1</x:v>
      </x:c>
      <x:c r="L714" s="13" t="n">
        <x:f>SUMIFS('Payments'!$D$5:$D$3014,'Payments'!$B$5:$B$3014,A714)</x:f>
        <x:v>318.71000000000004</x:v>
      </x:c>
      <x:c r="M714" s="13" t="n">
        <x:f>G714-L714</x:f>
        <x:v>1390.1399999999999</x:v>
      </x:c>
      <x:c r="N714" s="9" t="str">
        <x:f>IF(H714=0,"0 Current",IF(H714&lt;=30,"1 1-30",IF(H714&lt;=60,"2 31-60",IF(H714&lt;=90,"3 61-90",IF(H714&lt;=120,"4 91-120","5 121+")))))</x:f>
        <x:v>1 1-30</x:v>
      </x:c>
      <x:c r="O714" s="9" t="n">
        <x:f>IF(J714&gt;0,1,0)</x:f>
        <x:v>1</x:v>
      </x:c>
    </x:row>
    <x:row r="715">
      <x:c r="A715" s="15" t="str">
        <x:v>711</x:v>
      </x:c>
      <x:c r="B715" s="9" t="str">
        <x:v>Alex</x:v>
      </x:c>
      <x:c r="C715" s="9" t="str">
        <x:v>Credit Card</x:v>
      </x:c>
      <x:c r="D715" s="9" t="str">
        <x:v>Northeast</x:v>
      </x:c>
      <x:c r="E715" s="9" t="n">
        <x:v>559</x:v>
      </x:c>
      <x:c r="F715" s="11" t="n">
        <x:v>46105</x:v>
      </x:c>
      <x:c r="G715" s="13" t="n">
        <x:v>1211.19</x:v>
      </x:c>
      <x:c r="H715" s="9" t="n">
        <x:v>222</x:v>
      </x:c>
      <x:c r="I715" s="9" t="n">
        <x:v>5</x:v>
      </x:c>
      <x:c r="J715" s="9" t="n">
        <x:v>1</x:v>
      </x:c>
      <x:c r="K715" s="9" t="n">
        <x:v>0</x:v>
      </x:c>
      <x:c r="L715" s="13" t="n">
        <x:f>SUMIFS('Payments'!$D$5:$D$3014,'Payments'!$B$5:$B$3014,A715)</x:f>
        <x:v>170.95</x:v>
      </x:c>
      <x:c r="M715" s="13" t="n">
        <x:f>G715-L715</x:f>
        <x:v>1040.24</x:v>
      </x:c>
      <x:c r="N715" s="9" t="str">
        <x:f>IF(H715=0,"0 Current",IF(H715&lt;=30,"1 1-30",IF(H715&lt;=60,"2 31-60",IF(H715&lt;=90,"3 61-90",IF(H715&lt;=120,"4 91-120","5 121+")))))</x:f>
        <x:v>5 121+</x:v>
      </x:c>
      <x:c r="O715" s="9" t="n">
        <x:f>IF(J715&gt;0,1,0)</x:f>
        <x:v>1</x:v>
      </x:c>
    </x:row>
    <x:row r="716">
      <x:c r="A716" s="15" t="str">
        <x:v>712</x:v>
      </x:c>
      <x:c r="B716" s="9" t="str">
        <x:v>Riley</x:v>
      </x:c>
      <x:c r="C716" s="9" t="str">
        <x:v>Credit Card</x:v>
      </x:c>
      <x:c r="D716" s="9" t="str">
        <x:v>West</x:v>
      </x:c>
      <x:c r="E716" s="9" t="n">
        <x:v>758</x:v>
      </x:c>
      <x:c r="F716" s="11" t="n">
        <x:v>46095</x:v>
      </x:c>
      <x:c r="G716" s="13" t="n">
        <x:v>14090.13</x:v>
      </x:c>
      <x:c r="H716" s="9" t="n">
        <x:v>226</x:v>
      </x:c>
      <x:c r="I716" s="9" t="n">
        <x:v>1</x:v>
      </x:c>
      <x:c r="J716" s="9" t="n">
        <x:v>0</x:v>
      </x:c>
      <x:c r="K716" s="9" t="n">
        <x:v>0</x:v>
      </x:c>
      <x:c r="L716" s="13" t="n">
        <x:f>SUMIFS('Payments'!$D$5:$D$3014,'Payments'!$B$5:$B$3014,A716)</x:f>
        <x:v>1066.32</x:v>
      </x:c>
      <x:c r="M716" s="13" t="n">
        <x:f>G716-L716</x:f>
        <x:v>13023.81</x:v>
      </x:c>
      <x:c r="N716" s="9" t="str">
        <x:f>IF(H716=0,"0 Current",IF(H716&lt;=30,"1 1-30",IF(H716&lt;=60,"2 31-60",IF(H716&lt;=90,"3 61-90",IF(H716&lt;=120,"4 91-120","5 121+")))))</x:f>
        <x:v>5 121+</x:v>
      </x:c>
      <x:c r="O716" s="9" t="n">
        <x:f>IF(J716&gt;0,1,0)</x:f>
        <x:v>0</x:v>
      </x:c>
    </x:row>
    <x:row r="717">
      <x:c r="A717" s="15" t="str">
        <x:v>713</x:v>
      </x:c>
      <x:c r="B717" s="9" t="str">
        <x:v>Jordan</x:v>
      </x:c>
      <x:c r="C717" s="9" t="str">
        <x:v>Personal Loan</x:v>
      </x:c>
      <x:c r="D717" s="9" t="str">
        <x:v>West</x:v>
      </x:c>
      <x:c r="E717" s="9" t="n">
        <x:v>668</x:v>
      </x:c>
      <x:c r="F717" s="11" t="n">
        <x:v>46083</x:v>
      </x:c>
      <x:c r="G717" s="13" t="n">
        <x:v>4352.86</x:v>
      </x:c>
      <x:c r="H717" s="9" t="n">
        <x:v>86</x:v>
      </x:c>
      <x:c r="I717" s="9" t="n">
        <x:v>6</x:v>
      </x:c>
      <x:c r="J717" s="9" t="n">
        <x:v>2</x:v>
      </x:c>
      <x:c r="K717" s="9" t="n">
        <x:v>0</x:v>
      </x:c>
      <x:c r="L717" s="13" t="n">
        <x:f>SUMIFS('Payments'!$D$5:$D$3014,'Payments'!$B$5:$B$3014,A717)</x:f>
        <x:v>0</x:v>
      </x:c>
      <x:c r="M717" s="13" t="n">
        <x:f>G717-L717</x:f>
        <x:v>4352.86</x:v>
      </x:c>
      <x:c r="N717" s="9" t="str">
        <x:f>IF(H717=0,"0 Current",IF(H717&lt;=30,"1 1-30",IF(H717&lt;=60,"2 31-60",IF(H717&lt;=90,"3 61-90",IF(H717&lt;=120,"4 91-120","5 121+")))))</x:f>
        <x:v>3 61-90</x:v>
      </x:c>
      <x:c r="O717" s="9" t="n">
        <x:f>IF(J717&gt;0,1,0)</x:f>
        <x:v>1</x:v>
      </x:c>
    </x:row>
    <x:row r="718">
      <x:c r="A718" s="15" t="str">
        <x:v>714</x:v>
      </x:c>
      <x:c r="B718" s="9" t="str">
        <x:v>Casey</x:v>
      </x:c>
      <x:c r="C718" s="9" t="str">
        <x:v>Credit Card</x:v>
      </x:c>
      <x:c r="D718" s="9" t="str">
        <x:v>West</x:v>
      </x:c>
      <x:c r="E718" s="9" t="n">
        <x:v>632</x:v>
      </x:c>
      <x:c r="F718" s="11" t="n">
        <x:v>46076</x:v>
      </x:c>
      <x:c r="G718" s="13" t="n">
        <x:v>19311.37</x:v>
      </x:c>
      <x:c r="H718" s="9" t="n">
        <x:v>195</x:v>
      </x:c>
      <x:c r="I718" s="9" t="n">
        <x:v>0</x:v>
      </x:c>
      <x:c r="J718" s="9" t="n">
        <x:v>0</x:v>
      </x:c>
      <x:c r="K718" s="9" t="n">
        <x:v>0</x:v>
      </x:c>
      <x:c r="L718" s="13" t="n">
        <x:f>SUMIFS('Payments'!$D$5:$D$3014,'Payments'!$B$5:$B$3014,A718)</x:f>
        <x:v>764.24</x:v>
      </x:c>
      <x:c r="M718" s="13" t="n">
        <x:f>G718-L718</x:f>
        <x:v>18547.129999999997</x:v>
      </x:c>
      <x:c r="N718" s="9" t="str">
        <x:f>IF(H718=0,"0 Current",IF(H718&lt;=30,"1 1-30",IF(H718&lt;=60,"2 31-60",IF(H718&lt;=90,"3 61-90",IF(H718&lt;=120,"4 91-120","5 121+")))))</x:f>
        <x:v>5 121+</x:v>
      </x:c>
      <x:c r="O718" s="9" t="n">
        <x:f>IF(J718&gt;0,1,0)</x:f>
        <x:v>0</x:v>
      </x:c>
    </x:row>
    <x:row r="719">
      <x:c r="A719" s="15" t="str">
        <x:v>715</x:v>
      </x:c>
      <x:c r="B719" s="9" t="str">
        <x:v>Alex</x:v>
      </x:c>
      <x:c r="C719" s="9" t="str">
        <x:v>Credit Card</x:v>
      </x:c>
      <x:c r="D719" s="9" t="str">
        <x:v>Midwest</x:v>
      </x:c>
      <x:c r="E719" s="9" t="n">
        <x:v>530</x:v>
      </x:c>
      <x:c r="F719" s="11" t="n">
        <x:v>46080</x:v>
      </x:c>
      <x:c r="G719" s="13" t="n">
        <x:v>20577.84</x:v>
      </x:c>
      <x:c r="H719" s="9" t="n">
        <x:v>56</x:v>
      </x:c>
      <x:c r="I719" s="9" t="n">
        <x:v>2</x:v>
      </x:c>
      <x:c r="J719" s="9" t="n">
        <x:v>1</x:v>
      </x:c>
      <x:c r="K719" s="9" t="n">
        <x:v>0</x:v>
      </x:c>
      <x:c r="L719" s="13" t="n">
        <x:f>SUMIFS('Payments'!$D$5:$D$3014,'Payments'!$B$5:$B$3014,A719)</x:f>
        <x:v>2500.27</x:v>
      </x:c>
      <x:c r="M719" s="13" t="n">
        <x:f>G719-L719</x:f>
        <x:v>18077.57</x:v>
      </x:c>
      <x:c r="N719" s="9" t="str">
        <x:f>IF(H719=0,"0 Current",IF(H719&lt;=30,"1 1-30",IF(H719&lt;=60,"2 31-60",IF(H719&lt;=90,"3 61-90",IF(H719&lt;=120,"4 91-120","5 121+")))))</x:f>
        <x:v>2 31-60</x:v>
      </x:c>
      <x:c r="O719" s="9" t="n">
        <x:f>IF(J719&gt;0,1,0)</x:f>
        <x:v>1</x:v>
      </x:c>
    </x:row>
    <x:row r="720">
      <x:c r="A720" s="15" t="str">
        <x:v>716</x:v>
      </x:c>
      <x:c r="B720" s="9" t="str">
        <x:v>Riley</x:v>
      </x:c>
      <x:c r="C720" s="9" t="str">
        <x:v>Personal Loan</x:v>
      </x:c>
      <x:c r="D720" s="9" t="str">
        <x:v>Northeast</x:v>
      </x:c>
      <x:c r="E720" s="9" t="n">
        <x:v>596</x:v>
      </x:c>
      <x:c r="F720" s="11" t="n">
        <x:v>46124</x:v>
      </x:c>
      <x:c r="G720" s="13" t="n">
        <x:v>1307.64</x:v>
      </x:c>
      <x:c r="H720" s="9" t="n">
        <x:v>126</x:v>
      </x:c>
      <x:c r="I720" s="9" t="n">
        <x:v>6</x:v>
      </x:c>
      <x:c r="J720" s="9" t="n">
        <x:v>0</x:v>
      </x:c>
      <x:c r="K720" s="9" t="n">
        <x:v>0</x:v>
      </x:c>
      <x:c r="L720" s="13" t="n">
        <x:f>SUMIFS('Payments'!$D$5:$D$3014,'Payments'!$B$5:$B$3014,A720)</x:f>
        <x:v>0</x:v>
      </x:c>
      <x:c r="M720" s="13" t="n">
        <x:f>G720-L720</x:f>
        <x:v>1307.64</x:v>
      </x:c>
      <x:c r="N720" s="9" t="str">
        <x:f>IF(H720=0,"0 Current",IF(H720&lt;=30,"1 1-30",IF(H720&lt;=60,"2 31-60",IF(H720&lt;=90,"3 61-90",IF(H720&lt;=120,"4 91-120","5 121+")))))</x:f>
        <x:v>5 121+</x:v>
      </x:c>
      <x:c r="O720" s="9" t="n">
        <x:f>IF(J720&gt;0,1,0)</x:f>
        <x:v>0</x:v>
      </x:c>
    </x:row>
    <x:row r="721">
      <x:c r="A721" s="15" t="str">
        <x:v>717</x:v>
      </x:c>
      <x:c r="B721" s="9" t="str">
        <x:v>Casey</x:v>
      </x:c>
      <x:c r="C721" s="9" t="str">
        <x:v>Medical</x:v>
      </x:c>
      <x:c r="D721" s="9" t="str">
        <x:v>West</x:v>
      </x:c>
      <x:c r="E721" s="9" t="n">
        <x:v>476</x:v>
      </x:c>
      <x:c r="F721" s="11" t="n">
        <x:v>46065</x:v>
      </x:c>
      <x:c r="G721" s="13" t="n">
        <x:v>17158.99</x:v>
      </x:c>
      <x:c r="H721" s="9" t="n">
        <x:v>137</x:v>
      </x:c>
      <x:c r="I721" s="9" t="n">
        <x:v>4</x:v>
      </x:c>
      <x:c r="J721" s="9" t="n">
        <x:v>1</x:v>
      </x:c>
      <x:c r="K721" s="9" t="n">
        <x:v>0</x:v>
      </x:c>
      <x:c r="L721" s="13" t="n">
        <x:f>SUMIFS('Payments'!$D$5:$D$3014,'Payments'!$B$5:$B$3014,A721)</x:f>
        <x:v>0</x:v>
      </x:c>
      <x:c r="M721" s="13" t="n">
        <x:f>G721-L721</x:f>
        <x:v>17158.99</x:v>
      </x:c>
      <x:c r="N721" s="9" t="str">
        <x:f>IF(H721=0,"0 Current",IF(H721&lt;=30,"1 1-30",IF(H721&lt;=60,"2 31-60",IF(H721&lt;=90,"3 61-90",IF(H721&lt;=120,"4 91-120","5 121+")))))</x:f>
        <x:v>5 121+</x:v>
      </x:c>
      <x:c r="O721" s="9" t="n">
        <x:f>IF(J721&gt;0,1,0)</x:f>
        <x:v>1</x:v>
      </x:c>
    </x:row>
    <x:row r="722">
      <x:c r="A722" s="15" t="str">
        <x:v>718</x:v>
      </x:c>
      <x:c r="B722" s="9" t="str">
        <x:v>Morgan</x:v>
      </x:c>
      <x:c r="C722" s="9" t="str">
        <x:v>Credit Card</x:v>
      </x:c>
      <x:c r="D722" s="9" t="str">
        <x:v>Midwest</x:v>
      </x:c>
      <x:c r="E722" s="9" t="n">
        <x:v>767</x:v>
      </x:c>
      <x:c r="F722" s="11" t="n">
        <x:v>46106</x:v>
      </x:c>
      <x:c r="G722" s="13" t="n">
        <x:v>11419.52</x:v>
      </x:c>
      <x:c r="H722" s="9" t="n">
        <x:v>166</x:v>
      </x:c>
      <x:c r="I722" s="9" t="n">
        <x:v>8</x:v>
      </x:c>
      <x:c r="J722" s="9" t="n">
        <x:v>4</x:v>
      </x:c>
      <x:c r="K722" s="9" t="n">
        <x:v>0</x:v>
      </x:c>
      <x:c r="L722" s="13" t="n">
        <x:f>SUMIFS('Payments'!$D$5:$D$3014,'Payments'!$B$5:$B$3014,A722)</x:f>
        <x:v>2371.9300000000003</x:v>
      </x:c>
      <x:c r="M722" s="13" t="n">
        <x:f>G722-L722</x:f>
        <x:v>9047.59</x:v>
      </x:c>
      <x:c r="N722" s="9" t="str">
        <x:f>IF(H722=0,"0 Current",IF(H722&lt;=30,"1 1-30",IF(H722&lt;=60,"2 31-60",IF(H722&lt;=90,"3 61-90",IF(H722&lt;=120,"4 91-120","5 121+")))))</x:f>
        <x:v>5 121+</x:v>
      </x:c>
      <x:c r="O722" s="9" t="n">
        <x:f>IF(J722&gt;0,1,0)</x:f>
        <x:v>1</x:v>
      </x:c>
    </x:row>
    <x:row r="723">
      <x:c r="A723" s="15" t="str">
        <x:v>719</x:v>
      </x:c>
      <x:c r="B723" s="9" t="str">
        <x:v>Alex</x:v>
      </x:c>
      <x:c r="C723" s="9" t="str">
        <x:v>Medical</x:v>
      </x:c>
      <x:c r="D723" s="9" t="str">
        <x:v>West</x:v>
      </x:c>
      <x:c r="E723" s="9" t="n">
        <x:v>689</x:v>
      </x:c>
      <x:c r="F723" s="11" t="n">
        <x:v>46115</x:v>
      </x:c>
      <x:c r="G723" s="13" t="n">
        <x:v>19952.33</x:v>
      </x:c>
      <x:c r="H723" s="9" t="n">
        <x:v>145</x:v>
      </x:c>
      <x:c r="I723" s="9" t="n">
        <x:v>0</x:v>
      </x:c>
      <x:c r="J723" s="9" t="n">
        <x:v>0</x:v>
      </x:c>
      <x:c r="K723" s="9" t="n">
        <x:v>0</x:v>
      </x:c>
      <x:c r="L723" s="13" t="n">
        <x:f>SUMIFS('Payments'!$D$5:$D$3014,'Payments'!$B$5:$B$3014,A723)</x:f>
        <x:v>650.76</x:v>
      </x:c>
      <x:c r="M723" s="13" t="n">
        <x:f>G723-L723</x:f>
        <x:v>19301.570000000003</x:v>
      </x:c>
      <x:c r="N723" s="9" t="str">
        <x:f>IF(H723=0,"0 Current",IF(H723&lt;=30,"1 1-30",IF(H723&lt;=60,"2 31-60",IF(H723&lt;=90,"3 61-90",IF(H723&lt;=120,"4 91-120","5 121+")))))</x:f>
        <x:v>5 121+</x:v>
      </x:c>
      <x:c r="O723" s="9" t="n">
        <x:f>IF(J723&gt;0,1,0)</x:f>
        <x:v>0</x:v>
      </x:c>
    </x:row>
    <x:row r="724">
      <x:c r="A724" s="15" t="str">
        <x:v>720</x:v>
      </x:c>
      <x:c r="B724" s="9" t="str">
        <x:v>Jordan</x:v>
      </x:c>
      <x:c r="C724" s="9" t="str">
        <x:v>Medical</x:v>
      </x:c>
      <x:c r="D724" s="9" t="str">
        <x:v>Midwest</x:v>
      </x:c>
      <x:c r="E724" s="9" t="n">
        <x:v>443</x:v>
      </x:c>
      <x:c r="F724" s="11" t="n">
        <x:v>46078</x:v>
      </x:c>
      <x:c r="G724" s="13" t="n">
        <x:v>8088.29</x:v>
      </x:c>
      <x:c r="H724" s="9" t="n">
        <x:v>127</x:v>
      </x:c>
      <x:c r="I724" s="9" t="n">
        <x:v>2</x:v>
      </x:c>
      <x:c r="J724" s="9" t="n">
        <x:v>0</x:v>
      </x:c>
      <x:c r="K724" s="9" t="n">
        <x:v>0</x:v>
      </x:c>
      <x:c r="L724" s="13" t="n">
        <x:f>SUMIFS('Payments'!$D$5:$D$3014,'Payments'!$B$5:$B$3014,A724)</x:f>
        <x:v>2085.98</x:v>
      </x:c>
      <x:c r="M724" s="13" t="n">
        <x:f>G724-L724</x:f>
        <x:v>6002.3099999999995</x:v>
      </x:c>
      <x:c r="N724" s="9" t="str">
        <x:f>IF(H724=0,"0 Current",IF(H724&lt;=30,"1 1-30",IF(H724&lt;=60,"2 31-60",IF(H724&lt;=90,"3 61-90",IF(H724&lt;=120,"4 91-120","5 121+")))))</x:f>
        <x:v>5 121+</x:v>
      </x:c>
      <x:c r="O724" s="9" t="n">
        <x:f>IF(J724&gt;0,1,0)</x:f>
        <x:v>0</x:v>
      </x:c>
    </x:row>
    <x:row r="725">
      <x:c r="A725" s="15" t="str">
        <x:v>721</x:v>
      </x:c>
      <x:c r="B725" s="9" t="str">
        <x:v>Riley</x:v>
      </x:c>
      <x:c r="C725" s="9" t="str">
        <x:v>Credit Card</x:v>
      </x:c>
      <x:c r="D725" s="9" t="str">
        <x:v>South</x:v>
      </x:c>
      <x:c r="E725" s="9" t="n">
        <x:v>622</x:v>
      </x:c>
      <x:c r="F725" s="11" t="n">
        <x:v>46086</x:v>
      </x:c>
      <x:c r="G725" s="13" t="n">
        <x:v>3757.88</x:v>
      </x:c>
      <x:c r="H725" s="9" t="n">
        <x:v>226</x:v>
      </x:c>
      <x:c r="I725" s="9" t="n">
        <x:v>0</x:v>
      </x:c>
      <x:c r="J725" s="9" t="n">
        <x:v>0</x:v>
      </x:c>
      <x:c r="K725" s="9" t="n">
        <x:v>0</x:v>
      </x:c>
      <x:c r="L725" s="13" t="n">
        <x:f>SUMIFS('Payments'!$D$5:$D$3014,'Payments'!$B$5:$B$3014,A725)</x:f>
        <x:v>0</x:v>
      </x:c>
      <x:c r="M725" s="13" t="n">
        <x:f>G725-L725</x:f>
        <x:v>3757.88</x:v>
      </x:c>
      <x:c r="N725" s="9" t="str">
        <x:f>IF(H725=0,"0 Current",IF(H725&lt;=30,"1 1-30",IF(H725&lt;=60,"2 31-60",IF(H725&lt;=90,"3 61-90",IF(H725&lt;=120,"4 91-120","5 121+")))))</x:f>
        <x:v>5 121+</x:v>
      </x:c>
      <x:c r="O725" s="9" t="n">
        <x:f>IF(J725&gt;0,1,0)</x:f>
        <x:v>0</x:v>
      </x:c>
    </x:row>
    <x:row r="726">
      <x:c r="A726" s="15" t="str">
        <x:v>722</x:v>
      </x:c>
      <x:c r="B726" s="9" t="str">
        <x:v>Jordan</x:v>
      </x:c>
      <x:c r="C726" s="9" t="str">
        <x:v>Credit Card</x:v>
      </x:c>
      <x:c r="D726" s="9" t="str">
        <x:v>Northeast</x:v>
      </x:c>
      <x:c r="E726" s="9" t="n">
        <x:v>423</x:v>
      </x:c>
      <x:c r="F726" s="11" t="n">
        <x:v>46035</x:v>
      </x:c>
      <x:c r="G726" s="13" t="n">
        <x:v>970.26</x:v>
      </x:c>
      <x:c r="H726" s="9" t="n">
        <x:v>77</x:v>
      </x:c>
      <x:c r="I726" s="9" t="n">
        <x:v>3</x:v>
      </x:c>
      <x:c r="J726" s="9" t="n">
        <x:v>1</x:v>
      </x:c>
      <x:c r="K726" s="9" t="n">
        <x:v>0</x:v>
      </x:c>
      <x:c r="L726" s="13" t="n">
        <x:f>SUMIFS('Payments'!$D$5:$D$3014,'Payments'!$B$5:$B$3014,A726)</x:f>
        <x:v>127.39</x:v>
      </x:c>
      <x:c r="M726" s="13" t="n">
        <x:f>G726-L726</x:f>
        <x:v>842.87</x:v>
      </x:c>
      <x:c r="N726" s="9" t="str">
        <x:f>IF(H726=0,"0 Current",IF(H726&lt;=30,"1 1-30",IF(H726&lt;=60,"2 31-60",IF(H726&lt;=90,"3 61-90",IF(H726&lt;=120,"4 91-120","5 121+")))))</x:f>
        <x:v>3 61-90</x:v>
      </x:c>
      <x:c r="O726" s="9" t="n">
        <x:f>IF(J726&gt;0,1,0)</x:f>
        <x:v>1</x:v>
      </x:c>
    </x:row>
    <x:row r="727">
      <x:c r="A727" s="15" t="str">
        <x:v>723</x:v>
      </x:c>
      <x:c r="B727" s="9" t="str">
        <x:v>Jordan</x:v>
      </x:c>
      <x:c r="C727" s="9" t="str">
        <x:v>Credit Card</x:v>
      </x:c>
      <x:c r="D727" s="9" t="str">
        <x:v>South</x:v>
      </x:c>
      <x:c r="E727" s="9" t="n">
        <x:v>574</x:v>
      </x:c>
      <x:c r="F727" s="11" t="n">
        <x:v>46129</x:v>
      </x:c>
      <x:c r="G727" s="13" t="n">
        <x:v>1439.29</x:v>
      </x:c>
      <x:c r="H727" s="9" t="n">
        <x:v>230</x:v>
      </x:c>
      <x:c r="I727" s="9" t="n">
        <x:v>4</x:v>
      </x:c>
      <x:c r="J727" s="9" t="n">
        <x:v>1</x:v>
      </x:c>
      <x:c r="K727" s="9" t="n">
        <x:v>0</x:v>
      </x:c>
      <x:c r="L727" s="13" t="n">
        <x:f>SUMIFS('Payments'!$D$5:$D$3014,'Payments'!$B$5:$B$3014,A727)</x:f>
        <x:v>0</x:v>
      </x:c>
      <x:c r="M727" s="13" t="n">
        <x:f>G727-L727</x:f>
        <x:v>1439.29</x:v>
      </x:c>
      <x:c r="N727" s="9" t="str">
        <x:f>IF(H727=0,"0 Current",IF(H727&lt;=30,"1 1-30",IF(H727&lt;=60,"2 31-60",IF(H727&lt;=90,"3 61-90",IF(H727&lt;=120,"4 91-120","5 121+")))))</x:f>
        <x:v>5 121+</x:v>
      </x:c>
      <x:c r="O727" s="9" t="n">
        <x:f>IF(J727&gt;0,1,0)</x:f>
        <x:v>1</x:v>
      </x:c>
    </x:row>
    <x:row r="728">
      <x:c r="A728" s="15" t="str">
        <x:v>724</x:v>
      </x:c>
      <x:c r="B728" s="9" t="str">
        <x:v>Taylor</x:v>
      </x:c>
      <x:c r="C728" s="9" t="str">
        <x:v>Medical</x:v>
      </x:c>
      <x:c r="D728" s="9" t="str">
        <x:v>South</x:v>
      </x:c>
      <x:c r="E728" s="9" t="n">
        <x:v>812</x:v>
      </x:c>
      <x:c r="F728" s="11" t="n">
        <x:v>46051</x:v>
      </x:c>
      <x:c r="G728" s="13" t="n">
        <x:v>4111.09</x:v>
      </x:c>
      <x:c r="H728" s="9" t="n">
        <x:v>116</x:v>
      </x:c>
      <x:c r="I728" s="9" t="n">
        <x:v>2</x:v>
      </x:c>
      <x:c r="J728" s="9" t="n">
        <x:v>0</x:v>
      </x:c>
      <x:c r="K728" s="9" t="n">
        <x:v>0</x:v>
      </x:c>
      <x:c r="L728" s="13" t="n">
        <x:f>SUMIFS('Payments'!$D$5:$D$3014,'Payments'!$B$5:$B$3014,A728)</x:f>
        <x:v>1003.59</x:v>
      </x:c>
      <x:c r="M728" s="13" t="n">
        <x:f>G728-L728</x:f>
        <x:v>3107.5</x:v>
      </x:c>
      <x:c r="N728" s="9" t="str">
        <x:f>IF(H728=0,"0 Current",IF(H728&lt;=30,"1 1-30",IF(H728&lt;=60,"2 31-60",IF(H728&lt;=90,"3 61-90",IF(H728&lt;=120,"4 91-120","5 121+")))))</x:f>
        <x:v>4 91-120</x:v>
      </x:c>
      <x:c r="O728" s="9" t="n">
        <x:f>IF(J728&gt;0,1,0)</x:f>
        <x:v>0</x:v>
      </x:c>
    </x:row>
    <x:row r="729">
      <x:c r="A729" s="15" t="str">
        <x:v>725</x:v>
      </x:c>
      <x:c r="B729" s="9" t="str">
        <x:v>Morgan</x:v>
      </x:c>
      <x:c r="C729" s="9" t="str">
        <x:v>Auto</x:v>
      </x:c>
      <x:c r="D729" s="9" t="str">
        <x:v>South</x:v>
      </x:c>
      <x:c r="E729" s="9" t="n">
        <x:v>811</x:v>
      </x:c>
      <x:c r="F729" s="11" t="n">
        <x:v>46150</x:v>
      </x:c>
      <x:c r="G729" s="13" t="n">
        <x:v>18639.84</x:v>
      </x:c>
      <x:c r="H729" s="9" t="n">
        <x:v>44</x:v>
      </x:c>
      <x:c r="I729" s="9" t="n">
        <x:v>0</x:v>
      </x:c>
      <x:c r="J729" s="9" t="n">
        <x:v>0</x:v>
      </x:c>
      <x:c r="K729" s="9" t="n">
        <x:v>0</x:v>
      </x:c>
      <x:c r="L729" s="13" t="n">
        <x:f>SUMIFS('Payments'!$D$5:$D$3014,'Payments'!$B$5:$B$3014,A729)</x:f>
        <x:v>0</x:v>
      </x:c>
      <x:c r="M729" s="13" t="n">
        <x:f>G729-L729</x:f>
        <x:v>18639.84</x:v>
      </x:c>
      <x:c r="N729" s="9" t="str">
        <x:f>IF(H729=0,"0 Current",IF(H729&lt;=30,"1 1-30",IF(H729&lt;=60,"2 31-60",IF(H729&lt;=90,"3 61-90",IF(H729&lt;=120,"4 91-120","5 121+")))))</x:f>
        <x:v>2 31-60</x:v>
      </x:c>
      <x:c r="O729" s="9" t="n">
        <x:f>IF(J729&gt;0,1,0)</x:f>
        <x:v>0</x:v>
      </x:c>
    </x:row>
    <x:row r="730">
      <x:c r="A730" s="15" t="str">
        <x:v>726</x:v>
      </x:c>
      <x:c r="B730" s="9" t="str">
        <x:v>Taylor</x:v>
      </x:c>
      <x:c r="C730" s="9" t="str">
        <x:v>Personal Loan</x:v>
      </x:c>
      <x:c r="D730" s="9" t="str">
        <x:v>Midwest</x:v>
      </x:c>
      <x:c r="E730" s="9" t="n">
        <x:v>568</x:v>
      </x:c>
      <x:c r="F730" s="11" t="n">
        <x:v>46039</x:v>
      </x:c>
      <x:c r="G730" s="13" t="n">
        <x:v>12278.56</x:v>
      </x:c>
      <x:c r="H730" s="9" t="n">
        <x:v>184</x:v>
      </x:c>
      <x:c r="I730" s="9" t="n">
        <x:v>7</x:v>
      </x:c>
      <x:c r="J730" s="9" t="n">
        <x:v>4</x:v>
      </x:c>
      <x:c r="K730" s="9" t="n">
        <x:v>1</x:v>
      </x:c>
      <x:c r="L730" s="13" t="n">
        <x:f>SUMIFS('Payments'!$D$5:$D$3014,'Payments'!$B$5:$B$3014,A730)</x:f>
        <x:v>1118.3600000000001</x:v>
      </x:c>
      <x:c r="M730" s="13" t="n">
        <x:f>G730-L730</x:f>
        <x:v>11160.199999999999</x:v>
      </x:c>
      <x:c r="N730" s="9" t="str">
        <x:f>IF(H730=0,"0 Current",IF(H730&lt;=30,"1 1-30",IF(H730&lt;=60,"2 31-60",IF(H730&lt;=90,"3 61-90",IF(H730&lt;=120,"4 91-120","5 121+")))))</x:f>
        <x:v>5 121+</x:v>
      </x:c>
      <x:c r="O730" s="9" t="n">
        <x:f>IF(J730&gt;0,1,0)</x:f>
        <x:v>1</x:v>
      </x:c>
    </x:row>
    <x:row r="731">
      <x:c r="A731" s="15" t="str">
        <x:v>727</x:v>
      </x:c>
      <x:c r="B731" s="9" t="str">
        <x:v>Jordan</x:v>
      </x:c>
      <x:c r="C731" s="9" t="str">
        <x:v>Personal Loan</x:v>
      </x:c>
      <x:c r="D731" s="9" t="str">
        <x:v>Midwest</x:v>
      </x:c>
      <x:c r="E731" s="9" t="n">
        <x:v>481</x:v>
      </x:c>
      <x:c r="F731" s="11" t="n">
        <x:v>46162</x:v>
      </x:c>
      <x:c r="G731" s="13" t="n">
        <x:v>7374.24</x:v>
      </x:c>
      <x:c r="H731" s="9" t="n">
        <x:v>185</x:v>
      </x:c>
      <x:c r="I731" s="9" t="n">
        <x:v>6</x:v>
      </x:c>
      <x:c r="J731" s="9" t="n">
        <x:v>3</x:v>
      </x:c>
      <x:c r="K731" s="9" t="n">
        <x:v>0</x:v>
      </x:c>
      <x:c r="L731" s="13" t="n">
        <x:f>SUMIFS('Payments'!$D$5:$D$3014,'Payments'!$B$5:$B$3014,A731)</x:f>
        <x:v>1851.7</x:v>
      </x:c>
      <x:c r="M731" s="13" t="n">
        <x:f>G731-L731</x:f>
        <x:v>5522.54</x:v>
      </x:c>
      <x:c r="N731" s="9" t="str">
        <x:f>IF(H731=0,"0 Current",IF(H731&lt;=30,"1 1-30",IF(H731&lt;=60,"2 31-60",IF(H731&lt;=90,"3 61-90",IF(H731&lt;=120,"4 91-120","5 121+")))))</x:f>
        <x:v>5 121+</x:v>
      </x:c>
      <x:c r="O731" s="9" t="n">
        <x:f>IF(J731&gt;0,1,0)</x:f>
        <x:v>1</x:v>
      </x:c>
    </x:row>
    <x:row r="732">
      <x:c r="A732" s="15" t="str">
        <x:v>728</x:v>
      </x:c>
      <x:c r="B732" s="9" t="str">
        <x:v>Jordan</x:v>
      </x:c>
      <x:c r="C732" s="9" t="str">
        <x:v>Personal Loan</x:v>
      </x:c>
      <x:c r="D732" s="9" t="str">
        <x:v>Northeast</x:v>
      </x:c>
      <x:c r="E732" s="9" t="n">
        <x:v>674</x:v>
      </x:c>
      <x:c r="F732" s="11" t="n">
        <x:v>46087</x:v>
      </x:c>
      <x:c r="G732" s="13" t="n">
        <x:v>6273.1</x:v>
      </x:c>
      <x:c r="H732" s="9" t="n">
        <x:v>165</x:v>
      </x:c>
      <x:c r="I732" s="9" t="n">
        <x:v>0</x:v>
      </x:c>
      <x:c r="J732" s="9" t="n">
        <x:v>0</x:v>
      </x:c>
      <x:c r="K732" s="9" t="n">
        <x:v>0</x:v>
      </x:c>
      <x:c r="L732" s="13" t="n">
        <x:f>SUMIFS('Payments'!$D$5:$D$3014,'Payments'!$B$5:$B$3014,A732)</x:f>
        <x:v>1542.8999999999999</x:v>
      </x:c>
      <x:c r="M732" s="13" t="n">
        <x:f>G732-L732</x:f>
        <x:v>4730.200000000001</x:v>
      </x:c>
      <x:c r="N732" s="9" t="str">
        <x:f>IF(H732=0,"0 Current",IF(H732&lt;=30,"1 1-30",IF(H732&lt;=60,"2 31-60",IF(H732&lt;=90,"3 61-90",IF(H732&lt;=120,"4 91-120","5 121+")))))</x:f>
        <x:v>5 121+</x:v>
      </x:c>
      <x:c r="O732" s="9" t="n">
        <x:f>IF(J732&gt;0,1,0)</x:f>
        <x:v>0</x:v>
      </x:c>
    </x:row>
    <x:row r="733">
      <x:c r="A733" s="15" t="str">
        <x:v>729</x:v>
      </x:c>
      <x:c r="B733" s="9" t="str">
        <x:v>Taylor</x:v>
      </x:c>
      <x:c r="C733" s="9" t="str">
        <x:v>Medical</x:v>
      </x:c>
      <x:c r="D733" s="9" t="str">
        <x:v>West</x:v>
      </x:c>
      <x:c r="E733" s="9" t="n">
        <x:v>509</x:v>
      </x:c>
      <x:c r="F733" s="11" t="n">
        <x:v>46110</x:v>
      </x:c>
      <x:c r="G733" s="13" t="n">
        <x:v>21737.97</x:v>
      </x:c>
      <x:c r="H733" s="9" t="n">
        <x:v>153</x:v>
      </x:c>
      <x:c r="I733" s="9" t="n">
        <x:v>6</x:v>
      </x:c>
      <x:c r="J733" s="9" t="n">
        <x:v>4</x:v>
      </x:c>
      <x:c r="K733" s="9" t="n">
        <x:v>1</x:v>
      </x:c>
      <x:c r="L733" s="13" t="n">
        <x:f>SUMIFS('Payments'!$D$5:$D$3014,'Payments'!$B$5:$B$3014,A733)</x:f>
        <x:v>1587.35</x:v>
      </x:c>
      <x:c r="M733" s="13" t="n">
        <x:f>G733-L733</x:f>
        <x:v>20150.620000000003</x:v>
      </x:c>
      <x:c r="N733" s="9" t="str">
        <x:f>IF(H733=0,"0 Current",IF(H733&lt;=30,"1 1-30",IF(H733&lt;=60,"2 31-60",IF(H733&lt;=90,"3 61-90",IF(H733&lt;=120,"4 91-120","5 121+")))))</x:f>
        <x:v>5 121+</x:v>
      </x:c>
      <x:c r="O733" s="9" t="n">
        <x:f>IF(J733&gt;0,1,0)</x:f>
        <x:v>1</x:v>
      </x:c>
    </x:row>
    <x:row r="734">
      <x:c r="A734" s="15" t="str">
        <x:v>730</x:v>
      </x:c>
      <x:c r="B734" s="9" t="str">
        <x:v>Morgan</x:v>
      </x:c>
      <x:c r="C734" s="9" t="str">
        <x:v>Credit Card</x:v>
      </x:c>
      <x:c r="D734" s="9" t="str">
        <x:v>South</x:v>
      </x:c>
      <x:c r="E734" s="9" t="n">
        <x:v>614</x:v>
      </x:c>
      <x:c r="F734" s="11" t="n">
        <x:v>46081</x:v>
      </x:c>
      <x:c r="G734" s="13" t="n">
        <x:v>14546.71</x:v>
      </x:c>
      <x:c r="H734" s="9" t="n">
        <x:v>83</x:v>
      </x:c>
      <x:c r="I734" s="9" t="n">
        <x:v>6</x:v>
      </x:c>
      <x:c r="J734" s="9" t="n">
        <x:v>3</x:v>
      </x:c>
      <x:c r="K734" s="9" t="n">
        <x:v>1</x:v>
      </x:c>
      <x:c r="L734" s="13" t="n">
        <x:f>SUMIFS('Payments'!$D$5:$D$3014,'Payments'!$B$5:$B$3014,A734)</x:f>
        <x:v>2493.09</x:v>
      </x:c>
      <x:c r="M734" s="13" t="n">
        <x:f>G734-L734</x:f>
        <x:v>12053.619999999999</x:v>
      </x:c>
      <x:c r="N734" s="9" t="str">
        <x:f>IF(H734=0,"0 Current",IF(H734&lt;=30,"1 1-30",IF(H734&lt;=60,"2 31-60",IF(H734&lt;=90,"3 61-90",IF(H734&lt;=120,"4 91-120","5 121+")))))</x:f>
        <x:v>3 61-90</x:v>
      </x:c>
      <x:c r="O734" s="9" t="n">
        <x:f>IF(J734&gt;0,1,0)</x:f>
        <x:v>1</x:v>
      </x:c>
    </x:row>
    <x:row r="735">
      <x:c r="A735" s="15" t="str">
        <x:v>731</x:v>
      </x:c>
      <x:c r="B735" s="9" t="str">
        <x:v>Riley</x:v>
      </x:c>
      <x:c r="C735" s="9" t="str">
        <x:v>Credit Card</x:v>
      </x:c>
      <x:c r="D735" s="9" t="str">
        <x:v>South</x:v>
      </x:c>
      <x:c r="E735" s="9" t="n">
        <x:v>676</x:v>
      </x:c>
      <x:c r="F735" s="11" t="n">
        <x:v>46071</x:v>
      </x:c>
      <x:c r="G735" s="13" t="n">
        <x:v>525</x:v>
      </x:c>
      <x:c r="H735" s="9" t="n">
        <x:v>126</x:v>
      </x:c>
      <x:c r="I735" s="9" t="n">
        <x:v>3</x:v>
      </x:c>
      <x:c r="J735" s="9" t="n">
        <x:v>1</x:v>
      </x:c>
      <x:c r="K735" s="9" t="n">
        <x:v>1</x:v>
      </x:c>
      <x:c r="L735" s="13" t="n">
        <x:f>SUMIFS('Payments'!$D$5:$D$3014,'Payments'!$B$5:$B$3014,A735)</x:f>
        <x:v>15.91</x:v>
      </x:c>
      <x:c r="M735" s="13" t="n">
        <x:f>G735-L735</x:f>
        <x:v>509.09</x:v>
      </x:c>
      <x:c r="N735" s="9" t="str">
        <x:f>IF(H735=0,"0 Current",IF(H735&lt;=30,"1 1-30",IF(H735&lt;=60,"2 31-60",IF(H735&lt;=90,"3 61-90",IF(H735&lt;=120,"4 91-120","5 121+")))))</x:f>
        <x:v>5 121+</x:v>
      </x:c>
      <x:c r="O735" s="9" t="n">
        <x:f>IF(J735&gt;0,1,0)</x:f>
        <x:v>1</x:v>
      </x:c>
    </x:row>
    <x:row r="736">
      <x:c r="A736" s="15" t="str">
        <x:v>732</x:v>
      </x:c>
      <x:c r="B736" s="9" t="str">
        <x:v>Alex</x:v>
      </x:c>
      <x:c r="C736" s="9" t="str">
        <x:v>Credit Card</x:v>
      </x:c>
      <x:c r="D736" s="9" t="str">
        <x:v>Midwest</x:v>
      </x:c>
      <x:c r="E736" s="9" t="n">
        <x:v>456</x:v>
      </x:c>
      <x:c r="F736" s="11" t="n">
        <x:v>46071</x:v>
      </x:c>
      <x:c r="G736" s="13" t="n">
        <x:v>1485.89</x:v>
      </x:c>
      <x:c r="H736" s="9" t="n">
        <x:v>75</x:v>
      </x:c>
      <x:c r="I736" s="9" t="n">
        <x:v>3</x:v>
      </x:c>
      <x:c r="J736" s="9" t="n">
        <x:v>2</x:v>
      </x:c>
      <x:c r="K736" s="9" t="n">
        <x:v>1</x:v>
      </x:c>
      <x:c r="L736" s="13" t="n">
        <x:f>SUMIFS('Payments'!$D$5:$D$3014,'Payments'!$B$5:$B$3014,A736)</x:f>
        <x:v>0</x:v>
      </x:c>
      <x:c r="M736" s="13" t="n">
        <x:f>G736-L736</x:f>
        <x:v>1485.89</x:v>
      </x:c>
      <x:c r="N736" s="9" t="str">
        <x:f>IF(H736=0,"0 Current",IF(H736&lt;=30,"1 1-30",IF(H736&lt;=60,"2 31-60",IF(H736&lt;=90,"3 61-90",IF(H736&lt;=120,"4 91-120","5 121+")))))</x:f>
        <x:v>3 61-90</x:v>
      </x:c>
      <x:c r="O736" s="9" t="n">
        <x:f>IF(J736&gt;0,1,0)</x:f>
        <x:v>1</x:v>
      </x:c>
    </x:row>
    <x:row r="737">
      <x:c r="A737" s="15" t="str">
        <x:v>733</x:v>
      </x:c>
      <x:c r="B737" s="9" t="str">
        <x:v>Taylor</x:v>
      </x:c>
      <x:c r="C737" s="9" t="str">
        <x:v>Auto</x:v>
      </x:c>
      <x:c r="D737" s="9" t="str">
        <x:v>West</x:v>
      </x:c>
      <x:c r="E737" s="9" t="n">
        <x:v>799</x:v>
      </x:c>
      <x:c r="F737" s="11" t="n">
        <x:v>46131</x:v>
      </x:c>
      <x:c r="G737" s="13" t="n">
        <x:v>15495.23</x:v>
      </x:c>
      <x:c r="H737" s="9" t="n">
        <x:v>2</x:v>
      </x:c>
      <x:c r="I737" s="9" t="n">
        <x:v>0</x:v>
      </x:c>
      <x:c r="J737" s="9" t="n">
        <x:v>0</x:v>
      </x:c>
      <x:c r="K737" s="9" t="n">
        <x:v>0</x:v>
      </x:c>
      <x:c r="L737" s="13" t="n">
        <x:f>SUMIFS('Payments'!$D$5:$D$3014,'Payments'!$B$5:$B$3014,A737)</x:f>
        <x:v>3513.21</x:v>
      </x:c>
      <x:c r="M737" s="13" t="n">
        <x:f>G737-L737</x:f>
        <x:v>11982.02</x:v>
      </x:c>
      <x:c r="N737" s="9" t="str">
        <x:f>IF(H737=0,"0 Current",IF(H737&lt;=30,"1 1-30",IF(H737&lt;=60,"2 31-60",IF(H737&lt;=90,"3 61-90",IF(H737&lt;=120,"4 91-120","5 121+")))))</x:f>
        <x:v>1 1-30</x:v>
      </x:c>
      <x:c r="O737" s="9" t="n">
        <x:f>IF(J737&gt;0,1,0)</x:f>
        <x:v>0</x:v>
      </x:c>
    </x:row>
    <x:row r="738">
      <x:c r="A738" s="15" t="str">
        <x:v>734</x:v>
      </x:c>
      <x:c r="B738" s="9" t="str">
        <x:v>Morgan</x:v>
      </x:c>
      <x:c r="C738" s="9" t="str">
        <x:v>Personal Loan</x:v>
      </x:c>
      <x:c r="D738" s="9" t="str">
        <x:v>Northeast</x:v>
      </x:c>
      <x:c r="E738" s="9" t="n">
        <x:v>643</x:v>
      </x:c>
      <x:c r="F738" s="11" t="n">
        <x:v>46148</x:v>
      </x:c>
      <x:c r="G738" s="13" t="n">
        <x:v>1821.96</x:v>
      </x:c>
      <x:c r="H738" s="9" t="n">
        <x:v>89</x:v>
      </x:c>
      <x:c r="I738" s="9" t="n">
        <x:v>4</x:v>
      </x:c>
      <x:c r="J738" s="9" t="n">
        <x:v>2</x:v>
      </x:c>
      <x:c r="K738" s="9" t="n">
        <x:v>0</x:v>
      </x:c>
      <x:c r="L738" s="13" t="n">
        <x:f>SUMIFS('Payments'!$D$5:$D$3014,'Payments'!$B$5:$B$3014,A738)</x:f>
        <x:v>0</x:v>
      </x:c>
      <x:c r="M738" s="13" t="n">
        <x:f>G738-L738</x:f>
        <x:v>1821.96</x:v>
      </x:c>
      <x:c r="N738" s="9" t="str">
        <x:f>IF(H738=0,"0 Current",IF(H738&lt;=30,"1 1-30",IF(H738&lt;=60,"2 31-60",IF(H738&lt;=90,"3 61-90",IF(H738&lt;=120,"4 91-120","5 121+")))))</x:f>
        <x:v>3 61-90</x:v>
      </x:c>
      <x:c r="O738" s="9" t="n">
        <x:f>IF(J738&gt;0,1,0)</x:f>
        <x:v>1</x:v>
      </x:c>
    </x:row>
    <x:row r="739">
      <x:c r="A739" s="15" t="str">
        <x:v>735</x:v>
      </x:c>
      <x:c r="B739" s="9" t="str">
        <x:v>Alex</x:v>
      </x:c>
      <x:c r="C739" s="9" t="str">
        <x:v>Auto</x:v>
      </x:c>
      <x:c r="D739" s="9" t="str">
        <x:v>Northeast</x:v>
      </x:c>
      <x:c r="E739" s="9" t="n">
        <x:v>655</x:v>
      </x:c>
      <x:c r="F739" s="11" t="n">
        <x:v>46112</x:v>
      </x:c>
      <x:c r="G739" s="13" t="n">
        <x:v>21065.02</x:v>
      </x:c>
      <x:c r="H739" s="9" t="n">
        <x:v>9</x:v>
      </x:c>
      <x:c r="I739" s="9" t="n">
        <x:v>3</x:v>
      </x:c>
      <x:c r="J739" s="9" t="n">
        <x:v>1</x:v>
      </x:c>
      <x:c r="K739" s="9" t="n">
        <x:v>0</x:v>
      </x:c>
      <x:c r="L739" s="13" t="n">
        <x:f>SUMIFS('Payments'!$D$5:$D$3014,'Payments'!$B$5:$B$3014,A739)</x:f>
        <x:v>2289.85</x:v>
      </x:c>
      <x:c r="M739" s="13" t="n">
        <x:f>G739-L739</x:f>
        <x:v>18775.170000000002</x:v>
      </x:c>
      <x:c r="N739" s="9" t="str">
        <x:f>IF(H739=0,"0 Current",IF(H739&lt;=30,"1 1-30",IF(H739&lt;=60,"2 31-60",IF(H739&lt;=90,"3 61-90",IF(H739&lt;=120,"4 91-120","5 121+")))))</x:f>
        <x:v>1 1-30</x:v>
      </x:c>
      <x:c r="O739" s="9" t="n">
        <x:f>IF(J739&gt;0,1,0)</x:f>
        <x:v>1</x:v>
      </x:c>
    </x:row>
    <x:row r="740">
      <x:c r="A740" s="15" t="str">
        <x:v>736</x:v>
      </x:c>
      <x:c r="B740" s="9" t="str">
        <x:v>Jordan</x:v>
      </x:c>
      <x:c r="C740" s="9" t="str">
        <x:v>Personal Loan</x:v>
      </x:c>
      <x:c r="D740" s="9" t="str">
        <x:v>Northeast</x:v>
      </x:c>
      <x:c r="E740" s="9" t="n">
        <x:v>580</x:v>
      </x:c>
      <x:c r="F740" s="11" t="n">
        <x:v>46143</x:v>
      </x:c>
      <x:c r="G740" s="13" t="n">
        <x:v>1940.41</x:v>
      </x:c>
      <x:c r="H740" s="9" t="n">
        <x:v>141</x:v>
      </x:c>
      <x:c r="I740" s="9" t="n">
        <x:v>2</x:v>
      </x:c>
      <x:c r="J740" s="9" t="n">
        <x:v>1</x:v>
      </x:c>
      <x:c r="K740" s="9" t="n">
        <x:v>0</x:v>
      </x:c>
      <x:c r="L740" s="13" t="n">
        <x:f>SUMIFS('Payments'!$D$5:$D$3014,'Payments'!$B$5:$B$3014,A740)</x:f>
        <x:v>238.87</x:v>
      </x:c>
      <x:c r="M740" s="13" t="n">
        <x:f>G740-L740</x:f>
        <x:v>1701.54</x:v>
      </x:c>
      <x:c r="N740" s="9" t="str">
        <x:f>IF(H740=0,"0 Current",IF(H740&lt;=30,"1 1-30",IF(H740&lt;=60,"2 31-60",IF(H740&lt;=90,"3 61-90",IF(H740&lt;=120,"4 91-120","5 121+")))))</x:f>
        <x:v>5 121+</x:v>
      </x:c>
      <x:c r="O740" s="9" t="n">
        <x:f>IF(J740&gt;0,1,0)</x:f>
        <x:v>1</x:v>
      </x:c>
    </x:row>
    <x:row r="741">
      <x:c r="A741" s="15" t="str">
        <x:v>737</x:v>
      </x:c>
      <x:c r="B741" s="9" t="str">
        <x:v>Alex</x:v>
      </x:c>
      <x:c r="C741" s="9" t="str">
        <x:v>Medical</x:v>
      </x:c>
      <x:c r="D741" s="9" t="str">
        <x:v>West</x:v>
      </x:c>
      <x:c r="E741" s="9" t="n">
        <x:v>713</x:v>
      </x:c>
      <x:c r="F741" s="11" t="n">
        <x:v>46152</x:v>
      </x:c>
      <x:c r="G741" s="13" t="n">
        <x:v>19140.74</x:v>
      </x:c>
      <x:c r="H741" s="9" t="n">
        <x:v>118</x:v>
      </x:c>
      <x:c r="I741" s="9" t="n">
        <x:v>8</x:v>
      </x:c>
      <x:c r="J741" s="9" t="n">
        <x:v>3</x:v>
      </x:c>
      <x:c r="K741" s="9" t="n">
        <x:v>1</x:v>
      </x:c>
      <x:c r="L741" s="13" t="n">
        <x:f>SUMIFS('Payments'!$D$5:$D$3014,'Payments'!$B$5:$B$3014,A741)</x:f>
        <x:v>2865.06</x:v>
      </x:c>
      <x:c r="M741" s="13" t="n">
        <x:f>G741-L741</x:f>
        <x:v>16275.680000000002</x:v>
      </x:c>
      <x:c r="N741" s="9" t="str">
        <x:f>IF(H741=0,"0 Current",IF(H741&lt;=30,"1 1-30",IF(H741&lt;=60,"2 31-60",IF(H741&lt;=90,"3 61-90",IF(H741&lt;=120,"4 91-120","5 121+")))))</x:f>
        <x:v>4 91-120</x:v>
      </x:c>
      <x:c r="O741" s="9" t="n">
        <x:f>IF(J741&gt;0,1,0)</x:f>
        <x:v>1</x:v>
      </x:c>
    </x:row>
    <x:row r="742">
      <x:c r="A742" s="15" t="str">
        <x:v>738</x:v>
      </x:c>
      <x:c r="B742" s="9" t="str">
        <x:v>Morgan</x:v>
      </x:c>
      <x:c r="C742" s="9" t="str">
        <x:v>Auto</x:v>
      </x:c>
      <x:c r="D742" s="9" t="str">
        <x:v>West</x:v>
      </x:c>
      <x:c r="E742" s="9" t="n">
        <x:v>783</x:v>
      </x:c>
      <x:c r="F742" s="11" t="n">
        <x:v>46042</x:v>
      </x:c>
      <x:c r="G742" s="13" t="n">
        <x:v>8851.82</x:v>
      </x:c>
      <x:c r="H742" s="9" t="n">
        <x:v>63</x:v>
      </x:c>
      <x:c r="I742" s="9" t="n">
        <x:v>6</x:v>
      </x:c>
      <x:c r="J742" s="9" t="n">
        <x:v>3</x:v>
      </x:c>
      <x:c r="K742" s="9" t="n">
        <x:v>0</x:v>
      </x:c>
      <x:c r="L742" s="13" t="n">
        <x:f>SUMIFS('Payments'!$D$5:$D$3014,'Payments'!$B$5:$B$3014,A742)</x:f>
        <x:v>0</x:v>
      </x:c>
      <x:c r="M742" s="13" t="n">
        <x:f>G742-L742</x:f>
        <x:v>8851.82</x:v>
      </x:c>
      <x:c r="N742" s="9" t="str">
        <x:f>IF(H742=0,"0 Current",IF(H742&lt;=30,"1 1-30",IF(H742&lt;=60,"2 31-60",IF(H742&lt;=90,"3 61-90",IF(H742&lt;=120,"4 91-120","5 121+")))))</x:f>
        <x:v>3 61-90</x:v>
      </x:c>
      <x:c r="O742" s="9" t="n">
        <x:f>IF(J742&gt;0,1,0)</x:f>
        <x:v>1</x:v>
      </x:c>
    </x:row>
    <x:row r="743">
      <x:c r="A743" s="15" t="str">
        <x:v>739</x:v>
      </x:c>
      <x:c r="B743" s="9" t="str">
        <x:v>Taylor</x:v>
      </x:c>
      <x:c r="C743" s="9" t="str">
        <x:v>Credit Card</x:v>
      </x:c>
      <x:c r="D743" s="9" t="str">
        <x:v>West</x:v>
      </x:c>
      <x:c r="E743" s="9" t="n">
        <x:v>568</x:v>
      </x:c>
      <x:c r="F743" s="11" t="n">
        <x:v>46058</x:v>
      </x:c>
      <x:c r="G743" s="13" t="n">
        <x:v>6036.43</x:v>
      </x:c>
      <x:c r="H743" s="9" t="n">
        <x:v>112</x:v>
      </x:c>
      <x:c r="I743" s="9" t="n">
        <x:v>1</x:v>
      </x:c>
      <x:c r="J743" s="9" t="n">
        <x:v>0</x:v>
      </x:c>
      <x:c r="K743" s="9" t="n">
        <x:v>0</x:v>
      </x:c>
      <x:c r="L743" s="13" t="n">
        <x:f>SUMIFS('Payments'!$D$5:$D$3014,'Payments'!$B$5:$B$3014,A743)</x:f>
        <x:v>1020.23</x:v>
      </x:c>
      <x:c r="M743" s="13" t="n">
        <x:f>G743-L743</x:f>
        <x:v>5016.200000000001</x:v>
      </x:c>
      <x:c r="N743" s="9" t="str">
        <x:f>IF(H743=0,"0 Current",IF(H743&lt;=30,"1 1-30",IF(H743&lt;=60,"2 31-60",IF(H743&lt;=90,"3 61-90",IF(H743&lt;=120,"4 91-120","5 121+")))))</x:f>
        <x:v>4 91-120</x:v>
      </x:c>
      <x:c r="O743" s="9" t="n">
        <x:f>IF(J743&gt;0,1,0)</x:f>
        <x:v>0</x:v>
      </x:c>
    </x:row>
    <x:row r="744">
      <x:c r="A744" s="15" t="str">
        <x:v>740</x:v>
      </x:c>
      <x:c r="B744" s="9" t="str">
        <x:v>Riley</x:v>
      </x:c>
      <x:c r="C744" s="9" t="str">
        <x:v>Auto</x:v>
      </x:c>
      <x:c r="D744" s="9" t="str">
        <x:v>Northeast</x:v>
      </x:c>
      <x:c r="E744" s="9" t="n">
        <x:v>627</x:v>
      </x:c>
      <x:c r="F744" s="11" t="n">
        <x:v>46094</x:v>
      </x:c>
      <x:c r="G744" s="13" t="n">
        <x:v>18799.37</x:v>
      </x:c>
      <x:c r="H744" s="9" t="n">
        <x:v>17</x:v>
      </x:c>
      <x:c r="I744" s="9" t="n">
        <x:v>1</x:v>
      </x:c>
      <x:c r="J744" s="9" t="n">
        <x:v>1</x:v>
      </x:c>
      <x:c r="K744" s="9" t="n">
        <x:v>0</x:v>
      </x:c>
      <x:c r="L744" s="13" t="n">
        <x:f>SUMIFS('Payments'!$D$5:$D$3014,'Payments'!$B$5:$B$3014,A744)</x:f>
        <x:v>0</x:v>
      </x:c>
      <x:c r="M744" s="13" t="n">
        <x:f>G744-L744</x:f>
        <x:v>18799.37</x:v>
      </x:c>
      <x:c r="N744" s="9" t="str">
        <x:f>IF(H744=0,"0 Current",IF(H744&lt;=30,"1 1-30",IF(H744&lt;=60,"2 31-60",IF(H744&lt;=90,"3 61-90",IF(H744&lt;=120,"4 91-120","5 121+")))))</x:f>
        <x:v>1 1-30</x:v>
      </x:c>
      <x:c r="O744" s="9" t="n">
        <x:f>IF(J744&gt;0,1,0)</x:f>
        <x:v>1</x:v>
      </x:c>
    </x:row>
    <x:row r="745">
      <x:c r="A745" s="15" t="str">
        <x:v>741</x:v>
      </x:c>
      <x:c r="B745" s="9" t="str">
        <x:v>Morgan</x:v>
      </x:c>
      <x:c r="C745" s="9" t="str">
        <x:v>Medical</x:v>
      </x:c>
      <x:c r="D745" s="9" t="str">
        <x:v>Northeast</x:v>
      </x:c>
      <x:c r="E745" s="9" t="n">
        <x:v>586</x:v>
      </x:c>
      <x:c r="F745" s="11" t="n">
        <x:v>46114</x:v>
      </x:c>
      <x:c r="G745" s="13" t="n">
        <x:v>20407.23</x:v>
      </x:c>
      <x:c r="H745" s="9" t="n">
        <x:v>232</x:v>
      </x:c>
      <x:c r="I745" s="9" t="n">
        <x:v>2</x:v>
      </x:c>
      <x:c r="J745" s="9" t="n">
        <x:v>0</x:v>
      </x:c>
      <x:c r="K745" s="9" t="n">
        <x:v>0</x:v>
      </x:c>
      <x:c r="L745" s="13" t="n">
        <x:f>SUMIFS('Payments'!$D$5:$D$3014,'Payments'!$B$5:$B$3014,A745)</x:f>
        <x:v>327.22</x:v>
      </x:c>
      <x:c r="M745" s="13" t="n">
        <x:f>G745-L745</x:f>
        <x:v>20080.01</x:v>
      </x:c>
      <x:c r="N745" s="9" t="str">
        <x:f>IF(H745=0,"0 Current",IF(H745&lt;=30,"1 1-30",IF(H745&lt;=60,"2 31-60",IF(H745&lt;=90,"3 61-90",IF(H745&lt;=120,"4 91-120","5 121+")))))</x:f>
        <x:v>5 121+</x:v>
      </x:c>
      <x:c r="O745" s="9" t="n">
        <x:f>IF(J745&gt;0,1,0)</x:f>
        <x:v>0</x:v>
      </x:c>
    </x:row>
    <x:row r="746">
      <x:c r="A746" s="15" t="str">
        <x:v>742</x:v>
      </x:c>
      <x:c r="B746" s="9" t="str">
        <x:v>Riley</x:v>
      </x:c>
      <x:c r="C746" s="9" t="str">
        <x:v>Personal Loan</x:v>
      </x:c>
      <x:c r="D746" s="9" t="str">
        <x:v>South</x:v>
      </x:c>
      <x:c r="E746" s="9" t="n">
        <x:v>736</x:v>
      </x:c>
      <x:c r="F746" s="11" t="n">
        <x:v>46162</x:v>
      </x:c>
      <x:c r="G746" s="13" t="n">
        <x:v>16158.04</x:v>
      </x:c>
      <x:c r="H746" s="9" t="n">
        <x:v>122</x:v>
      </x:c>
      <x:c r="I746" s="9" t="n">
        <x:v>2</x:v>
      </x:c>
      <x:c r="J746" s="9" t="n">
        <x:v>0</x:v>
      </x:c>
      <x:c r="K746" s="9" t="n">
        <x:v>0</x:v>
      </x:c>
      <x:c r="L746" s="13" t="n">
        <x:f>SUMIFS('Payments'!$D$5:$D$3014,'Payments'!$B$5:$B$3014,A746)</x:f>
        <x:v>0</x:v>
      </x:c>
      <x:c r="M746" s="13" t="n">
        <x:f>G746-L746</x:f>
        <x:v>16158.04</x:v>
      </x:c>
      <x:c r="N746" s="9" t="str">
        <x:f>IF(H746=0,"0 Current",IF(H746&lt;=30,"1 1-30",IF(H746&lt;=60,"2 31-60",IF(H746&lt;=90,"3 61-90",IF(H746&lt;=120,"4 91-120","5 121+")))))</x:f>
        <x:v>5 121+</x:v>
      </x:c>
      <x:c r="O746" s="9" t="n">
        <x:f>IF(J746&gt;0,1,0)</x:f>
        <x:v>0</x:v>
      </x:c>
    </x:row>
    <x:row r="747">
      <x:c r="A747" s="15" t="str">
        <x:v>743</x:v>
      </x:c>
      <x:c r="B747" s="9" t="str">
        <x:v>Jordan</x:v>
      </x:c>
      <x:c r="C747" s="9" t="str">
        <x:v>Medical</x:v>
      </x:c>
      <x:c r="D747" s="9" t="str">
        <x:v>West</x:v>
      </x:c>
      <x:c r="E747" s="9" t="n">
        <x:v>773</x:v>
      </x:c>
      <x:c r="F747" s="11" t="n">
        <x:v>46074</x:v>
      </x:c>
      <x:c r="G747" s="13" t="n">
        <x:v>6681.86</x:v>
      </x:c>
      <x:c r="H747" s="9" t="n">
        <x:v>191</x:v>
      </x:c>
      <x:c r="I747" s="9" t="n">
        <x:v>8</x:v>
      </x:c>
      <x:c r="J747" s="9" t="n">
        <x:v>1</x:v>
      </x:c>
      <x:c r="K747" s="9" t="n">
        <x:v>0</x:v>
      </x:c>
      <x:c r="L747" s="13" t="n">
        <x:f>SUMIFS('Payments'!$D$5:$D$3014,'Payments'!$B$5:$B$3014,A747)</x:f>
        <x:v>271.08</x:v>
      </x:c>
      <x:c r="M747" s="13" t="n">
        <x:f>G747-L747</x:f>
        <x:v>6410.78</x:v>
      </x:c>
      <x:c r="N747" s="9" t="str">
        <x:f>IF(H747=0,"0 Current",IF(H747&lt;=30,"1 1-30",IF(H747&lt;=60,"2 31-60",IF(H747&lt;=90,"3 61-90",IF(H747&lt;=120,"4 91-120","5 121+")))))</x:f>
        <x:v>5 121+</x:v>
      </x:c>
      <x:c r="O747" s="9" t="n">
        <x:f>IF(J747&gt;0,1,0)</x:f>
        <x:v>1</x:v>
      </x:c>
    </x:row>
    <x:row r="748">
      <x:c r="A748" s="15" t="str">
        <x:v>744</x:v>
      </x:c>
      <x:c r="B748" s="9" t="str">
        <x:v>Casey</x:v>
      </x:c>
      <x:c r="C748" s="9" t="str">
        <x:v>Credit Card</x:v>
      </x:c>
      <x:c r="D748" s="9" t="str">
        <x:v>Midwest</x:v>
      </x:c>
      <x:c r="E748" s="9" t="n">
        <x:v>465</x:v>
      </x:c>
      <x:c r="F748" s="11" t="n">
        <x:v>46055</x:v>
      </x:c>
      <x:c r="G748" s="13" t="n">
        <x:v>21885.4</x:v>
      </x:c>
      <x:c r="H748" s="9" t="n">
        <x:v>122</x:v>
      </x:c>
      <x:c r="I748" s="9" t="n">
        <x:v>6</x:v>
      </x:c>
      <x:c r="J748" s="9" t="n">
        <x:v>3</x:v>
      </x:c>
      <x:c r="K748" s="9" t="n">
        <x:v>0</x:v>
      </x:c>
      <x:c r="L748" s="13" t="n">
        <x:f>SUMIFS('Payments'!$D$5:$D$3014,'Payments'!$B$5:$B$3014,A748)</x:f>
        <x:v>4633.66</x:v>
      </x:c>
      <x:c r="M748" s="13" t="n">
        <x:f>G748-L748</x:f>
        <x:v>17251.74</x:v>
      </x:c>
      <x:c r="N748" s="9" t="str">
        <x:f>IF(H748=0,"0 Current",IF(H748&lt;=30,"1 1-30",IF(H748&lt;=60,"2 31-60",IF(H748&lt;=90,"3 61-90",IF(H748&lt;=120,"4 91-120","5 121+")))))</x:f>
        <x:v>5 121+</x:v>
      </x:c>
      <x:c r="O748" s="9" t="n">
        <x:f>IF(J748&gt;0,1,0)</x:f>
        <x:v>1</x:v>
      </x:c>
    </x:row>
    <x:row r="749">
      <x:c r="A749" s="15" t="str">
        <x:v>745</x:v>
      </x:c>
      <x:c r="B749" s="9" t="str">
        <x:v>Taylor</x:v>
      </x:c>
      <x:c r="C749" s="9" t="str">
        <x:v>Medical</x:v>
      </x:c>
      <x:c r="D749" s="9" t="str">
        <x:v>West</x:v>
      </x:c>
      <x:c r="E749" s="9" t="n">
        <x:v>474</x:v>
      </x:c>
      <x:c r="F749" s="11" t="n">
        <x:v>46153</x:v>
      </x:c>
      <x:c r="G749" s="13" t="n">
        <x:v>17551.18</x:v>
      </x:c>
      <x:c r="H749" s="9" t="n">
        <x:v>61</x:v>
      </x:c>
      <x:c r="I749" s="9" t="n">
        <x:v>6</x:v>
      </x:c>
      <x:c r="J749" s="9" t="n">
        <x:v>3</x:v>
      </x:c>
      <x:c r="K749" s="9" t="n">
        <x:v>0</x:v>
      </x:c>
      <x:c r="L749" s="13" t="n">
        <x:f>SUMIFS('Payments'!$D$5:$D$3014,'Payments'!$B$5:$B$3014,A749)</x:f>
        <x:v>4478.780000000001</x:v>
      </x:c>
      <x:c r="M749" s="13" t="n">
        <x:f>G749-L749</x:f>
        <x:v>13072.4</x:v>
      </x:c>
      <x:c r="N749" s="9" t="str">
        <x:f>IF(H749=0,"0 Current",IF(H749&lt;=30,"1 1-30",IF(H749&lt;=60,"2 31-60",IF(H749&lt;=90,"3 61-90",IF(H749&lt;=120,"4 91-120","5 121+")))))</x:f>
        <x:v>3 61-90</x:v>
      </x:c>
      <x:c r="O749" s="9" t="n">
        <x:f>IF(J749&gt;0,1,0)</x:f>
        <x:v>1</x:v>
      </x:c>
    </x:row>
    <x:row r="750">
      <x:c r="A750" s="15" t="str">
        <x:v>746</x:v>
      </x:c>
      <x:c r="B750" s="9" t="str">
        <x:v>Riley</x:v>
      </x:c>
      <x:c r="C750" s="9" t="str">
        <x:v>Personal Loan</x:v>
      </x:c>
      <x:c r="D750" s="9" t="str">
        <x:v>South</x:v>
      </x:c>
      <x:c r="E750" s="9" t="n">
        <x:v>643</x:v>
      </x:c>
      <x:c r="F750" s="11" t="n">
        <x:v>46110</x:v>
      </x:c>
      <x:c r="G750" s="13" t="n">
        <x:v>13229.58</x:v>
      </x:c>
      <x:c r="H750" s="9" t="n">
        <x:v>235</x:v>
      </x:c>
      <x:c r="I750" s="9" t="n">
        <x:v>8</x:v>
      </x:c>
      <x:c r="J750" s="9" t="n">
        <x:v>6</x:v>
      </x:c>
      <x:c r="K750" s="9" t="n">
        <x:v>0</x:v>
      </x:c>
      <x:c r="L750" s="13" t="n">
        <x:f>SUMIFS('Payments'!$D$5:$D$3014,'Payments'!$B$5:$B$3014,A750)</x:f>
        <x:v>2530.54</x:v>
      </x:c>
      <x:c r="M750" s="13" t="n">
        <x:f>G750-L750</x:f>
        <x:v>10699.04</x:v>
      </x:c>
      <x:c r="N750" s="9" t="str">
        <x:f>IF(H750=0,"0 Current",IF(H750&lt;=30,"1 1-30",IF(H750&lt;=60,"2 31-60",IF(H750&lt;=90,"3 61-90",IF(H750&lt;=120,"4 91-120","5 121+")))))</x:f>
        <x:v>5 121+</x:v>
      </x:c>
      <x:c r="O750" s="9" t="n">
        <x:f>IF(J750&gt;0,1,0)</x:f>
        <x:v>1</x:v>
      </x:c>
    </x:row>
    <x:row r="751">
      <x:c r="A751" s="15" t="str">
        <x:v>747</x:v>
      </x:c>
      <x:c r="B751" s="9" t="str">
        <x:v>Jordan</x:v>
      </x:c>
      <x:c r="C751" s="9" t="str">
        <x:v>Personal Loan</x:v>
      </x:c>
      <x:c r="D751" s="9" t="str">
        <x:v>West</x:v>
      </x:c>
      <x:c r="E751" s="9" t="n">
        <x:v>688</x:v>
      </x:c>
      <x:c r="F751" s="11" t="n">
        <x:v>46154</x:v>
      </x:c>
      <x:c r="G751" s="13" t="n">
        <x:v>10056.39</x:v>
      </x:c>
      <x:c r="H751" s="9" t="n">
        <x:v>232</x:v>
      </x:c>
      <x:c r="I751" s="9" t="n">
        <x:v>5</x:v>
      </x:c>
      <x:c r="J751" s="9" t="n">
        <x:v>0</x:v>
      </x:c>
      <x:c r="K751" s="9" t="n">
        <x:v>0</x:v>
      </x:c>
      <x:c r="L751" s="13" t="n">
        <x:f>SUMIFS('Payments'!$D$5:$D$3014,'Payments'!$B$5:$B$3014,A751)</x:f>
        <x:v>751.88</x:v>
      </x:c>
      <x:c r="M751" s="13" t="n">
        <x:f>G751-L751</x:f>
        <x:v>9304.51</x:v>
      </x:c>
      <x:c r="N751" s="9" t="str">
        <x:f>IF(H751=0,"0 Current",IF(H751&lt;=30,"1 1-30",IF(H751&lt;=60,"2 31-60",IF(H751&lt;=90,"3 61-90",IF(H751&lt;=120,"4 91-120","5 121+")))))</x:f>
        <x:v>5 121+</x:v>
      </x:c>
      <x:c r="O751" s="9" t="n">
        <x:f>IF(J751&gt;0,1,0)</x:f>
        <x:v>0</x:v>
      </x:c>
    </x:row>
    <x:row r="752">
      <x:c r="A752" s="15" t="str">
        <x:v>748</x:v>
      </x:c>
      <x:c r="B752" s="9" t="str">
        <x:v>Casey</x:v>
      </x:c>
      <x:c r="C752" s="9" t="str">
        <x:v>Personal Loan</x:v>
      </x:c>
      <x:c r="D752" s="9" t="str">
        <x:v>Northeast</x:v>
      </x:c>
      <x:c r="E752" s="9" t="n">
        <x:v>622</x:v>
      </x:c>
      <x:c r="F752" s="11" t="n">
        <x:v>46058</x:v>
      </x:c>
      <x:c r="G752" s="13" t="n">
        <x:v>12873.83</x:v>
      </x:c>
      <x:c r="H752" s="9" t="n">
        <x:v>182</x:v>
      </x:c>
      <x:c r="I752" s="9" t="n">
        <x:v>4</x:v>
      </x:c>
      <x:c r="J752" s="9" t="n">
        <x:v>0</x:v>
      </x:c>
      <x:c r="K752" s="9" t="n">
        <x:v>0</x:v>
      </x:c>
      <x:c r="L752" s="13" t="n">
        <x:f>SUMIFS('Payments'!$D$5:$D$3014,'Payments'!$B$5:$B$3014,A752)</x:f>
        <x:v>4005</x:v>
      </x:c>
      <x:c r="M752" s="13" t="n">
        <x:f>G752-L752</x:f>
        <x:v>8868.83</x:v>
      </x:c>
      <x:c r="N752" s="9" t="str">
        <x:f>IF(H752=0,"0 Current",IF(H752&lt;=30,"1 1-30",IF(H752&lt;=60,"2 31-60",IF(H752&lt;=90,"3 61-90",IF(H752&lt;=120,"4 91-120","5 121+")))))</x:f>
        <x:v>5 121+</x:v>
      </x:c>
      <x:c r="O752" s="9" t="n">
        <x:f>IF(J752&gt;0,1,0)</x:f>
        <x:v>0</x:v>
      </x:c>
    </x:row>
    <x:row r="753">
      <x:c r="A753" s="15" t="str">
        <x:v>749</x:v>
      </x:c>
      <x:c r="B753" s="9" t="str">
        <x:v>Morgan</x:v>
      </x:c>
      <x:c r="C753" s="9" t="str">
        <x:v>Personal Loan</x:v>
      </x:c>
      <x:c r="D753" s="9" t="str">
        <x:v>Midwest</x:v>
      </x:c>
      <x:c r="E753" s="9" t="n">
        <x:v>801</x:v>
      </x:c>
      <x:c r="F753" s="11" t="n">
        <x:v>46092</x:v>
      </x:c>
      <x:c r="G753" s="13" t="n">
        <x:v>24331.59</x:v>
      </x:c>
      <x:c r="H753" s="9" t="n">
        <x:v>37</x:v>
      </x:c>
      <x:c r="I753" s="9" t="n">
        <x:v>8</x:v>
      </x:c>
      <x:c r="J753" s="9" t="n">
        <x:v>4</x:v>
      </x:c>
      <x:c r="K753" s="9" t="n">
        <x:v>1</x:v>
      </x:c>
      <x:c r="L753" s="13" t="n">
        <x:f>SUMIFS('Payments'!$D$5:$D$3014,'Payments'!$B$5:$B$3014,A753)</x:f>
        <x:v>1050.1100000000001</x:v>
      </x:c>
      <x:c r="M753" s="13" t="n">
        <x:f>G753-L753</x:f>
        <x:v>23281.48</x:v>
      </x:c>
      <x:c r="N753" s="9" t="str">
        <x:f>IF(H753=0,"0 Current",IF(H753&lt;=30,"1 1-30",IF(H753&lt;=60,"2 31-60",IF(H753&lt;=90,"3 61-90",IF(H753&lt;=120,"4 91-120","5 121+")))))</x:f>
        <x:v>2 31-60</x:v>
      </x:c>
      <x:c r="O753" s="9" t="n">
        <x:f>IF(J753&gt;0,1,0)</x:f>
        <x:v>1</x:v>
      </x:c>
    </x:row>
    <x:row r="754">
      <x:c r="A754" s="15" t="str">
        <x:v>750</x:v>
      </x:c>
      <x:c r="B754" s="9" t="str">
        <x:v>Morgan</x:v>
      </x:c>
      <x:c r="C754" s="9" t="str">
        <x:v>Auto</x:v>
      </x:c>
      <x:c r="D754" s="9" t="str">
        <x:v>Midwest</x:v>
      </x:c>
      <x:c r="E754" s="9" t="n">
        <x:v>533</x:v>
      </x:c>
      <x:c r="F754" s="11" t="n">
        <x:v>46148</x:v>
      </x:c>
      <x:c r="G754" s="13" t="n">
        <x:v>5033.16</x:v>
      </x:c>
      <x:c r="H754" s="9" t="n">
        <x:v>99</x:v>
      </x:c>
      <x:c r="I754" s="9" t="n">
        <x:v>5</x:v>
      </x:c>
      <x:c r="J754" s="9" t="n">
        <x:v>2</x:v>
      </x:c>
      <x:c r="K754" s="9" t="n">
        <x:v>0</x:v>
      </x:c>
      <x:c r="L754" s="13" t="n">
        <x:f>SUMIFS('Payments'!$D$5:$D$3014,'Payments'!$B$5:$B$3014,A754)</x:f>
        <x:v>216.95</x:v>
      </x:c>
      <x:c r="M754" s="13" t="n">
        <x:f>G754-L754</x:f>
        <x:v>4816.21</x:v>
      </x:c>
      <x:c r="N754" s="9" t="str">
        <x:f>IF(H754=0,"0 Current",IF(H754&lt;=30,"1 1-30",IF(H754&lt;=60,"2 31-60",IF(H754&lt;=90,"3 61-90",IF(H754&lt;=120,"4 91-120","5 121+")))))</x:f>
        <x:v>4 91-120</x:v>
      </x:c>
      <x:c r="O754" s="9" t="n">
        <x:f>IF(J754&gt;0,1,0)</x:f>
        <x:v>1</x:v>
      </x:c>
    </x:row>
    <x:row r="755">
      <x:c r="A755" s="15" t="str">
        <x:v>751</x:v>
      </x:c>
      <x:c r="B755" s="9" t="str">
        <x:v>Alex</x:v>
      </x:c>
      <x:c r="C755" s="9" t="str">
        <x:v>Credit Card</x:v>
      </x:c>
      <x:c r="D755" s="9" t="str">
        <x:v>Midwest</x:v>
      </x:c>
      <x:c r="E755" s="9" t="n">
        <x:v>818</x:v>
      </x:c>
      <x:c r="F755" s="11" t="n">
        <x:v>46131</x:v>
      </x:c>
      <x:c r="G755" s="13" t="n">
        <x:v>9093.82</x:v>
      </x:c>
      <x:c r="H755" s="9" t="n">
        <x:v>2</x:v>
      </x:c>
      <x:c r="I755" s="9" t="n">
        <x:v>5</x:v>
      </x:c>
      <x:c r="J755" s="9" t="n">
        <x:v>2</x:v>
      </x:c>
      <x:c r="K755" s="9" t="n">
        <x:v>1</x:v>
      </x:c>
      <x:c r="L755" s="13" t="n">
        <x:f>SUMIFS('Payments'!$D$5:$D$3014,'Payments'!$B$5:$B$3014,A755)</x:f>
        <x:v>0</x:v>
      </x:c>
      <x:c r="M755" s="13" t="n">
        <x:f>G755-L755</x:f>
        <x:v>9093.82</x:v>
      </x:c>
      <x:c r="N755" s="9" t="str">
        <x:f>IF(H755=0,"0 Current",IF(H755&lt;=30,"1 1-30",IF(H755&lt;=60,"2 31-60",IF(H755&lt;=90,"3 61-90",IF(H755&lt;=120,"4 91-120","5 121+")))))</x:f>
        <x:v>1 1-30</x:v>
      </x:c>
      <x:c r="O755" s="9" t="n">
        <x:f>IF(J755&gt;0,1,0)</x:f>
        <x:v>1</x:v>
      </x:c>
    </x:row>
    <x:row r="756">
      <x:c r="A756" s="15" t="str">
        <x:v>752</x:v>
      </x:c>
      <x:c r="B756" s="9" t="str">
        <x:v>Casey</x:v>
      </x:c>
      <x:c r="C756" s="9" t="str">
        <x:v>Medical</x:v>
      </x:c>
      <x:c r="D756" s="9" t="str">
        <x:v>South</x:v>
      </x:c>
      <x:c r="E756" s="9" t="n">
        <x:v>459</x:v>
      </x:c>
      <x:c r="F756" s="11" t="n">
        <x:v>46172</x:v>
      </x:c>
      <x:c r="G756" s="13" t="n">
        <x:v>13784.1</x:v>
      </x:c>
      <x:c r="H756" s="9" t="n">
        <x:v>206</x:v>
      </x:c>
      <x:c r="I756" s="9" t="n">
        <x:v>7</x:v>
      </x:c>
      <x:c r="J756" s="9" t="n">
        <x:v>3</x:v>
      </x:c>
      <x:c r="K756" s="9" t="n">
        <x:v>1</x:v>
      </x:c>
      <x:c r="L756" s="13" t="n">
        <x:f>SUMIFS('Payments'!$D$5:$D$3014,'Payments'!$B$5:$B$3014,A756)</x:f>
        <x:v>2480.45</x:v>
      </x:c>
      <x:c r="M756" s="13" t="n">
        <x:f>G756-L756</x:f>
        <x:v>11303.650000000001</x:v>
      </x:c>
      <x:c r="N756" s="9" t="str">
        <x:f>IF(H756=0,"0 Current",IF(H756&lt;=30,"1 1-30",IF(H756&lt;=60,"2 31-60",IF(H756&lt;=90,"3 61-90",IF(H756&lt;=120,"4 91-120","5 121+")))))</x:f>
        <x:v>5 121+</x:v>
      </x:c>
      <x:c r="O756" s="9" t="n">
        <x:f>IF(J756&gt;0,1,0)</x:f>
        <x:v>1</x:v>
      </x:c>
    </x:row>
    <x:row r="757">
      <x:c r="A757" s="15" t="str">
        <x:v>753</x:v>
      </x:c>
      <x:c r="B757" s="9" t="str">
        <x:v>Casey</x:v>
      </x:c>
      <x:c r="C757" s="9" t="str">
        <x:v>Medical</x:v>
      </x:c>
      <x:c r="D757" s="9" t="str">
        <x:v>Northeast</x:v>
      </x:c>
      <x:c r="E757" s="9" t="n">
        <x:v>691</x:v>
      </x:c>
      <x:c r="F757" s="11" t="n">
        <x:v>46121</x:v>
      </x:c>
      <x:c r="G757" s="13" t="n">
        <x:v>19213.52</x:v>
      </x:c>
      <x:c r="H757" s="9" t="n">
        <x:v>25</x:v>
      </x:c>
      <x:c r="I757" s="9" t="n">
        <x:v>6</x:v>
      </x:c>
      <x:c r="J757" s="9" t="n">
        <x:v>1</x:v>
      </x:c>
      <x:c r="K757" s="9" t="n">
        <x:v>0</x:v>
      </x:c>
      <x:c r="L757" s="13" t="n">
        <x:f>SUMIFS('Payments'!$D$5:$D$3014,'Payments'!$B$5:$B$3014,A757)</x:f>
        <x:v>0</x:v>
      </x:c>
      <x:c r="M757" s="13" t="n">
        <x:f>G757-L757</x:f>
        <x:v>19213.52</x:v>
      </x:c>
      <x:c r="N757" s="9" t="str">
        <x:f>IF(H757=0,"0 Current",IF(H757&lt;=30,"1 1-30",IF(H757&lt;=60,"2 31-60",IF(H757&lt;=90,"3 61-90",IF(H757&lt;=120,"4 91-120","5 121+")))))</x:f>
        <x:v>1 1-30</x:v>
      </x:c>
      <x:c r="O757" s="9" t="n">
        <x:f>IF(J757&gt;0,1,0)</x:f>
        <x:v>1</x:v>
      </x:c>
    </x:row>
    <x:row r="758">
      <x:c r="A758" s="15" t="str">
        <x:v>754</x:v>
      </x:c>
      <x:c r="B758" s="9" t="str">
        <x:v>Riley</x:v>
      </x:c>
      <x:c r="C758" s="9" t="str">
        <x:v>Auto</x:v>
      </x:c>
      <x:c r="D758" s="9" t="str">
        <x:v>South</x:v>
      </x:c>
      <x:c r="E758" s="9" t="n">
        <x:v>817</x:v>
      </x:c>
      <x:c r="F758" s="11" t="n">
        <x:v>46028</x:v>
      </x:c>
      <x:c r="G758" s="13" t="n">
        <x:v>21430.92</x:v>
      </x:c>
      <x:c r="H758" s="9" t="n">
        <x:v>214</x:v>
      </x:c>
      <x:c r="I758" s="9" t="n">
        <x:v>6</x:v>
      </x:c>
      <x:c r="J758" s="9" t="n">
        <x:v>3</x:v>
      </x:c>
      <x:c r="K758" s="9" t="n">
        <x:v>1</x:v>
      </x:c>
      <x:c r="L758" s="13" t="n">
        <x:f>SUMIFS('Payments'!$D$5:$D$3014,'Payments'!$B$5:$B$3014,A758)</x:f>
        <x:v>3844.96</x:v>
      </x:c>
      <x:c r="M758" s="13" t="n">
        <x:f>G758-L758</x:f>
        <x:v>17585.96</x:v>
      </x:c>
      <x:c r="N758" s="9" t="str">
        <x:f>IF(H758=0,"0 Current",IF(H758&lt;=30,"1 1-30",IF(H758&lt;=60,"2 31-60",IF(H758&lt;=90,"3 61-90",IF(H758&lt;=120,"4 91-120","5 121+")))))</x:f>
        <x:v>5 121+</x:v>
      </x:c>
      <x:c r="O758" s="9" t="n">
        <x:f>IF(J758&gt;0,1,0)</x:f>
        <x:v>1</x:v>
      </x:c>
    </x:row>
    <x:row r="759">
      <x:c r="A759" s="15" t="str">
        <x:v>755</x:v>
      </x:c>
      <x:c r="B759" s="9" t="str">
        <x:v>Morgan</x:v>
      </x:c>
      <x:c r="C759" s="9" t="str">
        <x:v>Credit Card</x:v>
      </x:c>
      <x:c r="D759" s="9" t="str">
        <x:v>Midwest</x:v>
      </x:c>
      <x:c r="E759" s="9" t="n">
        <x:v>599</x:v>
      </x:c>
      <x:c r="F759" s="11" t="n">
        <x:v>46085</x:v>
      </x:c>
      <x:c r="G759" s="13" t="n">
        <x:v>3213.5</x:v>
      </x:c>
      <x:c r="H759" s="9" t="n">
        <x:v>99</x:v>
      </x:c>
      <x:c r="I759" s="9" t="n">
        <x:v>6</x:v>
      </x:c>
      <x:c r="J759" s="9" t="n">
        <x:v>2</x:v>
      </x:c>
      <x:c r="K759" s="9" t="n">
        <x:v>1</x:v>
      </x:c>
      <x:c r="L759" s="13" t="n">
        <x:f>SUMIFS('Payments'!$D$5:$D$3014,'Payments'!$B$5:$B$3014,A759)</x:f>
        <x:v>1129.47</x:v>
      </x:c>
      <x:c r="M759" s="13" t="n">
        <x:f>G759-L759</x:f>
        <x:v>2084.0299999999997</x:v>
      </x:c>
      <x:c r="N759" s="9" t="str">
        <x:f>IF(H759=0,"0 Current",IF(H759&lt;=30,"1 1-30",IF(H759&lt;=60,"2 31-60",IF(H759&lt;=90,"3 61-90",IF(H759&lt;=120,"4 91-120","5 121+")))))</x:f>
        <x:v>4 91-120</x:v>
      </x:c>
      <x:c r="O759" s="9" t="n">
        <x:f>IF(J759&gt;0,1,0)</x:f>
        <x:v>1</x:v>
      </x:c>
    </x:row>
    <x:row r="760">
      <x:c r="A760" s="15" t="str">
        <x:v>756</x:v>
      </x:c>
      <x:c r="B760" s="9" t="str">
        <x:v>Alex</x:v>
      </x:c>
      <x:c r="C760" s="9" t="str">
        <x:v>Auto</x:v>
      </x:c>
      <x:c r="D760" s="9" t="str">
        <x:v>South</x:v>
      </x:c>
      <x:c r="E760" s="9" t="n">
        <x:v>540</x:v>
      </x:c>
      <x:c r="F760" s="11" t="n">
        <x:v>46158</x:v>
      </x:c>
      <x:c r="G760" s="13" t="n">
        <x:v>8708.76</x:v>
      </x:c>
      <x:c r="H760" s="9" t="n">
        <x:v>93</x:v>
      </x:c>
      <x:c r="I760" s="9" t="n">
        <x:v>3</x:v>
      </x:c>
      <x:c r="J760" s="9" t="n">
        <x:v>1</x:v>
      </x:c>
      <x:c r="K760" s="9" t="n">
        <x:v>0</x:v>
      </x:c>
      <x:c r="L760" s="13" t="n">
        <x:f>SUMIFS('Payments'!$D$5:$D$3014,'Payments'!$B$5:$B$3014,A760)</x:f>
        <x:v>0</x:v>
      </x:c>
      <x:c r="M760" s="13" t="n">
        <x:f>G760-L760</x:f>
        <x:v>8708.76</x:v>
      </x:c>
      <x:c r="N760" s="9" t="str">
        <x:f>IF(H760=0,"0 Current",IF(H760&lt;=30,"1 1-30",IF(H760&lt;=60,"2 31-60",IF(H760&lt;=90,"3 61-90",IF(H760&lt;=120,"4 91-120","5 121+")))))</x:f>
        <x:v>4 91-120</x:v>
      </x:c>
      <x:c r="O760" s="9" t="n">
        <x:f>IF(J760&gt;0,1,0)</x:f>
        <x:v>1</x:v>
      </x:c>
    </x:row>
    <x:row r="761">
      <x:c r="A761" s="15" t="str">
        <x:v>757</x:v>
      </x:c>
      <x:c r="B761" s="9" t="str">
        <x:v>Riley</x:v>
      </x:c>
      <x:c r="C761" s="9" t="str">
        <x:v>Personal Loan</x:v>
      </x:c>
      <x:c r="D761" s="9" t="str">
        <x:v>Northeast</x:v>
      </x:c>
      <x:c r="E761" s="9" t="n">
        <x:v>494</x:v>
      </x:c>
      <x:c r="F761" s="11" t="n">
        <x:v>46087</x:v>
      </x:c>
      <x:c r="G761" s="13" t="n">
        <x:v>3824.21</x:v>
      </x:c>
      <x:c r="H761" s="9" t="n">
        <x:v>115</x:v>
      </x:c>
      <x:c r="I761" s="9" t="n">
        <x:v>6</x:v>
      </x:c>
      <x:c r="J761" s="9" t="n">
        <x:v>3</x:v>
      </x:c>
      <x:c r="K761" s="9" t="n">
        <x:v>0</x:v>
      </x:c>
      <x:c r="L761" s="13" t="n">
        <x:f>SUMIFS('Payments'!$D$5:$D$3014,'Payments'!$B$5:$B$3014,A761)</x:f>
        <x:v>202.12</x:v>
      </x:c>
      <x:c r="M761" s="13" t="n">
        <x:f>G761-L761</x:f>
        <x:v>3622.09</x:v>
      </x:c>
      <x:c r="N761" s="9" t="str">
        <x:f>IF(H761=0,"0 Current",IF(H761&lt;=30,"1 1-30",IF(H761&lt;=60,"2 31-60",IF(H761&lt;=90,"3 61-90",IF(H761&lt;=120,"4 91-120","5 121+")))))</x:f>
        <x:v>4 91-120</x:v>
      </x:c>
      <x:c r="O761" s="9" t="n">
        <x:f>IF(J761&gt;0,1,0)</x:f>
        <x:v>1</x:v>
      </x:c>
    </x:row>
    <x:row r="762">
      <x:c r="A762" s="15" t="str">
        <x:v>758</x:v>
      </x:c>
      <x:c r="B762" s="9" t="str">
        <x:v>Riley</x:v>
      </x:c>
      <x:c r="C762" s="9" t="str">
        <x:v>Auto</x:v>
      </x:c>
      <x:c r="D762" s="9" t="str">
        <x:v>Midwest</x:v>
      </x:c>
      <x:c r="E762" s="9" t="n">
        <x:v>521</x:v>
      </x:c>
      <x:c r="F762" s="11" t="n">
        <x:v>46068</x:v>
      </x:c>
      <x:c r="G762" s="13" t="n">
        <x:v>12589.78</x:v>
      </x:c>
      <x:c r="H762" s="9" t="n">
        <x:v>108</x:v>
      </x:c>
      <x:c r="I762" s="9" t="n">
        <x:v>3</x:v>
      </x:c>
      <x:c r="J762" s="9" t="n">
        <x:v>0</x:v>
      </x:c>
      <x:c r="K762" s="9" t="n">
        <x:v>0</x:v>
      </x:c>
      <x:c r="L762" s="13" t="n">
        <x:f>SUMIFS('Payments'!$D$5:$D$3014,'Payments'!$B$5:$B$3014,A762)</x:f>
        <x:v>629.3</x:v>
      </x:c>
      <x:c r="M762" s="13" t="n">
        <x:f>G762-L762</x:f>
        <x:v>11960.480000000001</x:v>
      </x:c>
      <x:c r="N762" s="9" t="str">
        <x:f>IF(H762=0,"0 Current",IF(H762&lt;=30,"1 1-30",IF(H762&lt;=60,"2 31-60",IF(H762&lt;=90,"3 61-90",IF(H762&lt;=120,"4 91-120","5 121+")))))</x:f>
        <x:v>4 91-120</x:v>
      </x:c>
      <x:c r="O762" s="9" t="n">
        <x:f>IF(J762&gt;0,1,0)</x:f>
        <x:v>0</x:v>
      </x:c>
    </x:row>
    <x:row r="763">
      <x:c r="A763" s="15" t="str">
        <x:v>759</x:v>
      </x:c>
      <x:c r="B763" s="9" t="str">
        <x:v>Jordan</x:v>
      </x:c>
      <x:c r="C763" s="9" t="str">
        <x:v>Medical</x:v>
      </x:c>
      <x:c r="D763" s="9" t="str">
        <x:v>South</x:v>
      </x:c>
      <x:c r="E763" s="9" t="n">
        <x:v>728</x:v>
      </x:c>
      <x:c r="F763" s="11" t="n">
        <x:v>46141</x:v>
      </x:c>
      <x:c r="G763" s="13" t="n">
        <x:v>23712.89</x:v>
      </x:c>
      <x:c r="H763" s="9" t="n">
        <x:v>39</x:v>
      </x:c>
      <x:c r="I763" s="9" t="n">
        <x:v>0</x:v>
      </x:c>
      <x:c r="J763" s="9" t="n">
        <x:v>0</x:v>
      </x:c>
      <x:c r="K763" s="9" t="n">
        <x:v>0</x:v>
      </x:c>
      <x:c r="L763" s="13" t="n">
        <x:f>SUMIFS('Payments'!$D$5:$D$3014,'Payments'!$B$5:$B$3014,A763)</x:f>
        <x:v>3393.77</x:v>
      </x:c>
      <x:c r="M763" s="13" t="n">
        <x:f>G763-L763</x:f>
        <x:v>20319.12</x:v>
      </x:c>
      <x:c r="N763" s="9" t="str">
        <x:f>IF(H763=0,"0 Current",IF(H763&lt;=30,"1 1-30",IF(H763&lt;=60,"2 31-60",IF(H763&lt;=90,"3 61-90",IF(H763&lt;=120,"4 91-120","5 121+")))))</x:f>
        <x:v>2 31-60</x:v>
      </x:c>
      <x:c r="O763" s="9" t="n">
        <x:f>IF(J763&gt;0,1,0)</x:f>
        <x:v>0</x:v>
      </x:c>
    </x:row>
    <x:row r="764">
      <x:c r="A764" s="15" t="str">
        <x:v>760</x:v>
      </x:c>
      <x:c r="B764" s="9" t="str">
        <x:v>Alex</x:v>
      </x:c>
      <x:c r="C764" s="9" t="str">
        <x:v>Auto</x:v>
      </x:c>
      <x:c r="D764" s="9" t="str">
        <x:v>South</x:v>
      </x:c>
      <x:c r="E764" s="9" t="n">
        <x:v>809</x:v>
      </x:c>
      <x:c r="F764" s="11" t="n">
        <x:v>46151</x:v>
      </x:c>
      <x:c r="G764" s="13" t="n">
        <x:v>21660.67</x:v>
      </x:c>
      <x:c r="H764" s="9" t="n">
        <x:v>34</x:v>
      </x:c>
      <x:c r="I764" s="9" t="n">
        <x:v>2</x:v>
      </x:c>
      <x:c r="J764" s="9" t="n">
        <x:v>1</x:v>
      </x:c>
      <x:c r="K764" s="9" t="n">
        <x:v>0</x:v>
      </x:c>
      <x:c r="L764" s="13" t="n">
        <x:f>SUMIFS('Payments'!$D$5:$D$3014,'Payments'!$B$5:$B$3014,A764)</x:f>
        <x:v>263.46</x:v>
      </x:c>
      <x:c r="M764" s="13" t="n">
        <x:f>G764-L764</x:f>
        <x:v>21397.21</x:v>
      </x:c>
      <x:c r="N764" s="9" t="str">
        <x:f>IF(H764=0,"0 Current",IF(H764&lt;=30,"1 1-30",IF(H764&lt;=60,"2 31-60",IF(H764&lt;=90,"3 61-90",IF(H764&lt;=120,"4 91-120","5 121+")))))</x:f>
        <x:v>2 31-60</x:v>
      </x:c>
      <x:c r="O764" s="9" t="n">
        <x:f>IF(J764&gt;0,1,0)</x:f>
        <x:v>1</x:v>
      </x:c>
    </x:row>
    <x:row r="765">
      <x:c r="A765" s="15" t="str">
        <x:v>761</x:v>
      </x:c>
      <x:c r="B765" s="9" t="str">
        <x:v>Morgan</x:v>
      </x:c>
      <x:c r="C765" s="9" t="str">
        <x:v>Medical</x:v>
      </x:c>
      <x:c r="D765" s="9" t="str">
        <x:v>Northeast</x:v>
      </x:c>
      <x:c r="E765" s="9" t="n">
        <x:v>510</x:v>
      </x:c>
      <x:c r="F765" s="11" t="n">
        <x:v>46169</x:v>
      </x:c>
      <x:c r="G765" s="13" t="n">
        <x:v>12213.72</x:v>
      </x:c>
      <x:c r="H765" s="9" t="n">
        <x:v>116</x:v>
      </x:c>
      <x:c r="I765" s="9" t="n">
        <x:v>2</x:v>
      </x:c>
      <x:c r="J765" s="9" t="n">
        <x:v>0</x:v>
      </x:c>
      <x:c r="K765" s="9" t="n">
        <x:v>0</x:v>
      </x:c>
      <x:c r="L765" s="13" t="n">
        <x:f>SUMIFS('Payments'!$D$5:$D$3014,'Payments'!$B$5:$B$3014,A765)</x:f>
        <x:v>298.03</x:v>
      </x:c>
      <x:c r="M765" s="13" t="n">
        <x:f>G765-L765</x:f>
        <x:v>11915.689999999999</x:v>
      </x:c>
      <x:c r="N765" s="9" t="str">
        <x:f>IF(H765=0,"0 Current",IF(H765&lt;=30,"1 1-30",IF(H765&lt;=60,"2 31-60",IF(H765&lt;=90,"3 61-90",IF(H765&lt;=120,"4 91-120","5 121+")))))</x:f>
        <x:v>4 91-120</x:v>
      </x:c>
      <x:c r="O765" s="9" t="n">
        <x:f>IF(J765&gt;0,1,0)</x:f>
        <x:v>0</x:v>
      </x:c>
    </x:row>
    <x:row r="766">
      <x:c r="A766" s="15" t="str">
        <x:v>762</x:v>
      </x:c>
      <x:c r="B766" s="9" t="str">
        <x:v>Riley</x:v>
      </x:c>
      <x:c r="C766" s="9" t="str">
        <x:v>Auto</x:v>
      </x:c>
      <x:c r="D766" s="9" t="str">
        <x:v>West</x:v>
      </x:c>
      <x:c r="E766" s="9" t="n">
        <x:v>657</x:v>
      </x:c>
      <x:c r="F766" s="11" t="n">
        <x:v>46096</x:v>
      </x:c>
      <x:c r="G766" s="13" t="n">
        <x:v>19826.2</x:v>
      </x:c>
      <x:c r="H766" s="9" t="n">
        <x:v>173</x:v>
      </x:c>
      <x:c r="I766" s="9" t="n">
        <x:v>7</x:v>
      </x:c>
      <x:c r="J766" s="9" t="n">
        <x:v>3</x:v>
      </x:c>
      <x:c r="K766" s="9" t="n">
        <x:v>1</x:v>
      </x:c>
      <x:c r="L766" s="13" t="n">
        <x:f>SUMIFS('Payments'!$D$5:$D$3014,'Payments'!$B$5:$B$3014,A766)</x:f>
        <x:v>5706.299999999999</x:v>
      </x:c>
      <x:c r="M766" s="13" t="n">
        <x:f>G766-L766</x:f>
        <x:v>14119.900000000001</x:v>
      </x:c>
      <x:c r="N766" s="9" t="str">
        <x:f>IF(H766=0,"0 Current",IF(H766&lt;=30,"1 1-30",IF(H766&lt;=60,"2 31-60",IF(H766&lt;=90,"3 61-90",IF(H766&lt;=120,"4 91-120","5 121+")))))</x:f>
        <x:v>5 121+</x:v>
      </x:c>
      <x:c r="O766" s="9" t="n">
        <x:f>IF(J766&gt;0,1,0)</x:f>
        <x:v>1</x:v>
      </x:c>
    </x:row>
    <x:row r="767">
      <x:c r="A767" s="15" t="str">
        <x:v>763</x:v>
      </x:c>
      <x:c r="B767" s="9" t="str">
        <x:v>Alex</x:v>
      </x:c>
      <x:c r="C767" s="9" t="str">
        <x:v>Personal Loan</x:v>
      </x:c>
      <x:c r="D767" s="9" t="str">
        <x:v>West</x:v>
      </x:c>
      <x:c r="E767" s="9" t="n">
        <x:v>768</x:v>
      </x:c>
      <x:c r="F767" s="11" t="n">
        <x:v>46032</x:v>
      </x:c>
      <x:c r="G767" s="13" t="n">
        <x:v>9177.72</x:v>
      </x:c>
      <x:c r="H767" s="9" t="n">
        <x:v>215</x:v>
      </x:c>
      <x:c r="I767" s="9" t="n">
        <x:v>6</x:v>
      </x:c>
      <x:c r="J767" s="9" t="n">
        <x:v>3</x:v>
      </x:c>
      <x:c r="K767" s="9" t="n">
        <x:v>0</x:v>
      </x:c>
      <x:c r="L767" s="13" t="n">
        <x:f>SUMIFS('Payments'!$D$5:$D$3014,'Payments'!$B$5:$B$3014,A767)</x:f>
        <x:v>711.98</x:v>
      </x:c>
      <x:c r="M767" s="13" t="n">
        <x:f>G767-L767</x:f>
        <x:v>8465.74</x:v>
      </x:c>
      <x:c r="N767" s="9" t="str">
        <x:f>IF(H767=0,"0 Current",IF(H767&lt;=30,"1 1-30",IF(H767&lt;=60,"2 31-60",IF(H767&lt;=90,"3 61-90",IF(H767&lt;=120,"4 91-120","5 121+")))))</x:f>
        <x:v>5 121+</x:v>
      </x:c>
      <x:c r="O767" s="9" t="n">
        <x:f>IF(J767&gt;0,1,0)</x:f>
        <x:v>1</x:v>
      </x:c>
    </x:row>
    <x:row r="768">
      <x:c r="A768" s="15" t="str">
        <x:v>764</x:v>
      </x:c>
      <x:c r="B768" s="9" t="str">
        <x:v>Casey</x:v>
      </x:c>
      <x:c r="C768" s="9" t="str">
        <x:v>Medical</x:v>
      </x:c>
      <x:c r="D768" s="9" t="str">
        <x:v>Midwest</x:v>
      </x:c>
      <x:c r="E768" s="9" t="n">
        <x:v>741</x:v>
      </x:c>
      <x:c r="F768" s="11" t="n">
        <x:v>46100</x:v>
      </x:c>
      <x:c r="G768" s="13" t="n">
        <x:v>17124.57</x:v>
      </x:c>
      <x:c r="H768" s="9" t="n">
        <x:v>4</x:v>
      </x:c>
      <x:c r="I768" s="9" t="n">
        <x:v>7</x:v>
      </x:c>
      <x:c r="J768" s="9" t="n">
        <x:v>3</x:v>
      </x:c>
      <x:c r="K768" s="9" t="n">
        <x:v>1</x:v>
      </x:c>
      <x:c r="L768" s="13" t="n">
        <x:f>SUMIFS('Payments'!$D$5:$D$3014,'Payments'!$B$5:$B$3014,A768)</x:f>
        <x:v>1160.88</x:v>
      </x:c>
      <x:c r="M768" s="13" t="n">
        <x:f>G768-L768</x:f>
        <x:v>15963.689999999999</x:v>
      </x:c>
      <x:c r="N768" s="9" t="str">
        <x:f>IF(H768=0,"0 Current",IF(H768&lt;=30,"1 1-30",IF(H768&lt;=60,"2 31-60",IF(H768&lt;=90,"3 61-90",IF(H768&lt;=120,"4 91-120","5 121+")))))</x:f>
        <x:v>1 1-30</x:v>
      </x:c>
      <x:c r="O768" s="9" t="n">
        <x:f>IF(J768&gt;0,1,0)</x:f>
        <x:v>1</x:v>
      </x:c>
    </x:row>
    <x:row r="769">
      <x:c r="A769" s="15" t="str">
        <x:v>765</x:v>
      </x:c>
      <x:c r="B769" s="9" t="str">
        <x:v>Morgan</x:v>
      </x:c>
      <x:c r="C769" s="9" t="str">
        <x:v>Auto</x:v>
      </x:c>
      <x:c r="D769" s="9" t="str">
        <x:v>Midwest</x:v>
      </x:c>
      <x:c r="E769" s="9" t="n">
        <x:v>497</x:v>
      </x:c>
      <x:c r="F769" s="11" t="n">
        <x:v>46112</x:v>
      </x:c>
      <x:c r="G769" s="13" t="n">
        <x:v>20007.26</x:v>
      </x:c>
      <x:c r="H769" s="9" t="n">
        <x:v>19</x:v>
      </x:c>
      <x:c r="I769" s="9" t="n">
        <x:v>1</x:v>
      </x:c>
      <x:c r="J769" s="9" t="n">
        <x:v>0</x:v>
      </x:c>
      <x:c r="K769" s="9" t="n">
        <x:v>0</x:v>
      </x:c>
      <x:c r="L769" s="13" t="n">
        <x:f>SUMIFS('Payments'!$D$5:$D$3014,'Payments'!$B$5:$B$3014,A769)</x:f>
        <x:v>4515.24</x:v>
      </x:c>
      <x:c r="M769" s="13" t="n">
        <x:f>G769-L769</x:f>
        <x:v>15492.019999999999</x:v>
      </x:c>
      <x:c r="N769" s="9" t="str">
        <x:f>IF(H769=0,"0 Current",IF(H769&lt;=30,"1 1-30",IF(H769&lt;=60,"2 31-60",IF(H769&lt;=90,"3 61-90",IF(H769&lt;=120,"4 91-120","5 121+")))))</x:f>
        <x:v>1 1-30</x:v>
      </x:c>
      <x:c r="O769" s="9" t="n">
        <x:f>IF(J769&gt;0,1,0)</x:f>
        <x:v>0</x:v>
      </x:c>
    </x:row>
    <x:row r="770">
      <x:c r="A770" s="15" t="str">
        <x:v>766</x:v>
      </x:c>
      <x:c r="B770" s="9" t="str">
        <x:v>Casey</x:v>
      </x:c>
      <x:c r="C770" s="9" t="str">
        <x:v>Credit Card</x:v>
      </x:c>
      <x:c r="D770" s="9" t="str">
        <x:v>West</x:v>
      </x:c>
      <x:c r="E770" s="9" t="n">
        <x:v>454</x:v>
      </x:c>
      <x:c r="F770" s="11" t="n">
        <x:v>46102</x:v>
      </x:c>
      <x:c r="G770" s="13" t="n">
        <x:v>21753.27</x:v>
      </x:c>
      <x:c r="H770" s="9" t="n">
        <x:v>25</x:v>
      </x:c>
      <x:c r="I770" s="9" t="n">
        <x:v>0</x:v>
      </x:c>
      <x:c r="J770" s="9" t="n">
        <x:v>0</x:v>
      </x:c>
      <x:c r="K770" s="9" t="n">
        <x:v>0</x:v>
      </x:c>
      <x:c r="L770" s="13" t="n">
        <x:f>SUMIFS('Payments'!$D$5:$D$3014,'Payments'!$B$5:$B$3014,A770)</x:f>
        <x:v>1423.52</x:v>
      </x:c>
      <x:c r="M770" s="13" t="n">
        <x:f>G770-L770</x:f>
        <x:v>20329.75</x:v>
      </x:c>
      <x:c r="N770" s="9" t="str">
        <x:f>IF(H770=0,"0 Current",IF(H770&lt;=30,"1 1-30",IF(H770&lt;=60,"2 31-60",IF(H770&lt;=90,"3 61-90",IF(H770&lt;=120,"4 91-120","5 121+")))))</x:f>
        <x:v>1 1-30</x:v>
      </x:c>
      <x:c r="O770" s="9" t="n">
        <x:f>IF(J770&gt;0,1,0)</x:f>
        <x:v>0</x:v>
      </x:c>
    </x:row>
    <x:row r="771">
      <x:c r="A771" s="15" t="str">
        <x:v>767</x:v>
      </x:c>
      <x:c r="B771" s="9" t="str">
        <x:v>Taylor</x:v>
      </x:c>
      <x:c r="C771" s="9" t="str">
        <x:v>Personal Loan</x:v>
      </x:c>
      <x:c r="D771" s="9" t="str">
        <x:v>West</x:v>
      </x:c>
      <x:c r="E771" s="9" t="n">
        <x:v>646</x:v>
      </x:c>
      <x:c r="F771" s="11" t="n">
        <x:v>46153</x:v>
      </x:c>
      <x:c r="G771" s="13" t="n">
        <x:v>9672.68</x:v>
      </x:c>
      <x:c r="H771" s="9" t="n">
        <x:v>6</x:v>
      </x:c>
      <x:c r="I771" s="9" t="n">
        <x:v>5</x:v>
      </x:c>
      <x:c r="J771" s="9" t="n">
        <x:v>3</x:v>
      </x:c>
      <x:c r="K771" s="9" t="n">
        <x:v>0</x:v>
      </x:c>
      <x:c r="L771" s="13" t="n">
        <x:f>SUMIFS('Payments'!$D$5:$D$3014,'Payments'!$B$5:$B$3014,A771)</x:f>
        <x:v>2208.6899999999996</x:v>
      </x:c>
      <x:c r="M771" s="13" t="n">
        <x:f>G771-L771</x:f>
        <x:v>7463.990000000001</x:v>
      </x:c>
      <x:c r="N771" s="9" t="str">
        <x:f>IF(H771=0,"0 Current",IF(H771&lt;=30,"1 1-30",IF(H771&lt;=60,"2 31-60",IF(H771&lt;=90,"3 61-90",IF(H771&lt;=120,"4 91-120","5 121+")))))</x:f>
        <x:v>1 1-30</x:v>
      </x:c>
      <x:c r="O771" s="9" t="n">
        <x:f>IF(J771&gt;0,1,0)</x:f>
        <x:v>1</x:v>
      </x:c>
    </x:row>
    <x:row r="772">
      <x:c r="A772" s="15" t="str">
        <x:v>768</x:v>
      </x:c>
      <x:c r="B772" s="9" t="str">
        <x:v>Riley</x:v>
      </x:c>
      <x:c r="C772" s="9" t="str">
        <x:v>Credit Card</x:v>
      </x:c>
      <x:c r="D772" s="9" t="str">
        <x:v>Midwest</x:v>
      </x:c>
      <x:c r="E772" s="9" t="n">
        <x:v>560</x:v>
      </x:c>
      <x:c r="F772" s="11" t="n">
        <x:v>46163</x:v>
      </x:c>
      <x:c r="G772" s="13" t="n">
        <x:v>24254.46</x:v>
      </x:c>
      <x:c r="H772" s="9" t="n">
        <x:v>39</x:v>
      </x:c>
      <x:c r="I772" s="9" t="n">
        <x:v>1</x:v>
      </x:c>
      <x:c r="J772" s="9" t="n">
        <x:v>0</x:v>
      </x:c>
      <x:c r="K772" s="9" t="n">
        <x:v>0</x:v>
      </x:c>
      <x:c r="L772" s="13" t="n">
        <x:f>SUMIFS('Payments'!$D$5:$D$3014,'Payments'!$B$5:$B$3014,A772)</x:f>
        <x:v>3906.9300000000003</x:v>
      </x:c>
      <x:c r="M772" s="13" t="n">
        <x:f>G772-L772</x:f>
        <x:v>20347.53</x:v>
      </x:c>
      <x:c r="N772" s="9" t="str">
        <x:f>IF(H772=0,"0 Current",IF(H772&lt;=30,"1 1-30",IF(H772&lt;=60,"2 31-60",IF(H772&lt;=90,"3 61-90",IF(H772&lt;=120,"4 91-120","5 121+")))))</x:f>
        <x:v>2 31-60</x:v>
      </x:c>
      <x:c r="O772" s="9" t="n">
        <x:f>IF(J772&gt;0,1,0)</x:f>
        <x:v>0</x:v>
      </x:c>
    </x:row>
    <x:row r="773">
      <x:c r="A773" s="15" t="str">
        <x:v>769</x:v>
      </x:c>
      <x:c r="B773" s="9" t="str">
        <x:v>Alex</x:v>
      </x:c>
      <x:c r="C773" s="9" t="str">
        <x:v>Credit Card</x:v>
      </x:c>
      <x:c r="D773" s="9" t="str">
        <x:v>Northeast</x:v>
      </x:c>
      <x:c r="E773" s="9" t="n">
        <x:v>600</x:v>
      </x:c>
      <x:c r="F773" s="11" t="n">
        <x:v>46123</x:v>
      </x:c>
      <x:c r="G773" s="13" t="n">
        <x:v>9737.43</x:v>
      </x:c>
      <x:c r="H773" s="9" t="n">
        <x:v>77</x:v>
      </x:c>
      <x:c r="I773" s="9" t="n">
        <x:v>2</x:v>
      </x:c>
      <x:c r="J773" s="9" t="n">
        <x:v>0</x:v>
      </x:c>
      <x:c r="K773" s="9" t="n">
        <x:v>0</x:v>
      </x:c>
      <x:c r="L773" s="13" t="n">
        <x:f>SUMIFS('Payments'!$D$5:$D$3014,'Payments'!$B$5:$B$3014,A773)</x:f>
        <x:v>0</x:v>
      </x:c>
      <x:c r="M773" s="13" t="n">
        <x:f>G773-L773</x:f>
        <x:v>9737.43</x:v>
      </x:c>
      <x:c r="N773" s="9" t="str">
        <x:f>IF(H773=0,"0 Current",IF(H773&lt;=30,"1 1-30",IF(H773&lt;=60,"2 31-60",IF(H773&lt;=90,"3 61-90",IF(H773&lt;=120,"4 91-120","5 121+")))))</x:f>
        <x:v>3 61-90</x:v>
      </x:c>
      <x:c r="O773" s="9" t="n">
        <x:f>IF(J773&gt;0,1,0)</x:f>
        <x:v>0</x:v>
      </x:c>
    </x:row>
    <x:row r="774">
      <x:c r="A774" s="15" t="str">
        <x:v>770</x:v>
      </x:c>
      <x:c r="B774" s="9" t="str">
        <x:v>Riley</x:v>
      </x:c>
      <x:c r="C774" s="9" t="str">
        <x:v>Personal Loan</x:v>
      </x:c>
      <x:c r="D774" s="9" t="str">
        <x:v>Northeast</x:v>
      </x:c>
      <x:c r="E774" s="9" t="n">
        <x:v>578</x:v>
      </x:c>
      <x:c r="F774" s="11" t="n">
        <x:v>46061</x:v>
      </x:c>
      <x:c r="G774" s="13" t="n">
        <x:v>18405.96</x:v>
      </x:c>
      <x:c r="H774" s="9" t="n">
        <x:v>234</x:v>
      </x:c>
      <x:c r="I774" s="9" t="n">
        <x:v>2</x:v>
      </x:c>
      <x:c r="J774" s="9" t="n">
        <x:v>1</x:v>
      </x:c>
      <x:c r="K774" s="9" t="n">
        <x:v>0</x:v>
      </x:c>
      <x:c r="L774" s="13" t="n">
        <x:f>SUMIFS('Payments'!$D$5:$D$3014,'Payments'!$B$5:$B$3014,A774)</x:f>
        <x:v>11.48</x:v>
      </x:c>
      <x:c r="M774" s="13" t="n">
        <x:f>G774-L774</x:f>
        <x:v>18394.48</x:v>
      </x:c>
      <x:c r="N774" s="9" t="str">
        <x:f>IF(H774=0,"0 Current",IF(H774&lt;=30,"1 1-30",IF(H774&lt;=60,"2 31-60",IF(H774&lt;=90,"3 61-90",IF(H774&lt;=120,"4 91-120","5 121+")))))</x:f>
        <x:v>5 121+</x:v>
      </x:c>
      <x:c r="O774" s="9" t="n">
        <x:f>IF(J774&gt;0,1,0)</x:f>
        <x:v>1</x:v>
      </x:c>
    </x:row>
    <x:row r="775">
      <x:c r="A775" s="15" t="str">
        <x:v>771</x:v>
      </x:c>
      <x:c r="B775" s="9" t="str">
        <x:v>Casey</x:v>
      </x:c>
      <x:c r="C775" s="9" t="str">
        <x:v>Auto</x:v>
      </x:c>
      <x:c r="D775" s="9" t="str">
        <x:v>West</x:v>
      </x:c>
      <x:c r="E775" s="9" t="n">
        <x:v>651</x:v>
      </x:c>
      <x:c r="F775" s="11" t="n">
        <x:v>46079</x:v>
      </x:c>
      <x:c r="G775" s="13" t="n">
        <x:v>20142.2</x:v>
      </x:c>
      <x:c r="H775" s="9" t="n">
        <x:v>29</x:v>
      </x:c>
      <x:c r="I775" s="9" t="n">
        <x:v>7</x:v>
      </x:c>
      <x:c r="J775" s="9" t="n">
        <x:v>5</x:v>
      </x:c>
      <x:c r="K775" s="9" t="n">
        <x:v>1</x:v>
      </x:c>
      <x:c r="L775" s="13" t="n">
        <x:f>SUMIFS('Payments'!$D$5:$D$3014,'Payments'!$B$5:$B$3014,A775)</x:f>
        <x:v>0</x:v>
      </x:c>
      <x:c r="M775" s="13" t="n">
        <x:f>G775-L775</x:f>
        <x:v>20142.2</x:v>
      </x:c>
      <x:c r="N775" s="9" t="str">
        <x:f>IF(H775=0,"0 Current",IF(H775&lt;=30,"1 1-30",IF(H775&lt;=60,"2 31-60",IF(H775&lt;=90,"3 61-90",IF(H775&lt;=120,"4 91-120","5 121+")))))</x:f>
        <x:v>1 1-30</x:v>
      </x:c>
      <x:c r="O775" s="9" t="n">
        <x:f>IF(J775&gt;0,1,0)</x:f>
        <x:v>1</x:v>
      </x:c>
    </x:row>
    <x:row r="776">
      <x:c r="A776" s="15" t="str">
        <x:v>772</x:v>
      </x:c>
      <x:c r="B776" s="9" t="str">
        <x:v>Casey</x:v>
      </x:c>
      <x:c r="C776" s="9" t="str">
        <x:v>Personal Loan</x:v>
      </x:c>
      <x:c r="D776" s="9" t="str">
        <x:v>Northeast</x:v>
      </x:c>
      <x:c r="E776" s="9" t="n">
        <x:v>449</x:v>
      </x:c>
      <x:c r="F776" s="11" t="n">
        <x:v>46106</x:v>
      </x:c>
      <x:c r="G776" s="13" t="n">
        <x:v>22591.78</x:v>
      </x:c>
      <x:c r="H776" s="9" t="n">
        <x:v>206</x:v>
      </x:c>
      <x:c r="I776" s="9" t="n">
        <x:v>4</x:v>
      </x:c>
      <x:c r="J776" s="9" t="n">
        <x:v>1</x:v>
      </x:c>
      <x:c r="K776" s="9" t="n">
        <x:v>1</x:v>
      </x:c>
      <x:c r="L776" s="13" t="n">
        <x:f>SUMIFS('Payments'!$D$5:$D$3014,'Payments'!$B$5:$B$3014,A776)</x:f>
        <x:v>5697.43</x:v>
      </x:c>
      <x:c r="M776" s="13" t="n">
        <x:f>G776-L776</x:f>
        <x:v>16894.35</x:v>
      </x:c>
      <x:c r="N776" s="9" t="str">
        <x:f>IF(H776=0,"0 Current",IF(H776&lt;=30,"1 1-30",IF(H776&lt;=60,"2 31-60",IF(H776&lt;=90,"3 61-90",IF(H776&lt;=120,"4 91-120","5 121+")))))</x:f>
        <x:v>5 121+</x:v>
      </x:c>
      <x:c r="O776" s="9" t="n">
        <x:f>IF(J776&gt;0,1,0)</x:f>
        <x:v>1</x:v>
      </x:c>
    </x:row>
    <x:row r="777">
      <x:c r="A777" s="15" t="str">
        <x:v>773</x:v>
      </x:c>
      <x:c r="B777" s="9" t="str">
        <x:v>Casey</x:v>
      </x:c>
      <x:c r="C777" s="9" t="str">
        <x:v>Medical</x:v>
      </x:c>
      <x:c r="D777" s="9" t="str">
        <x:v>Midwest</x:v>
      </x:c>
      <x:c r="E777" s="9" t="n">
        <x:v>566</x:v>
      </x:c>
      <x:c r="F777" s="11" t="n">
        <x:v>46060</x:v>
      </x:c>
      <x:c r="G777" s="13" t="n">
        <x:v>23778.97</x:v>
      </x:c>
      <x:c r="H777" s="9" t="n">
        <x:v>225</x:v>
      </x:c>
      <x:c r="I777" s="9" t="n">
        <x:v>1</x:v>
      </x:c>
      <x:c r="J777" s="9" t="n">
        <x:v>0</x:v>
      </x:c>
      <x:c r="K777" s="9" t="n">
        <x:v>0</x:v>
      </x:c>
      <x:c r="L777" s="13" t="n">
        <x:f>SUMIFS('Payments'!$D$5:$D$3014,'Payments'!$B$5:$B$3014,A777)</x:f>
        <x:v>2444.51</x:v>
      </x:c>
      <x:c r="M777" s="13" t="n">
        <x:f>G777-L777</x:f>
        <x:v>21334.46</x:v>
      </x:c>
      <x:c r="N777" s="9" t="str">
        <x:f>IF(H777=0,"0 Current",IF(H777&lt;=30,"1 1-30",IF(H777&lt;=60,"2 31-60",IF(H777&lt;=90,"3 61-90",IF(H777&lt;=120,"4 91-120","5 121+")))))</x:f>
        <x:v>5 121+</x:v>
      </x:c>
      <x:c r="O777" s="9" t="n">
        <x:f>IF(J777&gt;0,1,0)</x:f>
        <x:v>0</x:v>
      </x:c>
    </x:row>
    <x:row r="778">
      <x:c r="A778" s="15" t="str">
        <x:v>774</x:v>
      </x:c>
      <x:c r="B778" s="9" t="str">
        <x:v>Morgan</x:v>
      </x:c>
      <x:c r="C778" s="9" t="str">
        <x:v>Personal Loan</x:v>
      </x:c>
      <x:c r="D778" s="9" t="str">
        <x:v>Northeast</x:v>
      </x:c>
      <x:c r="E778" s="9" t="n">
        <x:v>750</x:v>
      </x:c>
      <x:c r="F778" s="11" t="n">
        <x:v>46128</x:v>
      </x:c>
      <x:c r="G778" s="13" t="n">
        <x:v>17270.95</x:v>
      </x:c>
      <x:c r="H778" s="9" t="n">
        <x:v>76</x:v>
      </x:c>
      <x:c r="I778" s="9" t="n">
        <x:v>3</x:v>
      </x:c>
      <x:c r="J778" s="9" t="n">
        <x:v>2</x:v>
      </x:c>
      <x:c r="K778" s="9" t="n">
        <x:v>0</x:v>
      </x:c>
      <x:c r="L778" s="13" t="n">
        <x:f>SUMIFS('Payments'!$D$5:$D$3014,'Payments'!$B$5:$B$3014,A778)</x:f>
        <x:v>0</x:v>
      </x:c>
      <x:c r="M778" s="13" t="n">
        <x:f>G778-L778</x:f>
        <x:v>17270.95</x:v>
      </x:c>
      <x:c r="N778" s="9" t="str">
        <x:f>IF(H778=0,"0 Current",IF(H778&lt;=30,"1 1-30",IF(H778&lt;=60,"2 31-60",IF(H778&lt;=90,"3 61-90",IF(H778&lt;=120,"4 91-120","5 121+")))))</x:f>
        <x:v>3 61-90</x:v>
      </x:c>
      <x:c r="O778" s="9" t="n">
        <x:f>IF(J778&gt;0,1,0)</x:f>
        <x:v>1</x:v>
      </x:c>
    </x:row>
    <x:row r="779">
      <x:c r="A779" s="15" t="str">
        <x:v>775</x:v>
      </x:c>
      <x:c r="B779" s="9" t="str">
        <x:v>Morgan</x:v>
      </x:c>
      <x:c r="C779" s="9" t="str">
        <x:v>Auto</x:v>
      </x:c>
      <x:c r="D779" s="9" t="str">
        <x:v>Northeast</x:v>
      </x:c>
      <x:c r="E779" s="9" t="n">
        <x:v>734</x:v>
      </x:c>
      <x:c r="F779" s="11" t="n">
        <x:v>46133</x:v>
      </x:c>
      <x:c r="G779" s="13" t="n">
        <x:v>6961.15</x:v>
      </x:c>
      <x:c r="H779" s="9" t="n">
        <x:v>7</x:v>
      </x:c>
      <x:c r="I779" s="9" t="n">
        <x:v>7</x:v>
      </x:c>
      <x:c r="J779" s="9" t="n">
        <x:v>1</x:v>
      </x:c>
      <x:c r="K779" s="9" t="n">
        <x:v>1</x:v>
      </x:c>
      <x:c r="L779" s="13" t="n">
        <x:f>SUMIFS('Payments'!$D$5:$D$3014,'Payments'!$B$5:$B$3014,A779)</x:f>
        <x:v>909.17</x:v>
      </x:c>
      <x:c r="M779" s="13" t="n">
        <x:f>G779-L779</x:f>
        <x:v>6051.98</x:v>
      </x:c>
      <x:c r="N779" s="9" t="str">
        <x:f>IF(H779=0,"0 Current",IF(H779&lt;=30,"1 1-30",IF(H779&lt;=60,"2 31-60",IF(H779&lt;=90,"3 61-90",IF(H779&lt;=120,"4 91-120","5 121+")))))</x:f>
        <x:v>1 1-30</x:v>
      </x:c>
      <x:c r="O779" s="9" t="n">
        <x:f>IF(J779&gt;0,1,0)</x:f>
        <x:v>1</x:v>
      </x:c>
    </x:row>
    <x:row r="780">
      <x:c r="A780" s="15" t="str">
        <x:v>776</x:v>
      </x:c>
      <x:c r="B780" s="9" t="str">
        <x:v>Casey</x:v>
      </x:c>
      <x:c r="C780" s="9" t="str">
        <x:v>Auto</x:v>
      </x:c>
      <x:c r="D780" s="9" t="str">
        <x:v>West</x:v>
      </x:c>
      <x:c r="E780" s="9" t="n">
        <x:v>656</x:v>
      </x:c>
      <x:c r="F780" s="11" t="n">
        <x:v>46044</x:v>
      </x:c>
      <x:c r="G780" s="13" t="n">
        <x:v>856.09</x:v>
      </x:c>
      <x:c r="H780" s="9" t="n">
        <x:v>126</x:v>
      </x:c>
      <x:c r="I780" s="9" t="n">
        <x:v>2</x:v>
      </x:c>
      <x:c r="J780" s="9" t="n">
        <x:v>0</x:v>
      </x:c>
      <x:c r="K780" s="9" t="n">
        <x:v>0</x:v>
      </x:c>
      <x:c r="L780" s="13" t="n">
        <x:f>SUMIFS('Payments'!$D$5:$D$3014,'Payments'!$B$5:$B$3014,A780)</x:f>
        <x:v>0</x:v>
      </x:c>
      <x:c r="M780" s="13" t="n">
        <x:f>G780-L780</x:f>
        <x:v>856.09</x:v>
      </x:c>
      <x:c r="N780" s="9" t="str">
        <x:f>IF(H780=0,"0 Current",IF(H780&lt;=30,"1 1-30",IF(H780&lt;=60,"2 31-60",IF(H780&lt;=90,"3 61-90",IF(H780&lt;=120,"4 91-120","5 121+")))))</x:f>
        <x:v>5 121+</x:v>
      </x:c>
      <x:c r="O780" s="9" t="n">
        <x:f>IF(J780&gt;0,1,0)</x:f>
        <x:v>0</x:v>
      </x:c>
    </x:row>
    <x:row r="781">
      <x:c r="A781" s="15" t="str">
        <x:v>777</x:v>
      </x:c>
      <x:c r="B781" s="9" t="str">
        <x:v>Taylor</x:v>
      </x:c>
      <x:c r="C781" s="9" t="str">
        <x:v>Personal Loan</x:v>
      </x:c>
      <x:c r="D781" s="9" t="str">
        <x:v>Northeast</x:v>
      </x:c>
      <x:c r="E781" s="9" t="n">
        <x:v>650</x:v>
      </x:c>
      <x:c r="F781" s="11" t="n">
        <x:v>46097</x:v>
      </x:c>
      <x:c r="G781" s="13" t="n">
        <x:v>15883.32</x:v>
      </x:c>
      <x:c r="H781" s="9" t="n">
        <x:v>170</x:v>
      </x:c>
      <x:c r="I781" s="9" t="n">
        <x:v>1</x:v>
      </x:c>
      <x:c r="J781" s="9" t="n">
        <x:v>1</x:v>
      </x:c>
      <x:c r="K781" s="9" t="n">
        <x:v>0</x:v>
      </x:c>
      <x:c r="L781" s="13" t="n">
        <x:f>SUMIFS('Payments'!$D$5:$D$3014,'Payments'!$B$5:$B$3014,A781)</x:f>
        <x:v>1670.05</x:v>
      </x:c>
      <x:c r="M781" s="13" t="n">
        <x:f>G781-L781</x:f>
        <x:v>14213.27</x:v>
      </x:c>
      <x:c r="N781" s="9" t="str">
        <x:f>IF(H781=0,"0 Current",IF(H781&lt;=30,"1 1-30",IF(H781&lt;=60,"2 31-60",IF(H781&lt;=90,"3 61-90",IF(H781&lt;=120,"4 91-120","5 121+")))))</x:f>
        <x:v>5 121+</x:v>
      </x:c>
      <x:c r="O781" s="9" t="n">
        <x:f>IF(J781&gt;0,1,0)</x:f>
        <x:v>1</x:v>
      </x:c>
    </x:row>
    <x:row r="782">
      <x:c r="A782" s="15" t="str">
        <x:v>778</x:v>
      </x:c>
      <x:c r="B782" s="9" t="str">
        <x:v>Morgan</x:v>
      </x:c>
      <x:c r="C782" s="9" t="str">
        <x:v>Auto</x:v>
      </x:c>
      <x:c r="D782" s="9" t="str">
        <x:v>South</x:v>
      </x:c>
      <x:c r="E782" s="9" t="n">
        <x:v>584</x:v>
      </x:c>
      <x:c r="F782" s="11" t="n">
        <x:v>46072</x:v>
      </x:c>
      <x:c r="G782" s="13" t="n">
        <x:v>7627.56</x:v>
      </x:c>
      <x:c r="H782" s="9" t="n">
        <x:v>27</x:v>
      </x:c>
      <x:c r="I782" s="9" t="n">
        <x:v>4</x:v>
      </x:c>
      <x:c r="J782" s="9" t="n">
        <x:v>1</x:v>
      </x:c>
      <x:c r="K782" s="9" t="n">
        <x:v>0</x:v>
      </x:c>
      <x:c r="L782" s="13" t="n">
        <x:f>SUMIFS('Payments'!$D$5:$D$3014,'Payments'!$B$5:$B$3014,A782)</x:f>
        <x:v>1604.4</x:v>
      </x:c>
      <x:c r="M782" s="13" t="n">
        <x:f>G782-L782</x:f>
        <x:v>6023.16</x:v>
      </x:c>
      <x:c r="N782" s="9" t="str">
        <x:f>IF(H782=0,"0 Current",IF(H782&lt;=30,"1 1-30",IF(H782&lt;=60,"2 31-60",IF(H782&lt;=90,"3 61-90",IF(H782&lt;=120,"4 91-120","5 121+")))))</x:f>
        <x:v>1 1-30</x:v>
      </x:c>
      <x:c r="O782" s="9" t="n">
        <x:f>IF(J782&gt;0,1,0)</x:f>
        <x:v>1</x:v>
      </x:c>
    </x:row>
    <x:row r="783">
      <x:c r="A783" s="15" t="str">
        <x:v>779</x:v>
      </x:c>
      <x:c r="B783" s="9" t="str">
        <x:v>Jordan</x:v>
      </x:c>
      <x:c r="C783" s="9" t="str">
        <x:v>Medical</x:v>
      </x:c>
      <x:c r="D783" s="9" t="str">
        <x:v>West</x:v>
      </x:c>
      <x:c r="E783" s="9" t="n">
        <x:v>676</x:v>
      </x:c>
      <x:c r="F783" s="11" t="n">
        <x:v>46031</x:v>
      </x:c>
      <x:c r="G783" s="13" t="n">
        <x:v>17000.11</x:v>
      </x:c>
      <x:c r="H783" s="9" t="n">
        <x:v>177</x:v>
      </x:c>
      <x:c r="I783" s="9" t="n">
        <x:v>6</x:v>
      </x:c>
      <x:c r="J783" s="9" t="n">
        <x:v>4</x:v>
      </x:c>
      <x:c r="K783" s="9" t="n">
        <x:v>0</x:v>
      </x:c>
      <x:c r="L783" s="13" t="n">
        <x:f>SUMIFS('Payments'!$D$5:$D$3014,'Payments'!$B$5:$B$3014,A783)</x:f>
        <x:v>3319.99</x:v>
      </x:c>
      <x:c r="M783" s="13" t="n">
        <x:f>G783-L783</x:f>
        <x:v>13680.12</x:v>
      </x:c>
      <x:c r="N783" s="9" t="str">
        <x:f>IF(H783=0,"0 Current",IF(H783&lt;=30,"1 1-30",IF(H783&lt;=60,"2 31-60",IF(H783&lt;=90,"3 61-90",IF(H783&lt;=120,"4 91-120","5 121+")))))</x:f>
        <x:v>5 121+</x:v>
      </x:c>
      <x:c r="O783" s="9" t="n">
        <x:f>IF(J783&gt;0,1,0)</x:f>
        <x:v>1</x:v>
      </x:c>
    </x:row>
    <x:row r="784">
      <x:c r="A784" s="15" t="str">
        <x:v>780</x:v>
      </x:c>
      <x:c r="B784" s="9" t="str">
        <x:v>Alex</x:v>
      </x:c>
      <x:c r="C784" s="9" t="str">
        <x:v>Auto</x:v>
      </x:c>
      <x:c r="D784" s="9" t="str">
        <x:v>South</x:v>
      </x:c>
      <x:c r="E784" s="9" t="n">
        <x:v>451</x:v>
      </x:c>
      <x:c r="F784" s="11" t="n">
        <x:v>46053</x:v>
      </x:c>
      <x:c r="G784" s="13" t="n">
        <x:v>6694.14</x:v>
      </x:c>
      <x:c r="H784" s="9" t="n">
        <x:v>32</x:v>
      </x:c>
      <x:c r="I784" s="9" t="n">
        <x:v>5</x:v>
      </x:c>
      <x:c r="J784" s="9" t="n">
        <x:v>3</x:v>
      </x:c>
      <x:c r="K784" s="9" t="n">
        <x:v>1</x:v>
      </x:c>
      <x:c r="L784" s="13" t="n">
        <x:f>SUMIFS('Payments'!$D$5:$D$3014,'Payments'!$B$5:$B$3014,A784)</x:f>
        <x:v>106.26</x:v>
      </x:c>
      <x:c r="M784" s="13" t="n">
        <x:f>G784-L784</x:f>
        <x:v>6587.88</x:v>
      </x:c>
      <x:c r="N784" s="9" t="str">
        <x:f>IF(H784=0,"0 Current",IF(H784&lt;=30,"1 1-30",IF(H784&lt;=60,"2 31-60",IF(H784&lt;=90,"3 61-90",IF(H784&lt;=120,"4 91-120","5 121+")))))</x:f>
        <x:v>2 31-60</x:v>
      </x:c>
      <x:c r="O784" s="9" t="n">
        <x:f>IF(J784&gt;0,1,0)</x:f>
        <x:v>1</x:v>
      </x:c>
    </x:row>
    <x:row r="785">
      <x:c r="A785" s="15" t="str">
        <x:v>781</x:v>
      </x:c>
      <x:c r="B785" s="9" t="str">
        <x:v>Taylor</x:v>
      </x:c>
      <x:c r="C785" s="9" t="str">
        <x:v>Credit Card</x:v>
      </x:c>
      <x:c r="D785" s="9" t="str">
        <x:v>West</x:v>
      </x:c>
      <x:c r="E785" s="9" t="n">
        <x:v>472</x:v>
      </x:c>
      <x:c r="F785" s="11" t="n">
        <x:v>46076</x:v>
      </x:c>
      <x:c r="G785" s="13" t="n">
        <x:v>20348.63</x:v>
      </x:c>
      <x:c r="H785" s="9" t="n">
        <x:v>93</x:v>
      </x:c>
      <x:c r="I785" s="9" t="n">
        <x:v>5</x:v>
      </x:c>
      <x:c r="J785" s="9" t="n">
        <x:v>1</x:v>
      </x:c>
      <x:c r="K785" s="9" t="n">
        <x:v>0</x:v>
      </x:c>
      <x:c r="L785" s="13" t="n">
        <x:f>SUMIFS('Payments'!$D$5:$D$3014,'Payments'!$B$5:$B$3014,A785)</x:f>
        <x:v>1034.44</x:v>
      </x:c>
      <x:c r="M785" s="13" t="n">
        <x:f>G785-L785</x:f>
        <x:v>19314.190000000002</x:v>
      </x:c>
      <x:c r="N785" s="9" t="str">
        <x:f>IF(H785=0,"0 Current",IF(H785&lt;=30,"1 1-30",IF(H785&lt;=60,"2 31-60",IF(H785&lt;=90,"3 61-90",IF(H785&lt;=120,"4 91-120","5 121+")))))</x:f>
        <x:v>4 91-120</x:v>
      </x:c>
      <x:c r="O785" s="9" t="n">
        <x:f>IF(J785&gt;0,1,0)</x:f>
        <x:v>1</x:v>
      </x:c>
    </x:row>
    <x:row r="786">
      <x:c r="A786" s="15" t="str">
        <x:v>782</x:v>
      </x:c>
      <x:c r="B786" s="9" t="str">
        <x:v>Taylor</x:v>
      </x:c>
      <x:c r="C786" s="9" t="str">
        <x:v>Personal Loan</x:v>
      </x:c>
      <x:c r="D786" s="9" t="str">
        <x:v>Midwest</x:v>
      </x:c>
      <x:c r="E786" s="9" t="n">
        <x:v>785</x:v>
      </x:c>
      <x:c r="F786" s="11" t="n">
        <x:v>46106</x:v>
      </x:c>
      <x:c r="G786" s="13" t="n">
        <x:v>18214.57</x:v>
      </x:c>
      <x:c r="H786" s="9" t="n">
        <x:v>234</x:v>
      </x:c>
      <x:c r="I786" s="9" t="n">
        <x:v>5</x:v>
      </x:c>
      <x:c r="J786" s="9" t="n">
        <x:v>1</x:v>
      </x:c>
      <x:c r="K786" s="9" t="n">
        <x:v>1</x:v>
      </x:c>
      <x:c r="L786" s="13" t="n">
        <x:f>SUMIFS('Payments'!$D$5:$D$3014,'Payments'!$B$5:$B$3014,A786)</x:f>
        <x:v>2795.41</x:v>
      </x:c>
      <x:c r="M786" s="13" t="n">
        <x:f>G786-L786</x:f>
        <x:v>15419.16</x:v>
      </x:c>
      <x:c r="N786" s="9" t="str">
        <x:f>IF(H786=0,"0 Current",IF(H786&lt;=30,"1 1-30",IF(H786&lt;=60,"2 31-60",IF(H786&lt;=90,"3 61-90",IF(H786&lt;=120,"4 91-120","5 121+")))))</x:f>
        <x:v>5 121+</x:v>
      </x:c>
      <x:c r="O786" s="9" t="n">
        <x:f>IF(J786&gt;0,1,0)</x:f>
        <x:v>1</x:v>
      </x:c>
    </x:row>
    <x:row r="787">
      <x:c r="A787" s="15" t="str">
        <x:v>783</x:v>
      </x:c>
      <x:c r="B787" s="9" t="str">
        <x:v>Taylor</x:v>
      </x:c>
      <x:c r="C787" s="9" t="str">
        <x:v>Personal Loan</x:v>
      </x:c>
      <x:c r="D787" s="9" t="str">
        <x:v>Northeast</x:v>
      </x:c>
      <x:c r="E787" s="9" t="n">
        <x:v>678</x:v>
      </x:c>
      <x:c r="F787" s="11" t="n">
        <x:v>46032</x:v>
      </x:c>
      <x:c r="G787" s="13" t="n">
        <x:v>886.93</x:v>
      </x:c>
      <x:c r="H787" s="9" t="n">
        <x:v>182</x:v>
      </x:c>
      <x:c r="I787" s="9" t="n">
        <x:v>1</x:v>
      </x:c>
      <x:c r="J787" s="9" t="n">
        <x:v>1</x:v>
      </x:c>
      <x:c r="K787" s="9" t="n">
        <x:v>0</x:v>
      </x:c>
      <x:c r="L787" s="13" t="n">
        <x:f>SUMIFS('Payments'!$D$5:$D$3014,'Payments'!$B$5:$B$3014,A787)</x:f>
        <x:v>175.98</x:v>
      </x:c>
      <x:c r="M787" s="13" t="n">
        <x:f>G787-L787</x:f>
        <x:v>710.9499999999999</x:v>
      </x:c>
      <x:c r="N787" s="9" t="str">
        <x:f>IF(H787=0,"0 Current",IF(H787&lt;=30,"1 1-30",IF(H787&lt;=60,"2 31-60",IF(H787&lt;=90,"3 61-90",IF(H787&lt;=120,"4 91-120","5 121+")))))</x:f>
        <x:v>5 121+</x:v>
      </x:c>
      <x:c r="O787" s="9" t="n">
        <x:f>IF(J787&gt;0,1,0)</x:f>
        <x:v>1</x:v>
      </x:c>
    </x:row>
    <x:row r="788">
      <x:c r="A788" s="15" t="str">
        <x:v>784</x:v>
      </x:c>
      <x:c r="B788" s="9" t="str">
        <x:v>Casey</x:v>
      </x:c>
      <x:c r="C788" s="9" t="str">
        <x:v>Medical</x:v>
      </x:c>
      <x:c r="D788" s="9" t="str">
        <x:v>South</x:v>
      </x:c>
      <x:c r="E788" s="9" t="n">
        <x:v>440</x:v>
      </x:c>
      <x:c r="F788" s="11" t="n">
        <x:v>46151</x:v>
      </x:c>
      <x:c r="G788" s="13" t="n">
        <x:v>8960.46</x:v>
      </x:c>
      <x:c r="H788" s="9" t="n">
        <x:v>85</x:v>
      </x:c>
      <x:c r="I788" s="9" t="n">
        <x:v>6</x:v>
      </x:c>
      <x:c r="J788" s="9" t="n">
        <x:v>1</x:v>
      </x:c>
      <x:c r="K788" s="9" t="n">
        <x:v>1</x:v>
      </x:c>
      <x:c r="L788" s="13" t="n">
        <x:f>SUMIFS('Payments'!$D$5:$D$3014,'Payments'!$B$5:$B$3014,A788)</x:f>
        <x:v>2486.9</x:v>
      </x:c>
      <x:c r="M788" s="13" t="n">
        <x:f>G788-L788</x:f>
        <x:v>6473.5599999999995</x:v>
      </x:c>
      <x:c r="N788" s="9" t="str">
        <x:f>IF(H788=0,"0 Current",IF(H788&lt;=30,"1 1-30",IF(H788&lt;=60,"2 31-60",IF(H788&lt;=90,"3 61-90",IF(H788&lt;=120,"4 91-120","5 121+")))))</x:f>
        <x:v>3 61-90</x:v>
      </x:c>
      <x:c r="O788" s="9" t="n">
        <x:f>IF(J788&gt;0,1,0)</x:f>
        <x:v>1</x:v>
      </x:c>
    </x:row>
    <x:row r="789">
      <x:c r="A789" s="15" t="str">
        <x:v>785</x:v>
      </x:c>
      <x:c r="B789" s="9" t="str">
        <x:v>Morgan</x:v>
      </x:c>
      <x:c r="C789" s="9" t="str">
        <x:v>Auto</x:v>
      </x:c>
      <x:c r="D789" s="9" t="str">
        <x:v>South</x:v>
      </x:c>
      <x:c r="E789" s="9" t="n">
        <x:v>782</x:v>
      </x:c>
      <x:c r="F789" s="11" t="n">
        <x:v>46127</x:v>
      </x:c>
      <x:c r="G789" s="13" t="n">
        <x:v>3133.95</x:v>
      </x:c>
      <x:c r="H789" s="9" t="n">
        <x:v>237</x:v>
      </x:c>
      <x:c r="I789" s="9" t="n">
        <x:v>4</x:v>
      </x:c>
      <x:c r="J789" s="9" t="n">
        <x:v>2</x:v>
      </x:c>
      <x:c r="K789" s="9" t="n">
        <x:v>0</x:v>
      </x:c>
      <x:c r="L789" s="13" t="n">
        <x:f>SUMIFS('Payments'!$D$5:$D$3014,'Payments'!$B$5:$B$3014,A789)</x:f>
        <x:v>757.4100000000001</x:v>
      </x:c>
      <x:c r="M789" s="13" t="n">
        <x:f>G789-L789</x:f>
        <x:v>2376.54</x:v>
      </x:c>
      <x:c r="N789" s="9" t="str">
        <x:f>IF(H789=0,"0 Current",IF(H789&lt;=30,"1 1-30",IF(H789&lt;=60,"2 31-60",IF(H789&lt;=90,"3 61-90",IF(H789&lt;=120,"4 91-120","5 121+")))))</x:f>
        <x:v>5 121+</x:v>
      </x:c>
      <x:c r="O789" s="9" t="n">
        <x:f>IF(J789&gt;0,1,0)</x:f>
        <x:v>1</x:v>
      </x:c>
    </x:row>
    <x:row r="790">
      <x:c r="A790" s="15" t="str">
        <x:v>786</x:v>
      </x:c>
      <x:c r="B790" s="9" t="str">
        <x:v>Casey</x:v>
      </x:c>
      <x:c r="C790" s="9" t="str">
        <x:v>Auto</x:v>
      </x:c>
      <x:c r="D790" s="9" t="str">
        <x:v>West</x:v>
      </x:c>
      <x:c r="E790" s="9" t="n">
        <x:v>644</x:v>
      </x:c>
      <x:c r="F790" s="11" t="n">
        <x:v>46081</x:v>
      </x:c>
      <x:c r="G790" s="13" t="n">
        <x:v>2200.54</x:v>
      </x:c>
      <x:c r="H790" s="9" t="n">
        <x:v>61</x:v>
      </x:c>
      <x:c r="I790" s="9" t="n">
        <x:v>4</x:v>
      </x:c>
      <x:c r="J790" s="9" t="n">
        <x:v>3</x:v>
      </x:c>
      <x:c r="K790" s="9" t="n">
        <x:v>1</x:v>
      </x:c>
      <x:c r="L790" s="13" t="n">
        <x:f>SUMIFS('Payments'!$D$5:$D$3014,'Payments'!$B$5:$B$3014,A790)</x:f>
        <x:v>71.31</x:v>
      </x:c>
      <x:c r="M790" s="13" t="n">
        <x:f>G790-L790</x:f>
        <x:v>2129.23</x:v>
      </x:c>
      <x:c r="N790" s="9" t="str">
        <x:f>IF(H790=0,"0 Current",IF(H790&lt;=30,"1 1-30",IF(H790&lt;=60,"2 31-60",IF(H790&lt;=90,"3 61-90",IF(H790&lt;=120,"4 91-120","5 121+")))))</x:f>
        <x:v>3 61-90</x:v>
      </x:c>
      <x:c r="O790" s="9" t="n">
        <x:f>IF(J790&gt;0,1,0)</x:f>
        <x:v>1</x:v>
      </x:c>
    </x:row>
    <x:row r="791">
      <x:c r="A791" s="15" t="str">
        <x:v>787</x:v>
      </x:c>
      <x:c r="B791" s="9" t="str">
        <x:v>Morgan</x:v>
      </x:c>
      <x:c r="C791" s="9" t="str">
        <x:v>Medical</x:v>
      </x:c>
      <x:c r="D791" s="9" t="str">
        <x:v>South</x:v>
      </x:c>
      <x:c r="E791" s="9" t="n">
        <x:v>606</x:v>
      </x:c>
      <x:c r="F791" s="11" t="n">
        <x:v>46101</x:v>
      </x:c>
      <x:c r="G791" s="13" t="n">
        <x:v>2647.3</x:v>
      </x:c>
      <x:c r="H791" s="9" t="n">
        <x:v>136</x:v>
      </x:c>
      <x:c r="I791" s="9" t="n">
        <x:v>5</x:v>
      </x:c>
      <x:c r="J791" s="9" t="n">
        <x:v>0</x:v>
      </x:c>
      <x:c r="K791" s="9" t="n">
        <x:v>0</x:v>
      </x:c>
      <x:c r="L791" s="13" t="n">
        <x:f>SUMIFS('Payments'!$D$5:$D$3014,'Payments'!$B$5:$B$3014,A791)</x:f>
        <x:v>659.23</x:v>
      </x:c>
      <x:c r="M791" s="13" t="n">
        <x:f>G791-L791</x:f>
        <x:v>1988.0700000000002</x:v>
      </x:c>
      <x:c r="N791" s="9" t="str">
        <x:f>IF(H791=0,"0 Current",IF(H791&lt;=30,"1 1-30",IF(H791&lt;=60,"2 31-60",IF(H791&lt;=90,"3 61-90",IF(H791&lt;=120,"4 91-120","5 121+")))))</x:f>
        <x:v>5 121+</x:v>
      </x:c>
      <x:c r="O791" s="9" t="n">
        <x:f>IF(J791&gt;0,1,0)</x:f>
        <x:v>0</x:v>
      </x:c>
    </x:row>
    <x:row r="792">
      <x:c r="A792" s="15" t="str">
        <x:v>788</x:v>
      </x:c>
      <x:c r="B792" s="9" t="str">
        <x:v>Casey</x:v>
      </x:c>
      <x:c r="C792" s="9" t="str">
        <x:v>Personal Loan</x:v>
      </x:c>
      <x:c r="D792" s="9" t="str">
        <x:v>Midwest</x:v>
      </x:c>
      <x:c r="E792" s="9" t="n">
        <x:v>564</x:v>
      </x:c>
      <x:c r="F792" s="11" t="n">
        <x:v>46056</x:v>
      </x:c>
      <x:c r="G792" s="13" t="n">
        <x:v>11329.4</x:v>
      </x:c>
      <x:c r="H792" s="9" t="n">
        <x:v>171</x:v>
      </x:c>
      <x:c r="I792" s="9" t="n">
        <x:v>2</x:v>
      </x:c>
      <x:c r="J792" s="9" t="n">
        <x:v>0</x:v>
      </x:c>
      <x:c r="K792" s="9" t="n">
        <x:v>0</x:v>
      </x:c>
      <x:c r="L792" s="13" t="n">
        <x:f>SUMIFS('Payments'!$D$5:$D$3014,'Payments'!$B$5:$B$3014,A792)</x:f>
        <x:v>2227.3100000000004</x:v>
      </x:c>
      <x:c r="M792" s="13" t="n">
        <x:f>G792-L792</x:f>
        <x:v>9102.09</x:v>
      </x:c>
      <x:c r="N792" s="9" t="str">
        <x:f>IF(H792=0,"0 Current",IF(H792&lt;=30,"1 1-30",IF(H792&lt;=60,"2 31-60",IF(H792&lt;=90,"3 61-90",IF(H792&lt;=120,"4 91-120","5 121+")))))</x:f>
        <x:v>5 121+</x:v>
      </x:c>
      <x:c r="O792" s="9" t="n">
        <x:f>IF(J792&gt;0,1,0)</x:f>
        <x:v>0</x:v>
      </x:c>
    </x:row>
    <x:row r="793">
      <x:c r="A793" s="15" t="str">
        <x:v>789</x:v>
      </x:c>
      <x:c r="B793" s="9" t="str">
        <x:v>Taylor</x:v>
      </x:c>
      <x:c r="C793" s="9" t="str">
        <x:v>Credit Card</x:v>
      </x:c>
      <x:c r="D793" s="9" t="str">
        <x:v>West</x:v>
      </x:c>
      <x:c r="E793" s="9" t="n">
        <x:v>629</x:v>
      </x:c>
      <x:c r="F793" s="11" t="n">
        <x:v>46161</x:v>
      </x:c>
      <x:c r="G793" s="13" t="n">
        <x:v>23513.33</x:v>
      </x:c>
      <x:c r="H793" s="9" t="n">
        <x:v>19</x:v>
      </x:c>
      <x:c r="I793" s="9" t="n">
        <x:v>3</x:v>
      </x:c>
      <x:c r="J793" s="9" t="n">
        <x:v>3</x:v>
      </x:c>
      <x:c r="K793" s="9" t="n">
        <x:v>1</x:v>
      </x:c>
      <x:c r="L793" s="13" t="n">
        <x:f>SUMIFS('Payments'!$D$5:$D$3014,'Payments'!$B$5:$B$3014,A793)</x:f>
        <x:v>646.69</x:v>
      </x:c>
      <x:c r="M793" s="13" t="n">
        <x:f>G793-L793</x:f>
        <x:v>22866.640000000003</x:v>
      </x:c>
      <x:c r="N793" s="9" t="str">
        <x:f>IF(H793=0,"0 Current",IF(H793&lt;=30,"1 1-30",IF(H793&lt;=60,"2 31-60",IF(H793&lt;=90,"3 61-90",IF(H793&lt;=120,"4 91-120","5 121+")))))</x:f>
        <x:v>1 1-30</x:v>
      </x:c>
      <x:c r="O793" s="9" t="n">
        <x:f>IF(J793&gt;0,1,0)</x:f>
        <x:v>1</x:v>
      </x:c>
    </x:row>
    <x:row r="794">
      <x:c r="A794" s="15" t="str">
        <x:v>790</x:v>
      </x:c>
      <x:c r="B794" s="9" t="str">
        <x:v>Riley</x:v>
      </x:c>
      <x:c r="C794" s="9" t="str">
        <x:v>Auto</x:v>
      </x:c>
      <x:c r="D794" s="9" t="str">
        <x:v>Midwest</x:v>
      </x:c>
      <x:c r="E794" s="9" t="n">
        <x:v>767</x:v>
      </x:c>
      <x:c r="F794" s="11" t="n">
        <x:v>46109</x:v>
      </x:c>
      <x:c r="G794" s="13" t="n">
        <x:v>5593.52</x:v>
      </x:c>
      <x:c r="H794" s="9" t="n">
        <x:v>130</x:v>
      </x:c>
      <x:c r="I794" s="9" t="n">
        <x:v>7</x:v>
      </x:c>
      <x:c r="J794" s="9" t="n">
        <x:v>4</x:v>
      </x:c>
      <x:c r="K794" s="9" t="n">
        <x:v>1</x:v>
      </x:c>
      <x:c r="L794" s="13" t="n">
        <x:f>SUMIFS('Payments'!$D$5:$D$3014,'Payments'!$B$5:$B$3014,A794)</x:f>
        <x:v>0</x:v>
      </x:c>
      <x:c r="M794" s="13" t="n">
        <x:f>G794-L794</x:f>
        <x:v>5593.52</x:v>
      </x:c>
      <x:c r="N794" s="9" t="str">
        <x:f>IF(H794=0,"0 Current",IF(H794&lt;=30,"1 1-30",IF(H794&lt;=60,"2 31-60",IF(H794&lt;=90,"3 61-90",IF(H794&lt;=120,"4 91-120","5 121+")))))</x:f>
        <x:v>5 121+</x:v>
      </x:c>
      <x:c r="O794" s="9" t="n">
        <x:f>IF(J794&gt;0,1,0)</x:f>
        <x:v>1</x:v>
      </x:c>
    </x:row>
    <x:row r="795">
      <x:c r="A795" s="15" t="str">
        <x:v>791</x:v>
      </x:c>
      <x:c r="B795" s="9" t="str">
        <x:v>Casey</x:v>
      </x:c>
      <x:c r="C795" s="9" t="str">
        <x:v>Medical</x:v>
      </x:c>
      <x:c r="D795" s="9" t="str">
        <x:v>Northeast</x:v>
      </x:c>
      <x:c r="E795" s="9" t="n">
        <x:v>743</x:v>
      </x:c>
      <x:c r="F795" s="11" t="n">
        <x:v>46045</x:v>
      </x:c>
      <x:c r="G795" s="13" t="n">
        <x:v>3160.57</x:v>
      </x:c>
      <x:c r="H795" s="9" t="n">
        <x:v>87</x:v>
      </x:c>
      <x:c r="I795" s="9" t="n">
        <x:v>3</x:v>
      </x:c>
      <x:c r="J795" s="9" t="n">
        <x:v>2</x:v>
      </x:c>
      <x:c r="K795" s="9" t="n">
        <x:v>1</x:v>
      </x:c>
      <x:c r="L795" s="13" t="n">
        <x:f>SUMIFS('Payments'!$D$5:$D$3014,'Payments'!$B$5:$B$3014,A795)</x:f>
        <x:v>352.15</x:v>
      </x:c>
      <x:c r="M795" s="13" t="n">
        <x:f>G795-L795</x:f>
        <x:v>2808.42</x:v>
      </x:c>
      <x:c r="N795" s="9" t="str">
        <x:f>IF(H795=0,"0 Current",IF(H795&lt;=30,"1 1-30",IF(H795&lt;=60,"2 31-60",IF(H795&lt;=90,"3 61-90",IF(H795&lt;=120,"4 91-120","5 121+")))))</x:f>
        <x:v>3 61-90</x:v>
      </x:c>
      <x:c r="O795" s="9" t="n">
        <x:f>IF(J795&gt;0,1,0)</x:f>
        <x:v>1</x:v>
      </x:c>
    </x:row>
    <x:row r="796">
      <x:c r="A796" s="15" t="str">
        <x:v>792</x:v>
      </x:c>
      <x:c r="B796" s="9" t="str">
        <x:v>Riley</x:v>
      </x:c>
      <x:c r="C796" s="9" t="str">
        <x:v>Auto</x:v>
      </x:c>
      <x:c r="D796" s="9" t="str">
        <x:v>Midwest</x:v>
      </x:c>
      <x:c r="E796" s="9" t="n">
        <x:v>453</x:v>
      </x:c>
      <x:c r="F796" s="11" t="n">
        <x:v>46133</x:v>
      </x:c>
      <x:c r="G796" s="13" t="n">
        <x:v>4844.01</x:v>
      </x:c>
      <x:c r="H796" s="9" t="n">
        <x:v>54</x:v>
      </x:c>
      <x:c r="I796" s="9" t="n">
        <x:v>1</x:v>
      </x:c>
      <x:c r="J796" s="9" t="n">
        <x:v>1</x:v>
      </x:c>
      <x:c r="K796" s="9" t="n">
        <x:v>0</x:v>
      </x:c>
      <x:c r="L796" s="13" t="n">
        <x:f>SUMIFS('Payments'!$D$5:$D$3014,'Payments'!$B$5:$B$3014,A796)</x:f>
        <x:v>134.61</x:v>
      </x:c>
      <x:c r="M796" s="13" t="n">
        <x:f>G796-L796</x:f>
        <x:v>4709.400000000001</x:v>
      </x:c>
      <x:c r="N796" s="9" t="str">
        <x:f>IF(H796=0,"0 Current",IF(H796&lt;=30,"1 1-30",IF(H796&lt;=60,"2 31-60",IF(H796&lt;=90,"3 61-90",IF(H796&lt;=120,"4 91-120","5 121+")))))</x:f>
        <x:v>2 31-60</x:v>
      </x:c>
      <x:c r="O796" s="9" t="n">
        <x:f>IF(J796&gt;0,1,0)</x:f>
        <x:v>1</x:v>
      </x:c>
    </x:row>
    <x:row r="797">
      <x:c r="A797" s="15" t="str">
        <x:v>793</x:v>
      </x:c>
      <x:c r="B797" s="9" t="str">
        <x:v>Morgan</x:v>
      </x:c>
      <x:c r="C797" s="9" t="str">
        <x:v>Auto</x:v>
      </x:c>
      <x:c r="D797" s="9" t="str">
        <x:v>Midwest</x:v>
      </x:c>
      <x:c r="E797" s="9" t="n">
        <x:v>468</x:v>
      </x:c>
      <x:c r="F797" s="11" t="n">
        <x:v>46149</x:v>
      </x:c>
      <x:c r="G797" s="13" t="n">
        <x:v>23881.47</x:v>
      </x:c>
      <x:c r="H797" s="9" t="n">
        <x:v>82</x:v>
      </x:c>
      <x:c r="I797" s="9" t="n">
        <x:v>3</x:v>
      </x:c>
      <x:c r="J797" s="9" t="n">
        <x:v>2</x:v>
      </x:c>
      <x:c r="K797" s="9" t="n">
        <x:v>1</x:v>
      </x:c>
      <x:c r="L797" s="13" t="n">
        <x:f>SUMIFS('Payments'!$D$5:$D$3014,'Payments'!$B$5:$B$3014,A797)</x:f>
        <x:v>1254.65</x:v>
      </x:c>
      <x:c r="M797" s="13" t="n">
        <x:f>G797-L797</x:f>
        <x:v>22626.82</x:v>
      </x:c>
      <x:c r="N797" s="9" t="str">
        <x:f>IF(H797=0,"0 Current",IF(H797&lt;=30,"1 1-30",IF(H797&lt;=60,"2 31-60",IF(H797&lt;=90,"3 61-90",IF(H797&lt;=120,"4 91-120","5 121+")))))</x:f>
        <x:v>3 61-90</x:v>
      </x:c>
      <x:c r="O797" s="9" t="n">
        <x:f>IF(J797&gt;0,1,0)</x:f>
        <x:v>1</x:v>
      </x:c>
    </x:row>
    <x:row r="798">
      <x:c r="A798" s="15" t="str">
        <x:v>794</x:v>
      </x:c>
      <x:c r="B798" s="9" t="str">
        <x:v>Jordan</x:v>
      </x:c>
      <x:c r="C798" s="9" t="str">
        <x:v>Auto</x:v>
      </x:c>
      <x:c r="D798" s="9" t="str">
        <x:v>West</x:v>
      </x:c>
      <x:c r="E798" s="9" t="n">
        <x:v>565</x:v>
      </x:c>
      <x:c r="F798" s="11" t="n">
        <x:v>46129</x:v>
      </x:c>
      <x:c r="G798" s="13" t="n">
        <x:v>811.96</x:v>
      </x:c>
      <x:c r="H798" s="9" t="n">
        <x:v>21</x:v>
      </x:c>
      <x:c r="I798" s="9" t="n">
        <x:v>8</x:v>
      </x:c>
      <x:c r="J798" s="9" t="n">
        <x:v>3</x:v>
      </x:c>
      <x:c r="K798" s="9" t="n">
        <x:v>0</x:v>
      </x:c>
      <x:c r="L798" s="13" t="n">
        <x:f>SUMIFS('Payments'!$D$5:$D$3014,'Payments'!$B$5:$B$3014,A798)</x:f>
        <x:v>25.72</x:v>
      </x:c>
      <x:c r="M798" s="13" t="n">
        <x:f>G798-L798</x:f>
        <x:v>786.24</x:v>
      </x:c>
      <x:c r="N798" s="9" t="str">
        <x:f>IF(H798=0,"0 Current",IF(H798&lt;=30,"1 1-30",IF(H798&lt;=60,"2 31-60",IF(H798&lt;=90,"3 61-90",IF(H798&lt;=120,"4 91-120","5 121+")))))</x:f>
        <x:v>1 1-30</x:v>
      </x:c>
      <x:c r="O798" s="9" t="n">
        <x:f>IF(J798&gt;0,1,0)</x:f>
        <x:v>1</x:v>
      </x:c>
    </x:row>
    <x:row r="799">
      <x:c r="A799" s="15" t="str">
        <x:v>795</x:v>
      </x:c>
      <x:c r="B799" s="9" t="str">
        <x:v>Jordan</x:v>
      </x:c>
      <x:c r="C799" s="9" t="str">
        <x:v>Medical</x:v>
      </x:c>
      <x:c r="D799" s="9" t="str">
        <x:v>Midwest</x:v>
      </x:c>
      <x:c r="E799" s="9" t="n">
        <x:v>790</x:v>
      </x:c>
      <x:c r="F799" s="11" t="n">
        <x:v>46050</x:v>
      </x:c>
      <x:c r="G799" s="13" t="n">
        <x:v>2803.21</x:v>
      </x:c>
      <x:c r="H799" s="9" t="n">
        <x:v>178</x:v>
      </x:c>
      <x:c r="I799" s="9" t="n">
        <x:v>6</x:v>
      </x:c>
      <x:c r="J799" s="9" t="n">
        <x:v>3</x:v>
      </x:c>
      <x:c r="K799" s="9" t="n">
        <x:v>1</x:v>
      </x:c>
      <x:c r="L799" s="13" t="n">
        <x:f>SUMIFS('Payments'!$D$5:$D$3014,'Payments'!$B$5:$B$3014,A799)</x:f>
        <x:v>452.69</x:v>
      </x:c>
      <x:c r="M799" s="13" t="n">
        <x:f>G799-L799</x:f>
        <x:v>2350.52</x:v>
      </x:c>
      <x:c r="N799" s="9" t="str">
        <x:f>IF(H799=0,"0 Current",IF(H799&lt;=30,"1 1-30",IF(H799&lt;=60,"2 31-60",IF(H799&lt;=90,"3 61-90",IF(H799&lt;=120,"4 91-120","5 121+")))))</x:f>
        <x:v>5 121+</x:v>
      </x:c>
      <x:c r="O799" s="9" t="n">
        <x:f>IF(J799&gt;0,1,0)</x:f>
        <x:v>1</x:v>
      </x:c>
    </x:row>
    <x:row r="800">
      <x:c r="A800" s="15" t="str">
        <x:v>796</x:v>
      </x:c>
      <x:c r="B800" s="9" t="str">
        <x:v>Jordan</x:v>
      </x:c>
      <x:c r="C800" s="9" t="str">
        <x:v>Credit Card</x:v>
      </x:c>
      <x:c r="D800" s="9" t="str">
        <x:v>South</x:v>
      </x:c>
      <x:c r="E800" s="9" t="n">
        <x:v>590</x:v>
      </x:c>
      <x:c r="F800" s="11" t="n">
        <x:v>46157</x:v>
      </x:c>
      <x:c r="G800" s="13" t="n">
        <x:v>4699.44</x:v>
      </x:c>
      <x:c r="H800" s="9" t="n">
        <x:v>24</x:v>
      </x:c>
      <x:c r="I800" s="9" t="n">
        <x:v>2</x:v>
      </x:c>
      <x:c r="J800" s="9" t="n">
        <x:v>0</x:v>
      </x:c>
      <x:c r="K800" s="9" t="n">
        <x:v>0</x:v>
      </x:c>
      <x:c r="L800" s="13" t="n">
        <x:f>SUMIFS('Payments'!$D$5:$D$3014,'Payments'!$B$5:$B$3014,A800)</x:f>
        <x:v>731.91</x:v>
      </x:c>
      <x:c r="M800" s="13" t="n">
        <x:f>G800-L800</x:f>
        <x:v>3967.5299999999997</x:v>
      </x:c>
      <x:c r="N800" s="9" t="str">
        <x:f>IF(H800=0,"0 Current",IF(H800&lt;=30,"1 1-30",IF(H800&lt;=60,"2 31-60",IF(H800&lt;=90,"3 61-90",IF(H800&lt;=120,"4 91-120","5 121+")))))</x:f>
        <x:v>1 1-30</x:v>
      </x:c>
      <x:c r="O800" s="9" t="n">
        <x:f>IF(J800&gt;0,1,0)</x:f>
        <x:v>0</x:v>
      </x:c>
    </x:row>
    <x:row r="801">
      <x:c r="A801" s="15" t="str">
        <x:v>797</x:v>
      </x:c>
      <x:c r="B801" s="9" t="str">
        <x:v>Riley</x:v>
      </x:c>
      <x:c r="C801" s="9" t="str">
        <x:v>Credit Card</x:v>
      </x:c>
      <x:c r="D801" s="9" t="str">
        <x:v>Northeast</x:v>
      </x:c>
      <x:c r="E801" s="9" t="n">
        <x:v>718</x:v>
      </x:c>
      <x:c r="F801" s="11" t="n">
        <x:v>46093</x:v>
      </x:c>
      <x:c r="G801" s="13" t="n">
        <x:v>13564.77</x:v>
      </x:c>
      <x:c r="H801" s="9" t="n">
        <x:v>207</x:v>
      </x:c>
      <x:c r="I801" s="9" t="n">
        <x:v>6</x:v>
      </x:c>
      <x:c r="J801" s="9" t="n">
        <x:v>3</x:v>
      </x:c>
      <x:c r="K801" s="9" t="n">
        <x:v>1</x:v>
      </x:c>
      <x:c r="L801" s="13" t="n">
        <x:f>SUMIFS('Payments'!$D$5:$D$3014,'Payments'!$B$5:$B$3014,A801)</x:f>
        <x:v>5212.96</x:v>
      </x:c>
      <x:c r="M801" s="13" t="n">
        <x:f>G801-L801</x:f>
        <x:v>8351.810000000001</x:v>
      </x:c>
      <x:c r="N801" s="9" t="str">
        <x:f>IF(H801=0,"0 Current",IF(H801&lt;=30,"1 1-30",IF(H801&lt;=60,"2 31-60",IF(H801&lt;=90,"3 61-90",IF(H801&lt;=120,"4 91-120","5 121+")))))</x:f>
        <x:v>5 121+</x:v>
      </x:c>
      <x:c r="O801" s="9" t="n">
        <x:f>IF(J801&gt;0,1,0)</x:f>
        <x:v>1</x:v>
      </x:c>
    </x:row>
    <x:row r="802">
      <x:c r="A802" s="15" t="str">
        <x:v>798</x:v>
      </x:c>
      <x:c r="B802" s="9" t="str">
        <x:v>Morgan</x:v>
      </x:c>
      <x:c r="C802" s="9" t="str">
        <x:v>Credit Card</x:v>
      </x:c>
      <x:c r="D802" s="9" t="str">
        <x:v>South</x:v>
      </x:c>
      <x:c r="E802" s="9" t="n">
        <x:v>599</x:v>
      </x:c>
      <x:c r="F802" s="11" t="n">
        <x:v>46024</x:v>
      </x:c>
      <x:c r="G802" s="13" t="n">
        <x:v>4980.72</x:v>
      </x:c>
      <x:c r="H802" s="9" t="n">
        <x:v>120</x:v>
      </x:c>
      <x:c r="I802" s="9" t="n">
        <x:v>2</x:v>
      </x:c>
      <x:c r="J802" s="9" t="n">
        <x:v>1</x:v>
      </x:c>
      <x:c r="K802" s="9" t="n">
        <x:v>1</x:v>
      </x:c>
      <x:c r="L802" s="13" t="n">
        <x:f>SUMIFS('Payments'!$D$5:$D$3014,'Payments'!$B$5:$B$3014,A802)</x:f>
        <x:v>356.11</x:v>
      </x:c>
      <x:c r="M802" s="13" t="n">
        <x:f>G802-L802</x:f>
        <x:v>4624.610000000001</x:v>
      </x:c>
      <x:c r="N802" s="9" t="str">
        <x:f>IF(H802=0,"0 Current",IF(H802&lt;=30,"1 1-30",IF(H802&lt;=60,"2 31-60",IF(H802&lt;=90,"3 61-90",IF(H802&lt;=120,"4 91-120","5 121+")))))</x:f>
        <x:v>4 91-120</x:v>
      </x:c>
      <x:c r="O802" s="9" t="n">
        <x:f>IF(J802&gt;0,1,0)</x:f>
        <x:v>1</x:v>
      </x:c>
    </x:row>
    <x:row r="803">
      <x:c r="A803" s="15" t="str">
        <x:v>799</x:v>
      </x:c>
      <x:c r="B803" s="9" t="str">
        <x:v>Taylor</x:v>
      </x:c>
      <x:c r="C803" s="9" t="str">
        <x:v>Credit Card</x:v>
      </x:c>
      <x:c r="D803" s="9" t="str">
        <x:v>Midwest</x:v>
      </x:c>
      <x:c r="E803" s="9" t="n">
        <x:v>755</x:v>
      </x:c>
      <x:c r="F803" s="11" t="n">
        <x:v>46066</x:v>
      </x:c>
      <x:c r="G803" s="13" t="n">
        <x:v>8264.88</x:v>
      </x:c>
      <x:c r="H803" s="9" t="n">
        <x:v>161</x:v>
      </x:c>
      <x:c r="I803" s="9" t="n">
        <x:v>7</x:v>
      </x:c>
      <x:c r="J803" s="9" t="n">
        <x:v>2</x:v>
      </x:c>
      <x:c r="K803" s="9" t="n">
        <x:v>0</x:v>
      </x:c>
      <x:c r="L803" s="13" t="n">
        <x:f>SUMIFS('Payments'!$D$5:$D$3014,'Payments'!$B$5:$B$3014,A803)</x:f>
        <x:v>0</x:v>
      </x:c>
      <x:c r="M803" s="13" t="n">
        <x:f>G803-L803</x:f>
        <x:v>8264.88</x:v>
      </x:c>
      <x:c r="N803" s="9" t="str">
        <x:f>IF(H803=0,"0 Current",IF(H803&lt;=30,"1 1-30",IF(H803&lt;=60,"2 31-60",IF(H803&lt;=90,"3 61-90",IF(H803&lt;=120,"4 91-120","5 121+")))))</x:f>
        <x:v>5 121+</x:v>
      </x:c>
      <x:c r="O803" s="9" t="n">
        <x:f>IF(J803&gt;0,1,0)</x:f>
        <x:v>1</x:v>
      </x:c>
    </x:row>
    <x:row r="804">
      <x:c r="A804" s="15" t="str">
        <x:v>800</x:v>
      </x:c>
      <x:c r="B804" s="9" t="str">
        <x:v>Casey</x:v>
      </x:c>
      <x:c r="C804" s="9" t="str">
        <x:v>Personal Loan</x:v>
      </x:c>
      <x:c r="D804" s="9" t="str">
        <x:v>West</x:v>
      </x:c>
      <x:c r="E804" s="9" t="n">
        <x:v>486</x:v>
      </x:c>
      <x:c r="F804" s="11" t="n">
        <x:v>46077</x:v>
      </x:c>
      <x:c r="G804" s="13" t="n">
        <x:v>16792.4</x:v>
      </x:c>
      <x:c r="H804" s="9" t="n">
        <x:v>88</x:v>
      </x:c>
      <x:c r="I804" s="9" t="n">
        <x:v>6</x:v>
      </x:c>
      <x:c r="J804" s="9" t="n">
        <x:v>3</x:v>
      </x:c>
      <x:c r="K804" s="9" t="n">
        <x:v>1</x:v>
      </x:c>
      <x:c r="L804" s="13" t="n">
        <x:f>SUMIFS('Payments'!$D$5:$D$3014,'Payments'!$B$5:$B$3014,A804)</x:f>
        <x:v>1070.42</x:v>
      </x:c>
      <x:c r="M804" s="13" t="n">
        <x:f>G804-L804</x:f>
        <x:v>15721.980000000001</x:v>
      </x:c>
      <x:c r="N804" s="9" t="str">
        <x:f>IF(H804=0,"0 Current",IF(H804&lt;=30,"1 1-30",IF(H804&lt;=60,"2 31-60",IF(H804&lt;=90,"3 61-90",IF(H804&lt;=120,"4 91-120","5 121+")))))</x:f>
        <x:v>3 61-90</x:v>
      </x:c>
      <x:c r="O804" s="9" t="n">
        <x:f>IF(J804&gt;0,1,0)</x:f>
        <x:v>1</x:v>
      </x:c>
    </x:row>
    <x:row r="805">
      <x:c r="A805" s="15" t="str">
        <x:v>801</x:v>
      </x:c>
      <x:c r="B805" s="9" t="str">
        <x:v>Taylor</x:v>
      </x:c>
      <x:c r="C805" s="9" t="str">
        <x:v>Personal Loan</x:v>
      </x:c>
      <x:c r="D805" s="9" t="str">
        <x:v>Northeast</x:v>
      </x:c>
      <x:c r="E805" s="9" t="n">
        <x:v>578</x:v>
      </x:c>
      <x:c r="F805" s="11" t="n">
        <x:v>46126</x:v>
      </x:c>
      <x:c r="G805" s="13" t="n">
        <x:v>8518.03</x:v>
      </x:c>
      <x:c r="H805" s="9" t="n">
        <x:v>176</x:v>
      </x:c>
      <x:c r="I805" s="9" t="n">
        <x:v>1</x:v>
      </x:c>
      <x:c r="J805" s="9" t="n">
        <x:v>0</x:v>
      </x:c>
      <x:c r="K805" s="9" t="n">
        <x:v>0</x:v>
      </x:c>
      <x:c r="L805" s="13" t="n">
        <x:f>SUMIFS('Payments'!$D$5:$D$3014,'Payments'!$B$5:$B$3014,A805)</x:f>
        <x:v>765.78</x:v>
      </x:c>
      <x:c r="M805" s="13" t="n">
        <x:f>G805-L805</x:f>
        <x:v>7752.250000000001</x:v>
      </x:c>
      <x:c r="N805" s="9" t="str">
        <x:f>IF(H805=0,"0 Current",IF(H805&lt;=30,"1 1-30",IF(H805&lt;=60,"2 31-60",IF(H805&lt;=90,"3 61-90",IF(H805&lt;=120,"4 91-120","5 121+")))))</x:f>
        <x:v>5 121+</x:v>
      </x:c>
      <x:c r="O805" s="9" t="n">
        <x:f>IF(J805&gt;0,1,0)</x:f>
        <x:v>0</x:v>
      </x:c>
    </x:row>
    <x:row r="806">
      <x:c r="A806" s="15" t="str">
        <x:v>802</x:v>
      </x:c>
      <x:c r="B806" s="9" t="str">
        <x:v>Casey</x:v>
      </x:c>
      <x:c r="C806" s="9" t="str">
        <x:v>Credit Card</x:v>
      </x:c>
      <x:c r="D806" s="9" t="str">
        <x:v>West</x:v>
      </x:c>
      <x:c r="E806" s="9" t="n">
        <x:v>749</x:v>
      </x:c>
      <x:c r="F806" s="11" t="n">
        <x:v>46033</x:v>
      </x:c>
      <x:c r="G806" s="13" t="n">
        <x:v>10182.78</x:v>
      </x:c>
      <x:c r="H806" s="9" t="n">
        <x:v>187</x:v>
      </x:c>
      <x:c r="I806" s="9" t="n">
        <x:v>6</x:v>
      </x:c>
      <x:c r="J806" s="9" t="n">
        <x:v>3</x:v>
      </x:c>
      <x:c r="K806" s="9" t="n">
        <x:v>1</x:v>
      </x:c>
      <x:c r="L806" s="13" t="n">
        <x:f>SUMIFS('Payments'!$D$5:$D$3014,'Payments'!$B$5:$B$3014,A806)</x:f>
        <x:v>0</x:v>
      </x:c>
      <x:c r="M806" s="13" t="n">
        <x:f>G806-L806</x:f>
        <x:v>10182.78</x:v>
      </x:c>
      <x:c r="N806" s="9" t="str">
        <x:f>IF(H806=0,"0 Current",IF(H806&lt;=30,"1 1-30",IF(H806&lt;=60,"2 31-60",IF(H806&lt;=90,"3 61-90",IF(H806&lt;=120,"4 91-120","5 121+")))))</x:f>
        <x:v>5 121+</x:v>
      </x:c>
      <x:c r="O806" s="9" t="n">
        <x:f>IF(J806&gt;0,1,0)</x:f>
        <x:v>1</x:v>
      </x:c>
    </x:row>
    <x:row r="807">
      <x:c r="A807" s="15" t="str">
        <x:v>803</x:v>
      </x:c>
      <x:c r="B807" s="9" t="str">
        <x:v>Taylor</x:v>
      </x:c>
      <x:c r="C807" s="9" t="str">
        <x:v>Credit Card</x:v>
      </x:c>
      <x:c r="D807" s="9" t="str">
        <x:v>Midwest</x:v>
      </x:c>
      <x:c r="E807" s="9" t="n">
        <x:v>485</x:v>
      </x:c>
      <x:c r="F807" s="11" t="n">
        <x:v>46059</x:v>
      </x:c>
      <x:c r="G807" s="13" t="n">
        <x:v>6665.1</x:v>
      </x:c>
      <x:c r="H807" s="9" t="n">
        <x:v>222</x:v>
      </x:c>
      <x:c r="I807" s="9" t="n">
        <x:v>4</x:v>
      </x:c>
      <x:c r="J807" s="9" t="n">
        <x:v>1</x:v>
      </x:c>
      <x:c r="K807" s="9" t="n">
        <x:v>0</x:v>
      </x:c>
      <x:c r="L807" s="13" t="n">
        <x:f>SUMIFS('Payments'!$D$5:$D$3014,'Payments'!$B$5:$B$3014,A807)</x:f>
        <x:v>942.53</x:v>
      </x:c>
      <x:c r="M807" s="13" t="n">
        <x:f>G807-L807</x:f>
        <x:v>5722.570000000001</x:v>
      </x:c>
      <x:c r="N807" s="9" t="str">
        <x:f>IF(H807=0,"0 Current",IF(H807&lt;=30,"1 1-30",IF(H807&lt;=60,"2 31-60",IF(H807&lt;=90,"3 61-90",IF(H807&lt;=120,"4 91-120","5 121+")))))</x:f>
        <x:v>5 121+</x:v>
      </x:c>
      <x:c r="O807" s="9" t="n">
        <x:f>IF(J807&gt;0,1,0)</x:f>
        <x:v>1</x:v>
      </x:c>
    </x:row>
    <x:row r="808">
      <x:c r="A808" s="15" t="str">
        <x:v>804</x:v>
      </x:c>
      <x:c r="B808" s="9" t="str">
        <x:v>Alex</x:v>
      </x:c>
      <x:c r="C808" s="9" t="str">
        <x:v>Personal Loan</x:v>
      </x:c>
      <x:c r="D808" s="9" t="str">
        <x:v>Northeast</x:v>
      </x:c>
      <x:c r="E808" s="9" t="n">
        <x:v>750</x:v>
      </x:c>
      <x:c r="F808" s="11" t="n">
        <x:v>46093</x:v>
      </x:c>
      <x:c r="G808" s="13" t="n">
        <x:v>18848.01</x:v>
      </x:c>
      <x:c r="H808" s="9" t="n">
        <x:v>0</x:v>
      </x:c>
      <x:c r="I808" s="9" t="n">
        <x:v>0</x:v>
      </x:c>
      <x:c r="J808" s="9" t="n">
        <x:v>0</x:v>
      </x:c>
      <x:c r="K808" s="9" t="n">
        <x:v>0</x:v>
      </x:c>
      <x:c r="L808" s="13" t="n">
        <x:f>SUMIFS('Payments'!$D$5:$D$3014,'Payments'!$B$5:$B$3014,A808)</x:f>
        <x:v>3736.5</x:v>
      </x:c>
      <x:c r="M808" s="13" t="n">
        <x:f>G808-L808</x:f>
        <x:v>15111.509999999998</x:v>
      </x:c>
      <x:c r="N808" s="9" t="str">
        <x:f>IF(H808=0,"0 Current",IF(H808&lt;=30,"1 1-30",IF(H808&lt;=60,"2 31-60",IF(H808&lt;=90,"3 61-90",IF(H808&lt;=120,"4 91-120","5 121+")))))</x:f>
        <x:v>0 Current</x:v>
      </x:c>
      <x:c r="O808" s="9" t="n">
        <x:f>IF(J808&gt;0,1,0)</x:f>
        <x:v>0</x:v>
      </x:c>
    </x:row>
    <x:row r="809">
      <x:c r="A809" s="15" t="str">
        <x:v>805</x:v>
      </x:c>
      <x:c r="B809" s="9" t="str">
        <x:v>Jordan</x:v>
      </x:c>
      <x:c r="C809" s="9" t="str">
        <x:v>Medical</x:v>
      </x:c>
      <x:c r="D809" s="9" t="str">
        <x:v>West</x:v>
      </x:c>
      <x:c r="E809" s="9" t="n">
        <x:v>680</x:v>
      </x:c>
      <x:c r="F809" s="11" t="n">
        <x:v>46140</x:v>
      </x:c>
      <x:c r="G809" s="13" t="n">
        <x:v>22489.98</x:v>
      </x:c>
      <x:c r="H809" s="9" t="n">
        <x:v>105</x:v>
      </x:c>
      <x:c r="I809" s="9" t="n">
        <x:v>4</x:v>
      </x:c>
      <x:c r="J809" s="9" t="n">
        <x:v>0</x:v>
      </x:c>
      <x:c r="K809" s="9" t="n">
        <x:v>0</x:v>
      </x:c>
      <x:c r="L809" s="13" t="n">
        <x:f>SUMIFS('Payments'!$D$5:$D$3014,'Payments'!$B$5:$B$3014,A809)</x:f>
        <x:v>0</x:v>
      </x:c>
      <x:c r="M809" s="13" t="n">
        <x:f>G809-L809</x:f>
        <x:v>22489.98</x:v>
      </x:c>
      <x:c r="N809" s="9" t="str">
        <x:f>IF(H809=0,"0 Current",IF(H809&lt;=30,"1 1-30",IF(H809&lt;=60,"2 31-60",IF(H809&lt;=90,"3 61-90",IF(H809&lt;=120,"4 91-120","5 121+")))))</x:f>
        <x:v>4 91-120</x:v>
      </x:c>
      <x:c r="O809" s="9" t="n">
        <x:f>IF(J809&gt;0,1,0)</x:f>
        <x:v>0</x:v>
      </x:c>
    </x:row>
    <x:row r="810">
      <x:c r="A810" s="15" t="str">
        <x:v>806</x:v>
      </x:c>
      <x:c r="B810" s="9" t="str">
        <x:v>Taylor</x:v>
      </x:c>
      <x:c r="C810" s="9" t="str">
        <x:v>Medical</x:v>
      </x:c>
      <x:c r="D810" s="9" t="str">
        <x:v>Midwest</x:v>
      </x:c>
      <x:c r="E810" s="9" t="n">
        <x:v>429</x:v>
      </x:c>
      <x:c r="F810" s="11" t="n">
        <x:v>46112</x:v>
      </x:c>
      <x:c r="G810" s="13" t="n">
        <x:v>13216.94</x:v>
      </x:c>
      <x:c r="H810" s="9" t="n">
        <x:v>115</x:v>
      </x:c>
      <x:c r="I810" s="9" t="n">
        <x:v>6</x:v>
      </x:c>
      <x:c r="J810" s="9" t="n">
        <x:v>1</x:v>
      </x:c>
      <x:c r="K810" s="9" t="n">
        <x:v>0</x:v>
      </x:c>
      <x:c r="L810" s="13" t="n">
        <x:f>SUMIFS('Payments'!$D$5:$D$3014,'Payments'!$B$5:$B$3014,A810)</x:f>
        <x:v>732.5</x:v>
      </x:c>
      <x:c r="M810" s="13" t="n">
        <x:f>G810-L810</x:f>
        <x:v>12484.44</x:v>
      </x:c>
      <x:c r="N810" s="9" t="str">
        <x:f>IF(H810=0,"0 Current",IF(H810&lt;=30,"1 1-30",IF(H810&lt;=60,"2 31-60",IF(H810&lt;=90,"3 61-90",IF(H810&lt;=120,"4 91-120","5 121+")))))</x:f>
        <x:v>4 91-120</x:v>
      </x:c>
      <x:c r="O810" s="9" t="n">
        <x:f>IF(J810&gt;0,1,0)</x:f>
        <x:v>1</x:v>
      </x:c>
    </x:row>
    <x:row r="811">
      <x:c r="A811" s="15" t="str">
        <x:v>807</x:v>
      </x:c>
      <x:c r="B811" s="9" t="str">
        <x:v>Jordan</x:v>
      </x:c>
      <x:c r="C811" s="9" t="str">
        <x:v>Personal Loan</x:v>
      </x:c>
      <x:c r="D811" s="9" t="str">
        <x:v>Midwest</x:v>
      </x:c>
      <x:c r="E811" s="9" t="n">
        <x:v>578</x:v>
      </x:c>
      <x:c r="F811" s="11" t="n">
        <x:v>46060</x:v>
      </x:c>
      <x:c r="G811" s="13" t="n">
        <x:v>5106.36</x:v>
      </x:c>
      <x:c r="H811" s="9" t="n">
        <x:v>133</x:v>
      </x:c>
      <x:c r="I811" s="9" t="n">
        <x:v>4</x:v>
      </x:c>
      <x:c r="J811" s="9" t="n">
        <x:v>1</x:v>
      </x:c>
      <x:c r="K811" s="9" t="n">
        <x:v>0</x:v>
      </x:c>
      <x:c r="L811" s="13" t="n">
        <x:f>SUMIFS('Payments'!$D$5:$D$3014,'Payments'!$B$5:$B$3014,A811)</x:f>
        <x:v>650.26</x:v>
      </x:c>
      <x:c r="M811" s="13" t="n">
        <x:f>G811-L811</x:f>
        <x:v>4456.099999999999</x:v>
      </x:c>
      <x:c r="N811" s="9" t="str">
        <x:f>IF(H811=0,"0 Current",IF(H811&lt;=30,"1 1-30",IF(H811&lt;=60,"2 31-60",IF(H811&lt;=90,"3 61-90",IF(H811&lt;=120,"4 91-120","5 121+")))))</x:f>
        <x:v>5 121+</x:v>
      </x:c>
      <x:c r="O811" s="9" t="n">
        <x:f>IF(J811&gt;0,1,0)</x:f>
        <x:v>1</x:v>
      </x:c>
    </x:row>
    <x:row r="812">
      <x:c r="A812" s="15" t="str">
        <x:v>808</x:v>
      </x:c>
      <x:c r="B812" s="9" t="str">
        <x:v>Riley</x:v>
      </x:c>
      <x:c r="C812" s="9" t="str">
        <x:v>Medical</x:v>
      </x:c>
      <x:c r="D812" s="9" t="str">
        <x:v>South</x:v>
      </x:c>
      <x:c r="E812" s="9" t="n">
        <x:v>529</x:v>
      </x:c>
      <x:c r="F812" s="11" t="n">
        <x:v>46165</x:v>
      </x:c>
      <x:c r="G812" s="13" t="n">
        <x:v>24592.65</x:v>
      </x:c>
      <x:c r="H812" s="9" t="n">
        <x:v>160</x:v>
      </x:c>
      <x:c r="I812" s="9" t="n">
        <x:v>6</x:v>
      </x:c>
      <x:c r="J812" s="9" t="n">
        <x:v>2</x:v>
      </x:c>
      <x:c r="K812" s="9" t="n">
        <x:v>0</x:v>
      </x:c>
      <x:c r="L812" s="13" t="n">
        <x:f>SUMIFS('Payments'!$D$5:$D$3014,'Payments'!$B$5:$B$3014,A812)</x:f>
        <x:v>5298.03</x:v>
      </x:c>
      <x:c r="M812" s="13" t="n">
        <x:f>G812-L812</x:f>
        <x:v>19294.620000000003</x:v>
      </x:c>
      <x:c r="N812" s="9" t="str">
        <x:f>IF(H812=0,"0 Current",IF(H812&lt;=30,"1 1-30",IF(H812&lt;=60,"2 31-60",IF(H812&lt;=90,"3 61-90",IF(H812&lt;=120,"4 91-120","5 121+")))))</x:f>
        <x:v>5 121+</x:v>
      </x:c>
      <x:c r="O812" s="9" t="n">
        <x:f>IF(J812&gt;0,1,0)</x:f>
        <x:v>1</x:v>
      </x:c>
    </x:row>
    <x:row r="813">
      <x:c r="A813" s="15" t="str">
        <x:v>809</x:v>
      </x:c>
      <x:c r="B813" s="9" t="str">
        <x:v>Jordan</x:v>
      </x:c>
      <x:c r="C813" s="9" t="str">
        <x:v>Credit Card</x:v>
      </x:c>
      <x:c r="D813" s="9" t="str">
        <x:v>Midwest</x:v>
      </x:c>
      <x:c r="E813" s="9" t="n">
        <x:v>812</x:v>
      </x:c>
      <x:c r="F813" s="11" t="n">
        <x:v>46167</x:v>
      </x:c>
      <x:c r="G813" s="13" t="n">
        <x:v>24156.79</x:v>
      </x:c>
      <x:c r="H813" s="9" t="n">
        <x:v>97</x:v>
      </x:c>
      <x:c r="I813" s="9" t="n">
        <x:v>7</x:v>
      </x:c>
      <x:c r="J813" s="9" t="n">
        <x:v>0</x:v>
      </x:c>
      <x:c r="K813" s="9" t="n">
        <x:v>0</x:v>
      </x:c>
      <x:c r="L813" s="13" t="n">
        <x:f>SUMIFS('Payments'!$D$5:$D$3014,'Payments'!$B$5:$B$3014,A813)</x:f>
        <x:v>4523.83</x:v>
      </x:c>
      <x:c r="M813" s="13" t="n">
        <x:f>G813-L813</x:f>
        <x:v>19632.96</x:v>
      </x:c>
      <x:c r="N813" s="9" t="str">
        <x:f>IF(H813=0,"0 Current",IF(H813&lt;=30,"1 1-30",IF(H813&lt;=60,"2 31-60",IF(H813&lt;=90,"3 61-90",IF(H813&lt;=120,"4 91-120","5 121+")))))</x:f>
        <x:v>4 91-120</x:v>
      </x:c>
      <x:c r="O813" s="9" t="n">
        <x:f>IF(J813&gt;0,1,0)</x:f>
        <x:v>0</x:v>
      </x:c>
    </x:row>
    <x:row r="814">
      <x:c r="A814" s="15" t="str">
        <x:v>810</x:v>
      </x:c>
      <x:c r="B814" s="9" t="str">
        <x:v>Taylor</x:v>
      </x:c>
      <x:c r="C814" s="9" t="str">
        <x:v>Auto</x:v>
      </x:c>
      <x:c r="D814" s="9" t="str">
        <x:v>West</x:v>
      </x:c>
      <x:c r="E814" s="9" t="n">
        <x:v>518</x:v>
      </x:c>
      <x:c r="F814" s="11" t="n">
        <x:v>46041</x:v>
      </x:c>
      <x:c r="G814" s="13" t="n">
        <x:v>4803.99</x:v>
      </x:c>
      <x:c r="H814" s="9" t="n">
        <x:v>183</x:v>
      </x:c>
      <x:c r="I814" s="9" t="n">
        <x:v>3</x:v>
      </x:c>
      <x:c r="J814" s="9" t="n">
        <x:v>0</x:v>
      </x:c>
      <x:c r="K814" s="9" t="n">
        <x:v>0</x:v>
      </x:c>
      <x:c r="L814" s="13" t="n">
        <x:f>SUMIFS('Payments'!$D$5:$D$3014,'Payments'!$B$5:$B$3014,A814)</x:f>
        <x:v>154.65</x:v>
      </x:c>
      <x:c r="M814" s="13" t="n">
        <x:f>G814-L814</x:f>
        <x:v>4649.34</x:v>
      </x:c>
      <x:c r="N814" s="9" t="str">
        <x:f>IF(H814=0,"0 Current",IF(H814&lt;=30,"1 1-30",IF(H814&lt;=60,"2 31-60",IF(H814&lt;=90,"3 61-90",IF(H814&lt;=120,"4 91-120","5 121+")))))</x:f>
        <x:v>5 121+</x:v>
      </x:c>
      <x:c r="O814" s="9" t="n">
        <x:f>IF(J814&gt;0,1,0)</x:f>
        <x:v>0</x:v>
      </x:c>
    </x:row>
    <x:row r="815">
      <x:c r="A815" s="15" t="str">
        <x:v>811</x:v>
      </x:c>
      <x:c r="B815" s="9" t="str">
        <x:v>Casey</x:v>
      </x:c>
      <x:c r="C815" s="9" t="str">
        <x:v>Credit Card</x:v>
      </x:c>
      <x:c r="D815" s="9" t="str">
        <x:v>South</x:v>
      </x:c>
      <x:c r="E815" s="9" t="n">
        <x:v>490</x:v>
      </x:c>
      <x:c r="F815" s="11" t="n">
        <x:v>46094</x:v>
      </x:c>
      <x:c r="G815" s="13" t="n">
        <x:v>19367.52</x:v>
      </x:c>
      <x:c r="H815" s="9" t="n">
        <x:v>87</x:v>
      </x:c>
      <x:c r="I815" s="9" t="n">
        <x:v>1</x:v>
      </x:c>
      <x:c r="J815" s="9" t="n">
        <x:v>0</x:v>
      </x:c>
      <x:c r="K815" s="9" t="n">
        <x:v>0</x:v>
      </x:c>
      <x:c r="L815" s="13" t="n">
        <x:f>SUMIFS('Payments'!$D$5:$D$3014,'Payments'!$B$5:$B$3014,A815)</x:f>
        <x:v>1613.72</x:v>
      </x:c>
      <x:c r="M815" s="13" t="n">
        <x:f>G815-L815</x:f>
        <x:v>17753.8</x:v>
      </x:c>
      <x:c r="N815" s="9" t="str">
        <x:f>IF(H815=0,"0 Current",IF(H815&lt;=30,"1 1-30",IF(H815&lt;=60,"2 31-60",IF(H815&lt;=90,"3 61-90",IF(H815&lt;=120,"4 91-120","5 121+")))))</x:f>
        <x:v>3 61-90</x:v>
      </x:c>
      <x:c r="O815" s="9" t="n">
        <x:f>IF(J815&gt;0,1,0)</x:f>
        <x:v>0</x:v>
      </x:c>
    </x:row>
    <x:row r="816">
      <x:c r="A816" s="15" t="str">
        <x:v>812</x:v>
      </x:c>
      <x:c r="B816" s="9" t="str">
        <x:v>Alex</x:v>
      </x:c>
      <x:c r="C816" s="9" t="str">
        <x:v>Auto</x:v>
      </x:c>
      <x:c r="D816" s="9" t="str">
        <x:v>South</x:v>
      </x:c>
      <x:c r="E816" s="9" t="n">
        <x:v>459</x:v>
      </x:c>
      <x:c r="F816" s="11" t="n">
        <x:v>46160</x:v>
      </x:c>
      <x:c r="G816" s="13" t="n">
        <x:v>10617.08</x:v>
      </x:c>
      <x:c r="H816" s="9" t="n">
        <x:v>176</x:v>
      </x:c>
      <x:c r="I816" s="9" t="n">
        <x:v>3</x:v>
      </x:c>
      <x:c r="J816" s="9" t="n">
        <x:v>1</x:v>
      </x:c>
      <x:c r="K816" s="9" t="n">
        <x:v>0</x:v>
      </x:c>
      <x:c r="L816" s="13" t="n">
        <x:f>SUMIFS('Payments'!$D$5:$D$3014,'Payments'!$B$5:$B$3014,A816)</x:f>
        <x:v>474.53000000000003</x:v>
      </x:c>
      <x:c r="M816" s="13" t="n">
        <x:f>G816-L816</x:f>
        <x:v>10142.55</x:v>
      </x:c>
      <x:c r="N816" s="9" t="str">
        <x:f>IF(H816=0,"0 Current",IF(H816&lt;=30,"1 1-30",IF(H816&lt;=60,"2 31-60",IF(H816&lt;=90,"3 61-90",IF(H816&lt;=120,"4 91-120","5 121+")))))</x:f>
        <x:v>5 121+</x:v>
      </x:c>
      <x:c r="O816" s="9" t="n">
        <x:f>IF(J816&gt;0,1,0)</x:f>
        <x:v>1</x:v>
      </x:c>
    </x:row>
    <x:row r="817">
      <x:c r="A817" s="15" t="str">
        <x:v>813</x:v>
      </x:c>
      <x:c r="B817" s="9" t="str">
        <x:v>Alex</x:v>
      </x:c>
      <x:c r="C817" s="9" t="str">
        <x:v>Auto</x:v>
      </x:c>
      <x:c r="D817" s="9" t="str">
        <x:v>Midwest</x:v>
      </x:c>
      <x:c r="E817" s="9" t="n">
        <x:v>471</x:v>
      </x:c>
      <x:c r="F817" s="11" t="n">
        <x:v>46170</x:v>
      </x:c>
      <x:c r="G817" s="13" t="n">
        <x:v>12146.32</x:v>
      </x:c>
      <x:c r="H817" s="9" t="n">
        <x:v>178</x:v>
      </x:c>
      <x:c r="I817" s="9" t="n">
        <x:v>0</x:v>
      </x:c>
      <x:c r="J817" s="9" t="n">
        <x:v>0</x:v>
      </x:c>
      <x:c r="K817" s="9" t="n">
        <x:v>0</x:v>
      </x:c>
      <x:c r="L817" s="13" t="n">
        <x:f>SUMIFS('Payments'!$D$5:$D$3014,'Payments'!$B$5:$B$3014,A817)</x:f>
        <x:v>2413.86</x:v>
      </x:c>
      <x:c r="M817" s="13" t="n">
        <x:f>G817-L817</x:f>
        <x:v>9732.46</x:v>
      </x:c>
      <x:c r="N817" s="9" t="str">
        <x:f>IF(H817=0,"0 Current",IF(H817&lt;=30,"1 1-30",IF(H817&lt;=60,"2 31-60",IF(H817&lt;=90,"3 61-90",IF(H817&lt;=120,"4 91-120","5 121+")))))</x:f>
        <x:v>5 121+</x:v>
      </x:c>
      <x:c r="O817" s="9" t="n">
        <x:f>IF(J817&gt;0,1,0)</x:f>
        <x:v>0</x:v>
      </x:c>
    </x:row>
    <x:row r="818">
      <x:c r="A818" s="15" t="str">
        <x:v>814</x:v>
      </x:c>
      <x:c r="B818" s="9" t="str">
        <x:v>Alex</x:v>
      </x:c>
      <x:c r="C818" s="9" t="str">
        <x:v>Personal Loan</x:v>
      </x:c>
      <x:c r="D818" s="9" t="str">
        <x:v>Northeast</x:v>
      </x:c>
      <x:c r="E818" s="9" t="n">
        <x:v>758</x:v>
      </x:c>
      <x:c r="F818" s="11" t="n">
        <x:v>46047</x:v>
      </x:c>
      <x:c r="G818" s="13" t="n">
        <x:v>24479.01</x:v>
      </x:c>
      <x:c r="H818" s="9" t="n">
        <x:v>49</x:v>
      </x:c>
      <x:c r="I818" s="9" t="n">
        <x:v>0</x:v>
      </x:c>
      <x:c r="J818" s="9" t="n">
        <x:v>0</x:v>
      </x:c>
      <x:c r="K818" s="9" t="n">
        <x:v>0</x:v>
      </x:c>
      <x:c r="L818" s="13" t="n">
        <x:f>SUMIFS('Payments'!$D$5:$D$3014,'Payments'!$B$5:$B$3014,A818)</x:f>
        <x:v>832.89</x:v>
      </x:c>
      <x:c r="M818" s="13" t="n">
        <x:f>G818-L818</x:f>
        <x:v>23646.12</x:v>
      </x:c>
      <x:c r="N818" s="9" t="str">
        <x:f>IF(H818=0,"0 Current",IF(H818&lt;=30,"1 1-30",IF(H818&lt;=60,"2 31-60",IF(H818&lt;=90,"3 61-90",IF(H818&lt;=120,"4 91-120","5 121+")))))</x:f>
        <x:v>2 31-60</x:v>
      </x:c>
      <x:c r="O818" s="9" t="n">
        <x:f>IF(J818&gt;0,1,0)</x:f>
        <x:v>0</x:v>
      </x:c>
    </x:row>
    <x:row r="819">
      <x:c r="A819" s="15" t="str">
        <x:v>815</x:v>
      </x:c>
      <x:c r="B819" s="9" t="str">
        <x:v>Casey</x:v>
      </x:c>
      <x:c r="C819" s="9" t="str">
        <x:v>Medical</x:v>
      </x:c>
      <x:c r="D819" s="9" t="str">
        <x:v>Midwest</x:v>
      </x:c>
      <x:c r="E819" s="9" t="n">
        <x:v>812</x:v>
      </x:c>
      <x:c r="F819" s="11" t="n">
        <x:v>46068</x:v>
      </x:c>
      <x:c r="G819" s="13" t="n">
        <x:v>8714.79</x:v>
      </x:c>
      <x:c r="H819" s="9" t="n">
        <x:v>33</x:v>
      </x:c>
      <x:c r="I819" s="9" t="n">
        <x:v>3</x:v>
      </x:c>
      <x:c r="J819" s="9" t="n">
        <x:v>1</x:v>
      </x:c>
      <x:c r="K819" s="9" t="n">
        <x:v>0</x:v>
      </x:c>
      <x:c r="L819" s="13" t="n">
        <x:f>SUMIFS('Payments'!$D$5:$D$3014,'Payments'!$B$5:$B$3014,A819)</x:f>
        <x:v>1491.3</x:v>
      </x:c>
      <x:c r="M819" s="13" t="n">
        <x:f>G819-L819</x:f>
        <x:v>7223.490000000001</x:v>
      </x:c>
      <x:c r="N819" s="9" t="str">
        <x:f>IF(H819=0,"0 Current",IF(H819&lt;=30,"1 1-30",IF(H819&lt;=60,"2 31-60",IF(H819&lt;=90,"3 61-90",IF(H819&lt;=120,"4 91-120","5 121+")))))</x:f>
        <x:v>2 31-60</x:v>
      </x:c>
      <x:c r="O819" s="9" t="n">
        <x:f>IF(J819&gt;0,1,0)</x:f>
        <x:v>1</x:v>
      </x:c>
    </x:row>
    <x:row r="820">
      <x:c r="A820" s="15" t="str">
        <x:v>816</x:v>
      </x:c>
      <x:c r="B820" s="9" t="str">
        <x:v>Taylor</x:v>
      </x:c>
      <x:c r="C820" s="9" t="str">
        <x:v>Credit Card</x:v>
      </x:c>
      <x:c r="D820" s="9" t="str">
        <x:v>South</x:v>
      </x:c>
      <x:c r="E820" s="9" t="n">
        <x:v>725</x:v>
      </x:c>
      <x:c r="F820" s="11" t="n">
        <x:v>46133</x:v>
      </x:c>
      <x:c r="G820" s="13" t="n">
        <x:v>6956.27</x:v>
      </x:c>
      <x:c r="H820" s="9" t="n">
        <x:v>213</x:v>
      </x:c>
      <x:c r="I820" s="9" t="n">
        <x:v>0</x:v>
      </x:c>
      <x:c r="J820" s="9" t="n">
        <x:v>0</x:v>
      </x:c>
      <x:c r="K820" s="9" t="n">
        <x:v>0</x:v>
      </x:c>
      <x:c r="L820" s="13" t="n">
        <x:f>SUMIFS('Payments'!$D$5:$D$3014,'Payments'!$B$5:$B$3014,A820)</x:f>
        <x:v>630.92</x:v>
      </x:c>
      <x:c r="M820" s="13" t="n">
        <x:f>G820-L820</x:f>
        <x:v>6325.35</x:v>
      </x:c>
      <x:c r="N820" s="9" t="str">
        <x:f>IF(H820=0,"0 Current",IF(H820&lt;=30,"1 1-30",IF(H820&lt;=60,"2 31-60",IF(H820&lt;=90,"3 61-90",IF(H820&lt;=120,"4 91-120","5 121+")))))</x:f>
        <x:v>5 121+</x:v>
      </x:c>
      <x:c r="O820" s="9" t="n">
        <x:f>IF(J820&gt;0,1,0)</x:f>
        <x:v>0</x:v>
      </x:c>
    </x:row>
    <x:row r="821">
      <x:c r="A821" s="15" t="str">
        <x:v>817</x:v>
      </x:c>
      <x:c r="B821" s="9" t="str">
        <x:v>Alex</x:v>
      </x:c>
      <x:c r="C821" s="9" t="str">
        <x:v>Medical</x:v>
      </x:c>
      <x:c r="D821" s="9" t="str">
        <x:v>West</x:v>
      </x:c>
      <x:c r="E821" s="9" t="n">
        <x:v>498</x:v>
      </x:c>
      <x:c r="F821" s="11" t="n">
        <x:v>46066</x:v>
      </x:c>
      <x:c r="G821" s="13" t="n">
        <x:v>16209.16</x:v>
      </x:c>
      <x:c r="H821" s="9" t="n">
        <x:v>175</x:v>
      </x:c>
      <x:c r="I821" s="9" t="n">
        <x:v>2</x:v>
      </x:c>
      <x:c r="J821" s="9" t="n">
        <x:v>1</x:v>
      </x:c>
      <x:c r="K821" s="9" t="n">
        <x:v>0</x:v>
      </x:c>
      <x:c r="L821" s="13" t="n">
        <x:f>SUMIFS('Payments'!$D$5:$D$3014,'Payments'!$B$5:$B$3014,A821)</x:f>
        <x:v>2873.5399999999995</x:v>
      </x:c>
      <x:c r="M821" s="13" t="n">
        <x:f>G821-L821</x:f>
        <x:v>13335.62</x:v>
      </x:c>
      <x:c r="N821" s="9" t="str">
        <x:f>IF(H821=0,"0 Current",IF(H821&lt;=30,"1 1-30",IF(H821&lt;=60,"2 31-60",IF(H821&lt;=90,"3 61-90",IF(H821&lt;=120,"4 91-120","5 121+")))))</x:f>
        <x:v>5 121+</x:v>
      </x:c>
      <x:c r="O821" s="9" t="n">
        <x:f>IF(J821&gt;0,1,0)</x:f>
        <x:v>1</x:v>
      </x:c>
    </x:row>
    <x:row r="822">
      <x:c r="A822" s="15" t="str">
        <x:v>818</x:v>
      </x:c>
      <x:c r="B822" s="9" t="str">
        <x:v>Taylor</x:v>
      </x:c>
      <x:c r="C822" s="9" t="str">
        <x:v>Personal Loan</x:v>
      </x:c>
      <x:c r="D822" s="9" t="str">
        <x:v>South</x:v>
      </x:c>
      <x:c r="E822" s="9" t="n">
        <x:v>512</x:v>
      </x:c>
      <x:c r="F822" s="11" t="n">
        <x:v>46065</x:v>
      </x:c>
      <x:c r="G822" s="13" t="n">
        <x:v>11662.72</x:v>
      </x:c>
      <x:c r="H822" s="9" t="n">
        <x:v>226</x:v>
      </x:c>
      <x:c r="I822" s="9" t="n">
        <x:v>7</x:v>
      </x:c>
      <x:c r="J822" s="9" t="n">
        <x:v>3</x:v>
      </x:c>
      <x:c r="K822" s="9" t="n">
        <x:v>1</x:v>
      </x:c>
      <x:c r="L822" s="13" t="n">
        <x:f>SUMIFS('Payments'!$D$5:$D$3014,'Payments'!$B$5:$B$3014,A822)</x:f>
        <x:v>2121.55</x:v>
      </x:c>
      <x:c r="M822" s="13" t="n">
        <x:f>G822-L822</x:f>
        <x:v>9541.169999999998</x:v>
      </x:c>
      <x:c r="N822" s="9" t="str">
        <x:f>IF(H822=0,"0 Current",IF(H822&lt;=30,"1 1-30",IF(H822&lt;=60,"2 31-60",IF(H822&lt;=90,"3 61-90",IF(H822&lt;=120,"4 91-120","5 121+")))))</x:f>
        <x:v>5 121+</x:v>
      </x:c>
      <x:c r="O822" s="9" t="n">
        <x:f>IF(J822&gt;0,1,0)</x:f>
        <x:v>1</x:v>
      </x:c>
    </x:row>
    <x:row r="823">
      <x:c r="A823" s="15" t="str">
        <x:v>819</x:v>
      </x:c>
      <x:c r="B823" s="9" t="str">
        <x:v>Casey</x:v>
      </x:c>
      <x:c r="C823" s="9" t="str">
        <x:v>Credit Card</x:v>
      </x:c>
      <x:c r="D823" s="9" t="str">
        <x:v>South</x:v>
      </x:c>
      <x:c r="E823" s="9" t="n">
        <x:v>789</x:v>
      </x:c>
      <x:c r="F823" s="11" t="n">
        <x:v>46055</x:v>
      </x:c>
      <x:c r="G823" s="13" t="n">
        <x:v>2756.2</x:v>
      </x:c>
      <x:c r="H823" s="9" t="n">
        <x:v>143</x:v>
      </x:c>
      <x:c r="I823" s="9" t="n">
        <x:v>3</x:v>
      </x:c>
      <x:c r="J823" s="9" t="n">
        <x:v>1</x:v>
      </x:c>
      <x:c r="K823" s="9" t="n">
        <x:v>0</x:v>
      </x:c>
      <x:c r="L823" s="13" t="n">
        <x:f>SUMIFS('Payments'!$D$5:$D$3014,'Payments'!$B$5:$B$3014,A823)</x:f>
        <x:v>495.03000000000003</x:v>
      </x:c>
      <x:c r="M823" s="13" t="n">
        <x:f>G823-L823</x:f>
        <x:v>2261.1699999999996</x:v>
      </x:c>
      <x:c r="N823" s="9" t="str">
        <x:f>IF(H823=0,"0 Current",IF(H823&lt;=30,"1 1-30",IF(H823&lt;=60,"2 31-60",IF(H823&lt;=90,"3 61-90",IF(H823&lt;=120,"4 91-120","5 121+")))))</x:f>
        <x:v>5 121+</x:v>
      </x:c>
      <x:c r="O823" s="9" t="n">
        <x:f>IF(J823&gt;0,1,0)</x:f>
        <x:v>1</x:v>
      </x:c>
    </x:row>
    <x:row r="824">
      <x:c r="A824" s="15" t="str">
        <x:v>820</x:v>
      </x:c>
      <x:c r="B824" s="9" t="str">
        <x:v>Riley</x:v>
      </x:c>
      <x:c r="C824" s="9" t="str">
        <x:v>Credit Card</x:v>
      </x:c>
      <x:c r="D824" s="9" t="str">
        <x:v>West</x:v>
      </x:c>
      <x:c r="E824" s="9" t="n">
        <x:v>442</x:v>
      </x:c>
      <x:c r="F824" s="11" t="n">
        <x:v>46084</x:v>
      </x:c>
      <x:c r="G824" s="13" t="n">
        <x:v>23107.41</x:v>
      </x:c>
      <x:c r="H824" s="9" t="n">
        <x:v>86</x:v>
      </x:c>
      <x:c r="I824" s="9" t="n">
        <x:v>2</x:v>
      </x:c>
      <x:c r="J824" s="9" t="n">
        <x:v>1</x:v>
      </x:c>
      <x:c r="K824" s="9" t="n">
        <x:v>0</x:v>
      </x:c>
      <x:c r="L824" s="13" t="n">
        <x:f>SUMIFS('Payments'!$D$5:$D$3014,'Payments'!$B$5:$B$3014,A824)</x:f>
        <x:v>6674.74</x:v>
      </x:c>
      <x:c r="M824" s="13" t="n">
        <x:f>G824-L824</x:f>
        <x:v>16432.67</x:v>
      </x:c>
      <x:c r="N824" s="9" t="str">
        <x:f>IF(H824=0,"0 Current",IF(H824&lt;=30,"1 1-30",IF(H824&lt;=60,"2 31-60",IF(H824&lt;=90,"3 61-90",IF(H824&lt;=120,"4 91-120","5 121+")))))</x:f>
        <x:v>3 61-90</x:v>
      </x:c>
      <x:c r="O824" s="9" t="n">
        <x:f>IF(J824&gt;0,1,0)</x:f>
        <x:v>1</x:v>
      </x:c>
    </x:row>
    <x:row r="825">
      <x:c r="A825" s="15" t="str">
        <x:v>821</x:v>
      </x:c>
      <x:c r="B825" s="9" t="str">
        <x:v>Taylor</x:v>
      </x:c>
      <x:c r="C825" s="9" t="str">
        <x:v>Credit Card</x:v>
      </x:c>
      <x:c r="D825" s="9" t="str">
        <x:v>West</x:v>
      </x:c>
      <x:c r="E825" s="9" t="n">
        <x:v>606</x:v>
      </x:c>
      <x:c r="F825" s="11" t="n">
        <x:v>46058</x:v>
      </x:c>
      <x:c r="G825" s="13" t="n">
        <x:v>9748.76</x:v>
      </x:c>
      <x:c r="H825" s="9" t="n">
        <x:v>132</x:v>
      </x:c>
      <x:c r="I825" s="9" t="n">
        <x:v>1</x:v>
      </x:c>
      <x:c r="J825" s="9" t="n">
        <x:v>1</x:v>
      </x:c>
      <x:c r="K825" s="9" t="n">
        <x:v>0</x:v>
      </x:c>
      <x:c r="L825" s="13" t="n">
        <x:f>SUMIFS('Payments'!$D$5:$D$3014,'Payments'!$B$5:$B$3014,A825)</x:f>
        <x:v>828.99</x:v>
      </x:c>
      <x:c r="M825" s="13" t="n">
        <x:f>G825-L825</x:f>
        <x:v>8919.77</x:v>
      </x:c>
      <x:c r="N825" s="9" t="str">
        <x:f>IF(H825=0,"0 Current",IF(H825&lt;=30,"1 1-30",IF(H825&lt;=60,"2 31-60",IF(H825&lt;=90,"3 61-90",IF(H825&lt;=120,"4 91-120","5 121+")))))</x:f>
        <x:v>5 121+</x:v>
      </x:c>
      <x:c r="O825" s="9" t="n">
        <x:f>IF(J825&gt;0,1,0)</x:f>
        <x:v>1</x:v>
      </x:c>
    </x:row>
    <x:row r="826">
      <x:c r="A826" s="15" t="str">
        <x:v>822</x:v>
      </x:c>
      <x:c r="B826" s="9" t="str">
        <x:v>Taylor</x:v>
      </x:c>
      <x:c r="C826" s="9" t="str">
        <x:v>Personal Loan</x:v>
      </x:c>
      <x:c r="D826" s="9" t="str">
        <x:v>South</x:v>
      </x:c>
      <x:c r="E826" s="9" t="n">
        <x:v>647</x:v>
      </x:c>
      <x:c r="F826" s="11" t="n">
        <x:v>46162</x:v>
      </x:c>
      <x:c r="G826" s="13" t="n">
        <x:v>3862.02</x:v>
      </x:c>
      <x:c r="H826" s="9" t="n">
        <x:v>117</x:v>
      </x:c>
      <x:c r="I826" s="9" t="n">
        <x:v>5</x:v>
      </x:c>
      <x:c r="J826" s="9" t="n">
        <x:v>3</x:v>
      </x:c>
      <x:c r="K826" s="9" t="n">
        <x:v>0</x:v>
      </x:c>
      <x:c r="L826" s="13" t="n">
        <x:f>SUMIFS('Payments'!$D$5:$D$3014,'Payments'!$B$5:$B$3014,A826)</x:f>
        <x:v>456.52</x:v>
      </x:c>
      <x:c r="M826" s="13" t="n">
        <x:f>G826-L826</x:f>
        <x:v>3405.5</x:v>
      </x:c>
      <x:c r="N826" s="9" t="str">
        <x:f>IF(H826=0,"0 Current",IF(H826&lt;=30,"1 1-30",IF(H826&lt;=60,"2 31-60",IF(H826&lt;=90,"3 61-90",IF(H826&lt;=120,"4 91-120","5 121+")))))</x:f>
        <x:v>4 91-120</x:v>
      </x:c>
      <x:c r="O826" s="9" t="n">
        <x:f>IF(J826&gt;0,1,0)</x:f>
        <x:v>1</x:v>
      </x:c>
    </x:row>
    <x:row r="827">
      <x:c r="A827" s="15" t="str">
        <x:v>823</x:v>
      </x:c>
      <x:c r="B827" s="9" t="str">
        <x:v>Alex</x:v>
      </x:c>
      <x:c r="C827" s="9" t="str">
        <x:v>Medical</x:v>
      </x:c>
      <x:c r="D827" s="9" t="str">
        <x:v>Midwest</x:v>
      </x:c>
      <x:c r="E827" s="9" t="n">
        <x:v>805</x:v>
      </x:c>
      <x:c r="F827" s="11" t="n">
        <x:v>46172</x:v>
      </x:c>
      <x:c r="G827" s="13" t="n">
        <x:v>3900.03</x:v>
      </x:c>
      <x:c r="H827" s="9" t="n">
        <x:v>123</x:v>
      </x:c>
      <x:c r="I827" s="9" t="n">
        <x:v>7</x:v>
      </x:c>
      <x:c r="J827" s="9" t="n">
        <x:v>4</x:v>
      </x:c>
      <x:c r="K827" s="9" t="n">
        <x:v>0</x:v>
      </x:c>
      <x:c r="L827" s="13" t="n">
        <x:f>SUMIFS('Payments'!$D$5:$D$3014,'Payments'!$B$5:$B$3014,A827)</x:f>
        <x:v>0</x:v>
      </x:c>
      <x:c r="M827" s="13" t="n">
        <x:f>G827-L827</x:f>
        <x:v>3900.03</x:v>
      </x:c>
      <x:c r="N827" s="9" t="str">
        <x:f>IF(H827=0,"0 Current",IF(H827&lt;=30,"1 1-30",IF(H827&lt;=60,"2 31-60",IF(H827&lt;=90,"3 61-90",IF(H827&lt;=120,"4 91-120","5 121+")))))</x:f>
        <x:v>5 121+</x:v>
      </x:c>
      <x:c r="O827" s="9" t="n">
        <x:f>IF(J827&gt;0,1,0)</x:f>
        <x:v>1</x:v>
      </x:c>
    </x:row>
    <x:row r="828">
      <x:c r="A828" s="15" t="str">
        <x:v>824</x:v>
      </x:c>
      <x:c r="B828" s="9" t="str">
        <x:v>Morgan</x:v>
      </x:c>
      <x:c r="C828" s="9" t="str">
        <x:v>Personal Loan</x:v>
      </x:c>
      <x:c r="D828" s="9" t="str">
        <x:v>West</x:v>
      </x:c>
      <x:c r="E828" s="9" t="n">
        <x:v>539</x:v>
      </x:c>
      <x:c r="F828" s="11" t="n">
        <x:v>46170</x:v>
      </x:c>
      <x:c r="G828" s="13" t="n">
        <x:v>23149.8</x:v>
      </x:c>
      <x:c r="H828" s="9" t="n">
        <x:v>125</x:v>
      </x:c>
      <x:c r="I828" s="9" t="n">
        <x:v>7</x:v>
      </x:c>
      <x:c r="J828" s="9" t="n">
        <x:v>1</x:v>
      </x:c>
      <x:c r="K828" s="9" t="n">
        <x:v>0</x:v>
      </x:c>
      <x:c r="L828" s="13" t="n">
        <x:f>SUMIFS('Payments'!$D$5:$D$3014,'Payments'!$B$5:$B$3014,A828)</x:f>
        <x:v>5638.64</x:v>
      </x:c>
      <x:c r="M828" s="13" t="n">
        <x:f>G828-L828</x:f>
        <x:v>17511.16</x:v>
      </x:c>
      <x:c r="N828" s="9" t="str">
        <x:f>IF(H828=0,"0 Current",IF(H828&lt;=30,"1 1-30",IF(H828&lt;=60,"2 31-60",IF(H828&lt;=90,"3 61-90",IF(H828&lt;=120,"4 91-120","5 121+")))))</x:f>
        <x:v>5 121+</x:v>
      </x:c>
      <x:c r="O828" s="9" t="n">
        <x:f>IF(J828&gt;0,1,0)</x:f>
        <x:v>1</x:v>
      </x:c>
    </x:row>
    <x:row r="829">
      <x:c r="A829" s="15" t="str">
        <x:v>825</x:v>
      </x:c>
      <x:c r="B829" s="9" t="str">
        <x:v>Morgan</x:v>
      </x:c>
      <x:c r="C829" s="9" t="str">
        <x:v>Credit Card</x:v>
      </x:c>
      <x:c r="D829" s="9" t="str">
        <x:v>South</x:v>
      </x:c>
      <x:c r="E829" s="9" t="n">
        <x:v>578</x:v>
      </x:c>
      <x:c r="F829" s="11" t="n">
        <x:v>46061</x:v>
      </x:c>
      <x:c r="G829" s="13" t="n">
        <x:v>17494.62</x:v>
      </x:c>
      <x:c r="H829" s="9" t="n">
        <x:v>60</x:v>
      </x:c>
      <x:c r="I829" s="9" t="n">
        <x:v>0</x:v>
      </x:c>
      <x:c r="J829" s="9" t="n">
        <x:v>0</x:v>
      </x:c>
      <x:c r="K829" s="9" t="n">
        <x:v>0</x:v>
      </x:c>
      <x:c r="L829" s="13" t="n">
        <x:f>SUMIFS('Payments'!$D$5:$D$3014,'Payments'!$B$5:$B$3014,A829)</x:f>
        <x:v>2605.81</x:v>
      </x:c>
      <x:c r="M829" s="13" t="n">
        <x:f>G829-L829</x:f>
        <x:v>14888.81</x:v>
      </x:c>
      <x:c r="N829" s="9" t="str">
        <x:f>IF(H829=0,"0 Current",IF(H829&lt;=30,"1 1-30",IF(H829&lt;=60,"2 31-60",IF(H829&lt;=90,"3 61-90",IF(H829&lt;=120,"4 91-120","5 121+")))))</x:f>
        <x:v>2 31-60</x:v>
      </x:c>
      <x:c r="O829" s="9" t="n">
        <x:f>IF(J829&gt;0,1,0)</x:f>
        <x:v>0</x:v>
      </x:c>
    </x:row>
    <x:row r="830">
      <x:c r="A830" s="15" t="str">
        <x:v>826</x:v>
      </x:c>
      <x:c r="B830" s="9" t="str">
        <x:v>Casey</x:v>
      </x:c>
      <x:c r="C830" s="9" t="str">
        <x:v>Auto</x:v>
      </x:c>
      <x:c r="D830" s="9" t="str">
        <x:v>West</x:v>
      </x:c>
      <x:c r="E830" s="9" t="n">
        <x:v>519</x:v>
      </x:c>
      <x:c r="F830" s="11" t="n">
        <x:v>46116</x:v>
      </x:c>
      <x:c r="G830" s="13" t="n">
        <x:v>13507.64</x:v>
      </x:c>
      <x:c r="H830" s="9" t="n">
        <x:v>186</x:v>
      </x:c>
      <x:c r="I830" s="9" t="n">
        <x:v>8</x:v>
      </x:c>
      <x:c r="J830" s="9" t="n">
        <x:v>3</x:v>
      </x:c>
      <x:c r="K830" s="9" t="n">
        <x:v>1</x:v>
      </x:c>
      <x:c r="L830" s="13" t="n">
        <x:f>SUMIFS('Payments'!$D$5:$D$3014,'Payments'!$B$5:$B$3014,A830)</x:f>
        <x:v>0</x:v>
      </x:c>
      <x:c r="M830" s="13" t="n">
        <x:f>G830-L830</x:f>
        <x:v>13507.64</x:v>
      </x:c>
      <x:c r="N830" s="9" t="str">
        <x:f>IF(H830=0,"0 Current",IF(H830&lt;=30,"1 1-30",IF(H830&lt;=60,"2 31-60",IF(H830&lt;=90,"3 61-90",IF(H830&lt;=120,"4 91-120","5 121+")))))</x:f>
        <x:v>5 121+</x:v>
      </x:c>
      <x:c r="O830" s="9" t="n">
        <x:f>IF(J830&gt;0,1,0)</x:f>
        <x:v>1</x:v>
      </x:c>
    </x:row>
    <x:row r="831">
      <x:c r="A831" s="15" t="str">
        <x:v>827</x:v>
      </x:c>
      <x:c r="B831" s="9" t="str">
        <x:v>Jordan</x:v>
      </x:c>
      <x:c r="C831" s="9" t="str">
        <x:v>Credit Card</x:v>
      </x:c>
      <x:c r="D831" s="9" t="str">
        <x:v>Midwest</x:v>
      </x:c>
      <x:c r="E831" s="9" t="n">
        <x:v>767</x:v>
      </x:c>
      <x:c r="F831" s="11" t="n">
        <x:v>46039</x:v>
      </x:c>
      <x:c r="G831" s="13" t="n">
        <x:v>3046.43</x:v>
      </x:c>
      <x:c r="H831" s="9" t="n">
        <x:v>237</x:v>
      </x:c>
      <x:c r="I831" s="9" t="n">
        <x:v>6</x:v>
      </x:c>
      <x:c r="J831" s="9" t="n">
        <x:v>5</x:v>
      </x:c>
      <x:c r="K831" s="9" t="n">
        <x:v>1</x:v>
      </x:c>
      <x:c r="L831" s="13" t="n">
        <x:f>SUMIFS('Payments'!$D$5:$D$3014,'Payments'!$B$5:$B$3014,A831)</x:f>
        <x:v>0</x:v>
      </x:c>
      <x:c r="M831" s="13" t="n">
        <x:f>G831-L831</x:f>
        <x:v>3046.43</x:v>
      </x:c>
      <x:c r="N831" s="9" t="str">
        <x:f>IF(H831=0,"0 Current",IF(H831&lt;=30,"1 1-30",IF(H831&lt;=60,"2 31-60",IF(H831&lt;=90,"3 61-90",IF(H831&lt;=120,"4 91-120","5 121+")))))</x:f>
        <x:v>5 121+</x:v>
      </x:c>
      <x:c r="O831" s="9" t="n">
        <x:f>IF(J831&gt;0,1,0)</x:f>
        <x:v>1</x:v>
      </x:c>
    </x:row>
    <x:row r="832">
      <x:c r="A832" s="15" t="str">
        <x:v>828</x:v>
      </x:c>
      <x:c r="B832" s="9" t="str">
        <x:v>Casey</x:v>
      </x:c>
      <x:c r="C832" s="9" t="str">
        <x:v>Medical</x:v>
      </x:c>
      <x:c r="D832" s="9" t="str">
        <x:v>West</x:v>
      </x:c>
      <x:c r="E832" s="9" t="n">
        <x:v>656</x:v>
      </x:c>
      <x:c r="F832" s="11" t="n">
        <x:v>46144</x:v>
      </x:c>
      <x:c r="G832" s="13" t="n">
        <x:v>21406.39</x:v>
      </x:c>
      <x:c r="H832" s="9" t="n">
        <x:v>96</x:v>
      </x:c>
      <x:c r="I832" s="9" t="n">
        <x:v>4</x:v>
      </x:c>
      <x:c r="J832" s="9" t="n">
        <x:v>2</x:v>
      </x:c>
      <x:c r="K832" s="9" t="n">
        <x:v>0</x:v>
      </x:c>
      <x:c r="L832" s="13" t="n">
        <x:f>SUMIFS('Payments'!$D$5:$D$3014,'Payments'!$B$5:$B$3014,A832)</x:f>
        <x:v>346.41</x:v>
      </x:c>
      <x:c r="M832" s="13" t="n">
        <x:f>G832-L832</x:f>
        <x:v>21059.98</x:v>
      </x:c>
      <x:c r="N832" s="9" t="str">
        <x:f>IF(H832=0,"0 Current",IF(H832&lt;=30,"1 1-30",IF(H832&lt;=60,"2 31-60",IF(H832&lt;=90,"3 61-90",IF(H832&lt;=120,"4 91-120","5 121+")))))</x:f>
        <x:v>4 91-120</x:v>
      </x:c>
      <x:c r="O832" s="9" t="n">
        <x:f>IF(J832&gt;0,1,0)</x:f>
        <x:v>1</x:v>
      </x:c>
    </x:row>
    <x:row r="833">
      <x:c r="A833" s="15" t="str">
        <x:v>829</x:v>
      </x:c>
      <x:c r="B833" s="9" t="str">
        <x:v>Taylor</x:v>
      </x:c>
      <x:c r="C833" s="9" t="str">
        <x:v>Personal Loan</x:v>
      </x:c>
      <x:c r="D833" s="9" t="str">
        <x:v>Midwest</x:v>
      </x:c>
      <x:c r="E833" s="9" t="n">
        <x:v>818</x:v>
      </x:c>
      <x:c r="F833" s="11" t="n">
        <x:v>46156</x:v>
      </x:c>
      <x:c r="G833" s="13" t="n">
        <x:v>24467.1</x:v>
      </x:c>
      <x:c r="H833" s="9" t="n">
        <x:v>104</x:v>
      </x:c>
      <x:c r="I833" s="9" t="n">
        <x:v>2</x:v>
      </x:c>
      <x:c r="J833" s="9" t="n">
        <x:v>1</x:v>
      </x:c>
      <x:c r="K833" s="9" t="n">
        <x:v>0</x:v>
      </x:c>
      <x:c r="L833" s="13" t="n">
        <x:f>SUMIFS('Payments'!$D$5:$D$3014,'Payments'!$B$5:$B$3014,A833)</x:f>
        <x:v>2124.01</x:v>
      </x:c>
      <x:c r="M833" s="13" t="n">
        <x:f>G833-L833</x:f>
        <x:v>22343.089999999997</x:v>
      </x:c>
      <x:c r="N833" s="9" t="str">
        <x:f>IF(H833=0,"0 Current",IF(H833&lt;=30,"1 1-30",IF(H833&lt;=60,"2 31-60",IF(H833&lt;=90,"3 61-90",IF(H833&lt;=120,"4 91-120","5 121+")))))</x:f>
        <x:v>4 91-120</x:v>
      </x:c>
      <x:c r="O833" s="9" t="n">
        <x:f>IF(J833&gt;0,1,0)</x:f>
        <x:v>1</x:v>
      </x:c>
    </x:row>
    <x:row r="834">
      <x:c r="A834" s="15" t="str">
        <x:v>830</x:v>
      </x:c>
      <x:c r="B834" s="9" t="str">
        <x:v>Jordan</x:v>
      </x:c>
      <x:c r="C834" s="9" t="str">
        <x:v>Credit Card</x:v>
      </x:c>
      <x:c r="D834" s="9" t="str">
        <x:v>West</x:v>
      </x:c>
      <x:c r="E834" s="9" t="n">
        <x:v>677</x:v>
      </x:c>
      <x:c r="F834" s="11" t="n">
        <x:v>46049</x:v>
      </x:c>
      <x:c r="G834" s="13" t="n">
        <x:v>13484.93</x:v>
      </x:c>
      <x:c r="H834" s="9" t="n">
        <x:v>118</x:v>
      </x:c>
      <x:c r="I834" s="9" t="n">
        <x:v>6</x:v>
      </x:c>
      <x:c r="J834" s="9" t="n">
        <x:v>3</x:v>
      </x:c>
      <x:c r="K834" s="9" t="n">
        <x:v>1</x:v>
      </x:c>
      <x:c r="L834" s="13" t="n">
        <x:f>SUMIFS('Payments'!$D$5:$D$3014,'Payments'!$B$5:$B$3014,A834)</x:f>
        <x:v>0</x:v>
      </x:c>
      <x:c r="M834" s="13" t="n">
        <x:f>G834-L834</x:f>
        <x:v>13484.93</x:v>
      </x:c>
      <x:c r="N834" s="9" t="str">
        <x:f>IF(H834=0,"0 Current",IF(H834&lt;=30,"1 1-30",IF(H834&lt;=60,"2 31-60",IF(H834&lt;=90,"3 61-90",IF(H834&lt;=120,"4 91-120","5 121+")))))</x:f>
        <x:v>4 91-120</x:v>
      </x:c>
      <x:c r="O834" s="9" t="n">
        <x:f>IF(J834&gt;0,1,0)</x:f>
        <x:v>1</x:v>
      </x:c>
    </x:row>
    <x:row r="835">
      <x:c r="A835" s="15" t="str">
        <x:v>831</x:v>
      </x:c>
      <x:c r="B835" s="9" t="str">
        <x:v>Casey</x:v>
      </x:c>
      <x:c r="C835" s="9" t="str">
        <x:v>Credit Card</x:v>
      </x:c>
      <x:c r="D835" s="9" t="str">
        <x:v>West</x:v>
      </x:c>
      <x:c r="E835" s="9" t="n">
        <x:v>502</x:v>
      </x:c>
      <x:c r="F835" s="11" t="n">
        <x:v>46070</x:v>
      </x:c>
      <x:c r="G835" s="13" t="n">
        <x:v>12824.25</x:v>
      </x:c>
      <x:c r="H835" s="9" t="n">
        <x:v>171</x:v>
      </x:c>
      <x:c r="I835" s="9" t="n">
        <x:v>7</x:v>
      </x:c>
      <x:c r="J835" s="9" t="n">
        <x:v>3</x:v>
      </x:c>
      <x:c r="K835" s="9" t="n">
        <x:v>1</x:v>
      </x:c>
      <x:c r="L835" s="13" t="n">
        <x:f>SUMIFS('Payments'!$D$5:$D$3014,'Payments'!$B$5:$B$3014,A835)</x:f>
        <x:v>0</x:v>
      </x:c>
      <x:c r="M835" s="13" t="n">
        <x:f>G835-L835</x:f>
        <x:v>12824.25</x:v>
      </x:c>
      <x:c r="N835" s="9" t="str">
        <x:f>IF(H835=0,"0 Current",IF(H835&lt;=30,"1 1-30",IF(H835&lt;=60,"2 31-60",IF(H835&lt;=90,"3 61-90",IF(H835&lt;=120,"4 91-120","5 121+")))))</x:f>
        <x:v>5 121+</x:v>
      </x:c>
      <x:c r="O835" s="9" t="n">
        <x:f>IF(J835&gt;0,1,0)</x:f>
        <x:v>1</x:v>
      </x:c>
    </x:row>
    <x:row r="836">
      <x:c r="A836" s="15" t="str">
        <x:v>832</x:v>
      </x:c>
      <x:c r="B836" s="9" t="str">
        <x:v>Taylor</x:v>
      </x:c>
      <x:c r="C836" s="9" t="str">
        <x:v>Medical</x:v>
      </x:c>
      <x:c r="D836" s="9" t="str">
        <x:v>South</x:v>
      </x:c>
      <x:c r="E836" s="9" t="n">
        <x:v>729</x:v>
      </x:c>
      <x:c r="F836" s="11" t="n">
        <x:v>46093</x:v>
      </x:c>
      <x:c r="G836" s="13" t="n">
        <x:v>14406.26</x:v>
      </x:c>
      <x:c r="H836" s="9" t="n">
        <x:v>119</x:v>
      </x:c>
      <x:c r="I836" s="9" t="n">
        <x:v>4</x:v>
      </x:c>
      <x:c r="J836" s="9" t="n">
        <x:v>2</x:v>
      </x:c>
      <x:c r="K836" s="9" t="n">
        <x:v>0</x:v>
      </x:c>
      <x:c r="L836" s="13" t="n">
        <x:f>SUMIFS('Payments'!$D$5:$D$3014,'Payments'!$B$5:$B$3014,A836)</x:f>
        <x:v>3527.12</x:v>
      </x:c>
      <x:c r="M836" s="13" t="n">
        <x:f>G836-L836</x:f>
        <x:v>10879.14</x:v>
      </x:c>
      <x:c r="N836" s="9" t="str">
        <x:f>IF(H836=0,"0 Current",IF(H836&lt;=30,"1 1-30",IF(H836&lt;=60,"2 31-60",IF(H836&lt;=90,"3 61-90",IF(H836&lt;=120,"4 91-120","5 121+")))))</x:f>
        <x:v>4 91-120</x:v>
      </x:c>
      <x:c r="O836" s="9" t="n">
        <x:f>IF(J836&gt;0,1,0)</x:f>
        <x:v>1</x:v>
      </x:c>
    </x:row>
    <x:row r="837">
      <x:c r="A837" s="15" t="str">
        <x:v>833</x:v>
      </x:c>
      <x:c r="B837" s="9" t="str">
        <x:v>Taylor</x:v>
      </x:c>
      <x:c r="C837" s="9" t="str">
        <x:v>Credit Card</x:v>
      </x:c>
      <x:c r="D837" s="9" t="str">
        <x:v>South</x:v>
      </x:c>
      <x:c r="E837" s="9" t="n">
        <x:v>548</x:v>
      </x:c>
      <x:c r="F837" s="11" t="n">
        <x:v>46088</x:v>
      </x:c>
      <x:c r="G837" s="13" t="n">
        <x:v>13715.15</x:v>
      </x:c>
      <x:c r="H837" s="9" t="n">
        <x:v>101</x:v>
      </x:c>
      <x:c r="I837" s="9" t="n">
        <x:v>1</x:v>
      </x:c>
      <x:c r="J837" s="9" t="n">
        <x:v>0</x:v>
      </x:c>
      <x:c r="K837" s="9" t="n">
        <x:v>0</x:v>
      </x:c>
      <x:c r="L837" s="13" t="n">
        <x:f>SUMIFS('Payments'!$D$5:$D$3014,'Payments'!$B$5:$B$3014,A837)</x:f>
        <x:v>380.71</x:v>
      </x:c>
      <x:c r="M837" s="13" t="n">
        <x:f>G837-L837</x:f>
        <x:v>13334.44</x:v>
      </x:c>
      <x:c r="N837" s="9" t="str">
        <x:f>IF(H837=0,"0 Current",IF(H837&lt;=30,"1 1-30",IF(H837&lt;=60,"2 31-60",IF(H837&lt;=90,"3 61-90",IF(H837&lt;=120,"4 91-120","5 121+")))))</x:f>
        <x:v>4 91-120</x:v>
      </x:c>
      <x:c r="O837" s="9" t="n">
        <x:f>IF(J837&gt;0,1,0)</x:f>
        <x:v>0</x:v>
      </x:c>
    </x:row>
    <x:row r="838">
      <x:c r="A838" s="15" t="str">
        <x:v>834</x:v>
      </x:c>
      <x:c r="B838" s="9" t="str">
        <x:v>Morgan</x:v>
      </x:c>
      <x:c r="C838" s="9" t="str">
        <x:v>Credit Card</x:v>
      </x:c>
      <x:c r="D838" s="9" t="str">
        <x:v>Northeast</x:v>
      </x:c>
      <x:c r="E838" s="9" t="n">
        <x:v>748</x:v>
      </x:c>
      <x:c r="F838" s="11" t="n">
        <x:v>46139</x:v>
      </x:c>
      <x:c r="G838" s="13" t="n">
        <x:v>22570.9</x:v>
      </x:c>
      <x:c r="H838" s="9" t="n">
        <x:v>139</x:v>
      </x:c>
      <x:c r="I838" s="9" t="n">
        <x:v>3</x:v>
      </x:c>
      <x:c r="J838" s="9" t="n">
        <x:v>0</x:v>
      </x:c>
      <x:c r="K838" s="9" t="n">
        <x:v>0</x:v>
      </x:c>
      <x:c r="L838" s="13" t="n">
        <x:f>SUMIFS('Payments'!$D$5:$D$3014,'Payments'!$B$5:$B$3014,A838)</x:f>
        <x:v>0</x:v>
      </x:c>
      <x:c r="M838" s="13" t="n">
        <x:f>G838-L838</x:f>
        <x:v>22570.9</x:v>
      </x:c>
      <x:c r="N838" s="9" t="str">
        <x:f>IF(H838=0,"0 Current",IF(H838&lt;=30,"1 1-30",IF(H838&lt;=60,"2 31-60",IF(H838&lt;=90,"3 61-90",IF(H838&lt;=120,"4 91-120","5 121+")))))</x:f>
        <x:v>5 121+</x:v>
      </x:c>
      <x:c r="O838" s="9" t="n">
        <x:f>IF(J838&gt;0,1,0)</x:f>
        <x:v>0</x:v>
      </x:c>
    </x:row>
    <x:row r="839">
      <x:c r="A839" s="15" t="str">
        <x:v>835</x:v>
      </x:c>
      <x:c r="B839" s="9" t="str">
        <x:v>Alex</x:v>
      </x:c>
      <x:c r="C839" s="9" t="str">
        <x:v>Auto</x:v>
      </x:c>
      <x:c r="D839" s="9" t="str">
        <x:v>West</x:v>
      </x:c>
      <x:c r="E839" s="9" t="n">
        <x:v>610</x:v>
      </x:c>
      <x:c r="F839" s="11" t="n">
        <x:v>46105</x:v>
      </x:c>
      <x:c r="G839" s="13" t="n">
        <x:v>9967.28</x:v>
      </x:c>
      <x:c r="H839" s="9" t="n">
        <x:v>218</x:v>
      </x:c>
      <x:c r="I839" s="9" t="n">
        <x:v>1</x:v>
      </x:c>
      <x:c r="J839" s="9" t="n">
        <x:v>1</x:v>
      </x:c>
      <x:c r="K839" s="9" t="n">
        <x:v>1</x:v>
      </x:c>
      <x:c r="L839" s="13" t="n">
        <x:f>SUMIFS('Payments'!$D$5:$D$3014,'Payments'!$B$5:$B$3014,A839)</x:f>
        <x:v>0</x:v>
      </x:c>
      <x:c r="M839" s="13" t="n">
        <x:f>G839-L839</x:f>
        <x:v>9967.28</x:v>
      </x:c>
      <x:c r="N839" s="9" t="str">
        <x:f>IF(H839=0,"0 Current",IF(H839&lt;=30,"1 1-30",IF(H839&lt;=60,"2 31-60",IF(H839&lt;=90,"3 61-90",IF(H839&lt;=120,"4 91-120","5 121+")))))</x:f>
        <x:v>5 121+</x:v>
      </x:c>
      <x:c r="O839" s="9" t="n">
        <x:f>IF(J839&gt;0,1,0)</x:f>
        <x:v>1</x:v>
      </x:c>
    </x:row>
    <x:row r="840">
      <x:c r="A840" s="15" t="str">
        <x:v>836</x:v>
      </x:c>
      <x:c r="B840" s="9" t="str">
        <x:v>Jordan</x:v>
      </x:c>
      <x:c r="C840" s="9" t="str">
        <x:v>Auto</x:v>
      </x:c>
      <x:c r="D840" s="9" t="str">
        <x:v>Northeast</x:v>
      </x:c>
      <x:c r="E840" s="9" t="n">
        <x:v>784</x:v>
      </x:c>
      <x:c r="F840" s="11" t="n">
        <x:v>46152</x:v>
      </x:c>
      <x:c r="G840" s="13" t="n">
        <x:v>21331.69</x:v>
      </x:c>
      <x:c r="H840" s="9" t="n">
        <x:v>24</x:v>
      </x:c>
      <x:c r="I840" s="9" t="n">
        <x:v>0</x:v>
      </x:c>
      <x:c r="J840" s="9" t="n">
        <x:v>0</x:v>
      </x:c>
      <x:c r="K840" s="9" t="n">
        <x:v>0</x:v>
      </x:c>
      <x:c r="L840" s="13" t="n">
        <x:f>SUMIFS('Payments'!$D$5:$D$3014,'Payments'!$B$5:$B$3014,A840)</x:f>
        <x:v>3667.99</x:v>
      </x:c>
      <x:c r="M840" s="13" t="n">
        <x:f>G840-L840</x:f>
        <x:v>17663.699999999997</x:v>
      </x:c>
      <x:c r="N840" s="9" t="str">
        <x:f>IF(H840=0,"0 Current",IF(H840&lt;=30,"1 1-30",IF(H840&lt;=60,"2 31-60",IF(H840&lt;=90,"3 61-90",IF(H840&lt;=120,"4 91-120","5 121+")))))</x:f>
        <x:v>1 1-30</x:v>
      </x:c>
      <x:c r="O840" s="9" t="n">
        <x:f>IF(J840&gt;0,1,0)</x:f>
        <x:v>0</x:v>
      </x:c>
    </x:row>
    <x:row r="841">
      <x:c r="A841" s="15" t="str">
        <x:v>837</x:v>
      </x:c>
      <x:c r="B841" s="9" t="str">
        <x:v>Jordan</x:v>
      </x:c>
      <x:c r="C841" s="9" t="str">
        <x:v>Auto</x:v>
      </x:c>
      <x:c r="D841" s="9" t="str">
        <x:v>Northeast</x:v>
      </x:c>
      <x:c r="E841" s="9" t="n">
        <x:v>565</x:v>
      </x:c>
      <x:c r="F841" s="11" t="n">
        <x:v>46030</x:v>
      </x:c>
      <x:c r="G841" s="13" t="n">
        <x:v>4977.24</x:v>
      </x:c>
      <x:c r="H841" s="9" t="n">
        <x:v>28</x:v>
      </x:c>
      <x:c r="I841" s="9" t="n">
        <x:v>7</x:v>
      </x:c>
      <x:c r="J841" s="9" t="n">
        <x:v>3</x:v>
      </x:c>
      <x:c r="K841" s="9" t="n">
        <x:v>1</x:v>
      </x:c>
      <x:c r="L841" s="13" t="n">
        <x:f>SUMIFS('Payments'!$D$5:$D$3014,'Payments'!$B$5:$B$3014,A841)</x:f>
        <x:v>846.0899999999999</x:v>
      </x:c>
      <x:c r="M841" s="13" t="n">
        <x:f>G841-L841</x:f>
        <x:v>4131.15</x:v>
      </x:c>
      <x:c r="N841" s="9" t="str">
        <x:f>IF(H841=0,"0 Current",IF(H841&lt;=30,"1 1-30",IF(H841&lt;=60,"2 31-60",IF(H841&lt;=90,"3 61-90",IF(H841&lt;=120,"4 91-120","5 121+")))))</x:f>
        <x:v>1 1-30</x:v>
      </x:c>
      <x:c r="O841" s="9" t="n">
        <x:f>IF(J841&gt;0,1,0)</x:f>
        <x:v>1</x:v>
      </x:c>
    </x:row>
    <x:row r="842">
      <x:c r="A842" s="15" t="str">
        <x:v>838</x:v>
      </x:c>
      <x:c r="B842" s="9" t="str">
        <x:v>Riley</x:v>
      </x:c>
      <x:c r="C842" s="9" t="str">
        <x:v>Personal Loan</x:v>
      </x:c>
      <x:c r="D842" s="9" t="str">
        <x:v>Northeast</x:v>
      </x:c>
      <x:c r="E842" s="9" t="n">
        <x:v>810</x:v>
      </x:c>
      <x:c r="F842" s="11" t="n">
        <x:v>46041</x:v>
      </x:c>
      <x:c r="G842" s="13" t="n">
        <x:v>5666.27</x:v>
      </x:c>
      <x:c r="H842" s="9" t="n">
        <x:v>27</x:v>
      </x:c>
      <x:c r="I842" s="9" t="n">
        <x:v>2</x:v>
      </x:c>
      <x:c r="J842" s="9" t="n">
        <x:v>1</x:v>
      </x:c>
      <x:c r="K842" s="9" t="n">
        <x:v>1</x:v>
      </x:c>
      <x:c r="L842" s="13" t="n">
        <x:f>SUMIFS('Payments'!$D$5:$D$3014,'Payments'!$B$5:$B$3014,A842)</x:f>
        <x:v>1870.31</x:v>
      </x:c>
      <x:c r="M842" s="13" t="n">
        <x:f>G842-L842</x:f>
        <x:v>3795.9600000000005</x:v>
      </x:c>
      <x:c r="N842" s="9" t="str">
        <x:f>IF(H842=0,"0 Current",IF(H842&lt;=30,"1 1-30",IF(H842&lt;=60,"2 31-60",IF(H842&lt;=90,"3 61-90",IF(H842&lt;=120,"4 91-120","5 121+")))))</x:f>
        <x:v>1 1-30</x:v>
      </x:c>
      <x:c r="O842" s="9" t="n">
        <x:f>IF(J842&gt;0,1,0)</x:f>
        <x:v>1</x:v>
      </x:c>
    </x:row>
    <x:row r="843">
      <x:c r="A843" s="15" t="str">
        <x:v>839</x:v>
      </x:c>
      <x:c r="B843" s="9" t="str">
        <x:v>Alex</x:v>
      </x:c>
      <x:c r="C843" s="9" t="str">
        <x:v>Medical</x:v>
      </x:c>
      <x:c r="D843" s="9" t="str">
        <x:v>South</x:v>
      </x:c>
      <x:c r="E843" s="9" t="n">
        <x:v>559</x:v>
      </x:c>
      <x:c r="F843" s="11" t="n">
        <x:v>46152</x:v>
      </x:c>
      <x:c r="G843" s="13" t="n">
        <x:v>6702.63</x:v>
      </x:c>
      <x:c r="H843" s="9" t="n">
        <x:v>115</x:v>
      </x:c>
      <x:c r="I843" s="9" t="n">
        <x:v>1</x:v>
      </x:c>
      <x:c r="J843" s="9" t="n">
        <x:v>1</x:v>
      </x:c>
      <x:c r="K843" s="9" t="n">
        <x:v>1</x:v>
      </x:c>
      <x:c r="L843" s="13" t="n">
        <x:f>SUMIFS('Payments'!$D$5:$D$3014,'Payments'!$B$5:$B$3014,A843)</x:f>
        <x:v>1007.5699999999999</x:v>
      </x:c>
      <x:c r="M843" s="13" t="n">
        <x:f>G843-L843</x:f>
        <x:v>5695.06</x:v>
      </x:c>
      <x:c r="N843" s="9" t="str">
        <x:f>IF(H843=0,"0 Current",IF(H843&lt;=30,"1 1-30",IF(H843&lt;=60,"2 31-60",IF(H843&lt;=90,"3 61-90",IF(H843&lt;=120,"4 91-120","5 121+")))))</x:f>
        <x:v>4 91-120</x:v>
      </x:c>
      <x:c r="O843" s="9" t="n">
        <x:f>IF(J843&gt;0,1,0)</x:f>
        <x:v>1</x:v>
      </x:c>
    </x:row>
    <x:row r="844">
      <x:c r="A844" s="15" t="str">
        <x:v>840</x:v>
      </x:c>
      <x:c r="B844" s="9" t="str">
        <x:v>Riley</x:v>
      </x:c>
      <x:c r="C844" s="9" t="str">
        <x:v>Auto</x:v>
      </x:c>
      <x:c r="D844" s="9" t="str">
        <x:v>West</x:v>
      </x:c>
      <x:c r="E844" s="9" t="n">
        <x:v>682</x:v>
      </x:c>
      <x:c r="F844" s="11" t="n">
        <x:v>46098</x:v>
      </x:c>
      <x:c r="G844" s="13" t="n">
        <x:v>5954.79</x:v>
      </x:c>
      <x:c r="H844" s="9" t="n">
        <x:v>240</x:v>
      </x:c>
      <x:c r="I844" s="9" t="n">
        <x:v>5</x:v>
      </x:c>
      <x:c r="J844" s="9" t="n">
        <x:v>2</x:v>
      </x:c>
      <x:c r="K844" s="9" t="n">
        <x:v>1</x:v>
      </x:c>
      <x:c r="L844" s="13" t="n">
        <x:f>SUMIFS('Payments'!$D$5:$D$3014,'Payments'!$B$5:$B$3014,A844)</x:f>
        <x:v>0</x:v>
      </x:c>
      <x:c r="M844" s="13" t="n">
        <x:f>G844-L844</x:f>
        <x:v>5954.79</x:v>
      </x:c>
      <x:c r="N844" s="9" t="str">
        <x:f>IF(H844=0,"0 Current",IF(H844&lt;=30,"1 1-30",IF(H844&lt;=60,"2 31-60",IF(H844&lt;=90,"3 61-90",IF(H844&lt;=120,"4 91-120","5 121+")))))</x:f>
        <x:v>5 121+</x:v>
      </x:c>
      <x:c r="O844" s="9" t="n">
        <x:f>IF(J844&gt;0,1,0)</x:f>
        <x:v>1</x:v>
      </x:c>
    </x:row>
    <x:row r="845">
      <x:c r="A845" s="15" t="str">
        <x:v>841</x:v>
      </x:c>
      <x:c r="B845" s="9" t="str">
        <x:v>Alex</x:v>
      </x:c>
      <x:c r="C845" s="9" t="str">
        <x:v>Medical</x:v>
      </x:c>
      <x:c r="D845" s="9" t="str">
        <x:v>South</x:v>
      </x:c>
      <x:c r="E845" s="9" t="n">
        <x:v>643</x:v>
      </x:c>
      <x:c r="F845" s="11" t="n">
        <x:v>46155</x:v>
      </x:c>
      <x:c r="G845" s="13" t="n">
        <x:v>4525.91</x:v>
      </x:c>
      <x:c r="H845" s="9" t="n">
        <x:v>109</x:v>
      </x:c>
      <x:c r="I845" s="9" t="n">
        <x:v>0</x:v>
      </x:c>
      <x:c r="J845" s="9" t="n">
        <x:v>0</x:v>
      </x:c>
      <x:c r="K845" s="9" t="n">
        <x:v>0</x:v>
      </x:c>
      <x:c r="L845" s="13" t="n">
        <x:f>SUMIFS('Payments'!$D$5:$D$3014,'Payments'!$B$5:$B$3014,A845)</x:f>
        <x:v>0</x:v>
      </x:c>
      <x:c r="M845" s="13" t="n">
        <x:f>G845-L845</x:f>
        <x:v>4525.91</x:v>
      </x:c>
      <x:c r="N845" s="9" t="str">
        <x:f>IF(H845=0,"0 Current",IF(H845&lt;=30,"1 1-30",IF(H845&lt;=60,"2 31-60",IF(H845&lt;=90,"3 61-90",IF(H845&lt;=120,"4 91-120","5 121+")))))</x:f>
        <x:v>4 91-120</x:v>
      </x:c>
      <x:c r="O845" s="9" t="n">
        <x:f>IF(J845&gt;0,1,0)</x:f>
        <x:v>0</x:v>
      </x:c>
    </x:row>
    <x:row r="846">
      <x:c r="A846" s="15" t="str">
        <x:v>842</x:v>
      </x:c>
      <x:c r="B846" s="9" t="str">
        <x:v>Riley</x:v>
      </x:c>
      <x:c r="C846" s="9" t="str">
        <x:v>Medical</x:v>
      </x:c>
      <x:c r="D846" s="9" t="str">
        <x:v>Northeast</x:v>
      </x:c>
      <x:c r="E846" s="9" t="n">
        <x:v>533</x:v>
      </x:c>
      <x:c r="F846" s="11" t="n">
        <x:v>46072</x:v>
      </x:c>
      <x:c r="G846" s="13" t="n">
        <x:v>2823.11</x:v>
      </x:c>
      <x:c r="H846" s="9" t="n">
        <x:v>92</x:v>
      </x:c>
      <x:c r="I846" s="9" t="n">
        <x:v>1</x:v>
      </x:c>
      <x:c r="J846" s="9" t="n">
        <x:v>1</x:v>
      </x:c>
      <x:c r="K846" s="9" t="n">
        <x:v>1</x:v>
      </x:c>
      <x:c r="L846" s="13" t="n">
        <x:f>SUMIFS('Payments'!$D$5:$D$3014,'Payments'!$B$5:$B$3014,A846)</x:f>
        <x:v>409.51000000000005</x:v>
      </x:c>
      <x:c r="M846" s="13" t="n">
        <x:f>G846-L846</x:f>
        <x:v>2413.6</x:v>
      </x:c>
      <x:c r="N846" s="9" t="str">
        <x:f>IF(H846=0,"0 Current",IF(H846&lt;=30,"1 1-30",IF(H846&lt;=60,"2 31-60",IF(H846&lt;=90,"3 61-90",IF(H846&lt;=120,"4 91-120","5 121+")))))</x:f>
        <x:v>4 91-120</x:v>
      </x:c>
      <x:c r="O846" s="9" t="n">
        <x:f>IF(J846&gt;0,1,0)</x:f>
        <x:v>1</x:v>
      </x:c>
    </x:row>
    <x:row r="847">
      <x:c r="A847" s="15" t="str">
        <x:v>843</x:v>
      </x:c>
      <x:c r="B847" s="9" t="str">
        <x:v>Casey</x:v>
      </x:c>
      <x:c r="C847" s="9" t="str">
        <x:v>Medical</x:v>
      </x:c>
      <x:c r="D847" s="9" t="str">
        <x:v>West</x:v>
      </x:c>
      <x:c r="E847" s="9" t="n">
        <x:v>598</x:v>
      </x:c>
      <x:c r="F847" s="11" t="n">
        <x:v>46077</x:v>
      </x:c>
      <x:c r="G847" s="13" t="n">
        <x:v>4692.02</x:v>
      </x:c>
      <x:c r="H847" s="9" t="n">
        <x:v>65</x:v>
      </x:c>
      <x:c r="I847" s="9" t="n">
        <x:v>8</x:v>
      </x:c>
      <x:c r="J847" s="9" t="n">
        <x:v>5</x:v>
      </x:c>
      <x:c r="K847" s="9" t="n">
        <x:v>1</x:v>
      </x:c>
      <x:c r="L847" s="13" t="n">
        <x:f>SUMIFS('Payments'!$D$5:$D$3014,'Payments'!$B$5:$B$3014,A847)</x:f>
        <x:v>788.8499999999999</x:v>
      </x:c>
      <x:c r="M847" s="13" t="n">
        <x:f>G847-L847</x:f>
        <x:v>3903.1700000000005</x:v>
      </x:c>
      <x:c r="N847" s="9" t="str">
        <x:f>IF(H847=0,"0 Current",IF(H847&lt;=30,"1 1-30",IF(H847&lt;=60,"2 31-60",IF(H847&lt;=90,"3 61-90",IF(H847&lt;=120,"4 91-120","5 121+")))))</x:f>
        <x:v>3 61-90</x:v>
      </x:c>
      <x:c r="O847" s="9" t="n">
        <x:f>IF(J847&gt;0,1,0)</x:f>
        <x:v>1</x:v>
      </x:c>
    </x:row>
    <x:row r="848">
      <x:c r="A848" s="15" t="str">
        <x:v>844</x:v>
      </x:c>
      <x:c r="B848" s="9" t="str">
        <x:v>Casey</x:v>
      </x:c>
      <x:c r="C848" s="9" t="str">
        <x:v>Personal Loan</x:v>
      </x:c>
      <x:c r="D848" s="9" t="str">
        <x:v>Northeast</x:v>
      </x:c>
      <x:c r="E848" s="9" t="n">
        <x:v>632</x:v>
      </x:c>
      <x:c r="F848" s="11" t="n">
        <x:v>46033</x:v>
      </x:c>
      <x:c r="G848" s="13" t="n">
        <x:v>5358.2</x:v>
      </x:c>
      <x:c r="H848" s="9" t="n">
        <x:v>229</x:v>
      </x:c>
      <x:c r="I848" s="9" t="n">
        <x:v>8</x:v>
      </x:c>
      <x:c r="J848" s="9" t="n">
        <x:v>1</x:v>
      </x:c>
      <x:c r="K848" s="9" t="n">
        <x:v>0</x:v>
      </x:c>
      <x:c r="L848" s="13" t="n">
        <x:f>SUMIFS('Payments'!$D$5:$D$3014,'Payments'!$B$5:$B$3014,A848)</x:f>
        <x:v>1393.19</x:v>
      </x:c>
      <x:c r="M848" s="13" t="n">
        <x:f>G848-L848</x:f>
        <x:v>3965.0099999999998</x:v>
      </x:c>
      <x:c r="N848" s="9" t="str">
        <x:f>IF(H848=0,"0 Current",IF(H848&lt;=30,"1 1-30",IF(H848&lt;=60,"2 31-60",IF(H848&lt;=90,"3 61-90",IF(H848&lt;=120,"4 91-120","5 121+")))))</x:f>
        <x:v>5 121+</x:v>
      </x:c>
      <x:c r="O848" s="9" t="n">
        <x:f>IF(J848&gt;0,1,0)</x:f>
        <x:v>1</x:v>
      </x:c>
    </x:row>
    <x:row r="849">
      <x:c r="A849" s="15" t="str">
        <x:v>845</x:v>
      </x:c>
      <x:c r="B849" s="9" t="str">
        <x:v>Jordan</x:v>
      </x:c>
      <x:c r="C849" s="9" t="str">
        <x:v>Medical</x:v>
      </x:c>
      <x:c r="D849" s="9" t="str">
        <x:v>Northeast</x:v>
      </x:c>
      <x:c r="E849" s="9" t="n">
        <x:v>622</x:v>
      </x:c>
      <x:c r="F849" s="11" t="n">
        <x:v>46039</x:v>
      </x:c>
      <x:c r="G849" s="13" t="n">
        <x:v>12636.2</x:v>
      </x:c>
      <x:c r="H849" s="9" t="n">
        <x:v>239</x:v>
      </x:c>
      <x:c r="I849" s="9" t="n">
        <x:v>7</x:v>
      </x:c>
      <x:c r="J849" s="9" t="n">
        <x:v>5</x:v>
      </x:c>
      <x:c r="K849" s="9" t="n">
        <x:v>1</x:v>
      </x:c>
      <x:c r="L849" s="13" t="n">
        <x:f>SUMIFS('Payments'!$D$5:$D$3014,'Payments'!$B$5:$B$3014,A849)</x:f>
        <x:v>0</x:v>
      </x:c>
      <x:c r="M849" s="13" t="n">
        <x:f>G849-L849</x:f>
        <x:v>12636.2</x:v>
      </x:c>
      <x:c r="N849" s="9" t="str">
        <x:f>IF(H849=0,"0 Current",IF(H849&lt;=30,"1 1-30",IF(H849&lt;=60,"2 31-60",IF(H849&lt;=90,"3 61-90",IF(H849&lt;=120,"4 91-120","5 121+")))))</x:f>
        <x:v>5 121+</x:v>
      </x:c>
      <x:c r="O849" s="9" t="n">
        <x:f>IF(J849&gt;0,1,0)</x:f>
        <x:v>1</x:v>
      </x:c>
    </x:row>
    <x:row r="850">
      <x:c r="A850" s="15" t="str">
        <x:v>846</x:v>
      </x:c>
      <x:c r="B850" s="9" t="str">
        <x:v>Riley</x:v>
      </x:c>
      <x:c r="C850" s="9" t="str">
        <x:v>Personal Loan</x:v>
      </x:c>
      <x:c r="D850" s="9" t="str">
        <x:v>Midwest</x:v>
      </x:c>
      <x:c r="E850" s="9" t="n">
        <x:v>540</x:v>
      </x:c>
      <x:c r="F850" s="11" t="n">
        <x:v>46139</x:v>
      </x:c>
      <x:c r="G850" s="13" t="n">
        <x:v>4260.38</x:v>
      </x:c>
      <x:c r="H850" s="9" t="n">
        <x:v>37</x:v>
      </x:c>
      <x:c r="I850" s="9" t="n">
        <x:v>1</x:v>
      </x:c>
      <x:c r="J850" s="9" t="n">
        <x:v>0</x:v>
      </x:c>
      <x:c r="K850" s="9" t="n">
        <x:v>0</x:v>
      </x:c>
      <x:c r="L850" s="13" t="n">
        <x:f>SUMIFS('Payments'!$D$5:$D$3014,'Payments'!$B$5:$B$3014,A850)</x:f>
        <x:v>1446.72</x:v>
      </x:c>
      <x:c r="M850" s="13" t="n">
        <x:f>G850-L850</x:f>
        <x:v>2813.66</x:v>
      </x:c>
      <x:c r="N850" s="9" t="str">
        <x:f>IF(H850=0,"0 Current",IF(H850&lt;=30,"1 1-30",IF(H850&lt;=60,"2 31-60",IF(H850&lt;=90,"3 61-90",IF(H850&lt;=120,"4 91-120","5 121+")))))</x:f>
        <x:v>2 31-60</x:v>
      </x:c>
      <x:c r="O850" s="9" t="n">
        <x:f>IF(J850&gt;0,1,0)</x:f>
        <x:v>0</x:v>
      </x:c>
    </x:row>
    <x:row r="851">
      <x:c r="A851" s="15" t="str">
        <x:v>847</x:v>
      </x:c>
      <x:c r="B851" s="9" t="str">
        <x:v>Riley</x:v>
      </x:c>
      <x:c r="C851" s="9" t="str">
        <x:v>Medical</x:v>
      </x:c>
      <x:c r="D851" s="9" t="str">
        <x:v>West</x:v>
      </x:c>
      <x:c r="E851" s="9" t="n">
        <x:v>461</x:v>
      </x:c>
      <x:c r="F851" s="11" t="n">
        <x:v>46151</x:v>
      </x:c>
      <x:c r="G851" s="13" t="n">
        <x:v>13485.28</x:v>
      </x:c>
      <x:c r="H851" s="9" t="n">
        <x:v>44</x:v>
      </x:c>
      <x:c r="I851" s="9" t="n">
        <x:v>3</x:v>
      </x:c>
      <x:c r="J851" s="9" t="n">
        <x:v>2</x:v>
      </x:c>
      <x:c r="K851" s="9" t="n">
        <x:v>1</x:v>
      </x:c>
      <x:c r="L851" s="13" t="n">
        <x:f>SUMIFS('Payments'!$D$5:$D$3014,'Payments'!$B$5:$B$3014,A851)</x:f>
        <x:v>294.04</x:v>
      </x:c>
      <x:c r="M851" s="13" t="n">
        <x:f>G851-L851</x:f>
        <x:v>13191.24</x:v>
      </x:c>
      <x:c r="N851" s="9" t="str">
        <x:f>IF(H851=0,"0 Current",IF(H851&lt;=30,"1 1-30",IF(H851&lt;=60,"2 31-60",IF(H851&lt;=90,"3 61-90",IF(H851&lt;=120,"4 91-120","5 121+")))))</x:f>
        <x:v>2 31-60</x:v>
      </x:c>
      <x:c r="O851" s="9" t="n">
        <x:f>IF(J851&gt;0,1,0)</x:f>
        <x:v>1</x:v>
      </x:c>
    </x:row>
    <x:row r="852">
      <x:c r="A852" s="15" t="str">
        <x:v>848</x:v>
      </x:c>
      <x:c r="B852" s="9" t="str">
        <x:v>Riley</x:v>
      </x:c>
      <x:c r="C852" s="9" t="str">
        <x:v>Credit Card</x:v>
      </x:c>
      <x:c r="D852" s="9" t="str">
        <x:v>Midwest</x:v>
      </x:c>
      <x:c r="E852" s="9" t="n">
        <x:v>534</x:v>
      </x:c>
      <x:c r="F852" s="11" t="n">
        <x:v>46037</x:v>
      </x:c>
      <x:c r="G852" s="13" t="n">
        <x:v>17605.17</x:v>
      </x:c>
      <x:c r="H852" s="9" t="n">
        <x:v>142</x:v>
      </x:c>
      <x:c r="I852" s="9" t="n">
        <x:v>0</x:v>
      </x:c>
      <x:c r="J852" s="9" t="n">
        <x:v>0</x:v>
      </x:c>
      <x:c r="K852" s="9" t="n">
        <x:v>0</x:v>
      </x:c>
      <x:c r="L852" s="13" t="n">
        <x:f>SUMIFS('Payments'!$D$5:$D$3014,'Payments'!$B$5:$B$3014,A852)</x:f>
        <x:v>3313.13</x:v>
      </x:c>
      <x:c r="M852" s="13" t="n">
        <x:f>G852-L852</x:f>
        <x:v>14292.039999999997</x:v>
      </x:c>
      <x:c r="N852" s="9" t="str">
        <x:f>IF(H852=0,"0 Current",IF(H852&lt;=30,"1 1-30",IF(H852&lt;=60,"2 31-60",IF(H852&lt;=90,"3 61-90",IF(H852&lt;=120,"4 91-120","5 121+")))))</x:f>
        <x:v>5 121+</x:v>
      </x:c>
      <x:c r="O852" s="9" t="n">
        <x:f>IF(J852&gt;0,1,0)</x:f>
        <x:v>0</x:v>
      </x:c>
    </x:row>
    <x:row r="853">
      <x:c r="A853" s="15" t="str">
        <x:v>849</x:v>
      </x:c>
      <x:c r="B853" s="9" t="str">
        <x:v>Taylor</x:v>
      </x:c>
      <x:c r="C853" s="9" t="str">
        <x:v>Medical</x:v>
      </x:c>
      <x:c r="D853" s="9" t="str">
        <x:v>Northeast</x:v>
      </x:c>
      <x:c r="E853" s="9" t="n">
        <x:v>583</x:v>
      </x:c>
      <x:c r="F853" s="11" t="n">
        <x:v>46136</x:v>
      </x:c>
      <x:c r="G853" s="13" t="n">
        <x:v>7794.5</x:v>
      </x:c>
      <x:c r="H853" s="9" t="n">
        <x:v>79</x:v>
      </x:c>
      <x:c r="I853" s="9" t="n">
        <x:v>8</x:v>
      </x:c>
      <x:c r="J853" s="9" t="n">
        <x:v>5</x:v>
      </x:c>
      <x:c r="K853" s="9" t="n">
        <x:v>1</x:v>
      </x:c>
      <x:c r="L853" s="13" t="n">
        <x:f>SUMIFS('Payments'!$D$5:$D$3014,'Payments'!$B$5:$B$3014,A853)</x:f>
        <x:v>2950.25</x:v>
      </x:c>
      <x:c r="M853" s="13" t="n">
        <x:f>G853-L853</x:f>
        <x:v>4844.25</x:v>
      </x:c>
      <x:c r="N853" s="9" t="str">
        <x:f>IF(H853=0,"0 Current",IF(H853&lt;=30,"1 1-30",IF(H853&lt;=60,"2 31-60",IF(H853&lt;=90,"3 61-90",IF(H853&lt;=120,"4 91-120","5 121+")))))</x:f>
        <x:v>3 61-90</x:v>
      </x:c>
      <x:c r="O853" s="9" t="n">
        <x:f>IF(J853&gt;0,1,0)</x:f>
        <x:v>1</x:v>
      </x:c>
    </x:row>
    <x:row r="854">
      <x:c r="A854" s="15" t="str">
        <x:v>850</x:v>
      </x:c>
      <x:c r="B854" s="9" t="str">
        <x:v>Taylor</x:v>
      </x:c>
      <x:c r="C854" s="9" t="str">
        <x:v>Personal Loan</x:v>
      </x:c>
      <x:c r="D854" s="9" t="str">
        <x:v>Northeast</x:v>
      </x:c>
      <x:c r="E854" s="9" t="n">
        <x:v>785</x:v>
      </x:c>
      <x:c r="F854" s="11" t="n">
        <x:v>46060</x:v>
      </x:c>
      <x:c r="G854" s="13" t="n">
        <x:v>18709.38</x:v>
      </x:c>
      <x:c r="H854" s="9" t="n">
        <x:v>23</x:v>
      </x:c>
      <x:c r="I854" s="9" t="n">
        <x:v>0</x:v>
      </x:c>
      <x:c r="J854" s="9" t="n">
        <x:v>0</x:v>
      </x:c>
      <x:c r="K854" s="9" t="n">
        <x:v>0</x:v>
      </x:c>
      <x:c r="L854" s="13" t="n">
        <x:f>SUMIFS('Payments'!$D$5:$D$3014,'Payments'!$B$5:$B$3014,A854)</x:f>
        <x:v>5772.33</x:v>
      </x:c>
      <x:c r="M854" s="13" t="n">
        <x:f>G854-L854</x:f>
        <x:v>12937.050000000001</x:v>
      </x:c>
      <x:c r="N854" s="9" t="str">
        <x:f>IF(H854=0,"0 Current",IF(H854&lt;=30,"1 1-30",IF(H854&lt;=60,"2 31-60",IF(H854&lt;=90,"3 61-90",IF(H854&lt;=120,"4 91-120","5 121+")))))</x:f>
        <x:v>1 1-30</x:v>
      </x:c>
      <x:c r="O854" s="9" t="n">
        <x:f>IF(J854&gt;0,1,0)</x:f>
        <x:v>0</x:v>
      </x:c>
    </x:row>
    <x:row r="855">
      <x:c r="A855" s="15" t="str">
        <x:v>851</x:v>
      </x:c>
      <x:c r="B855" s="9" t="str">
        <x:v>Morgan</x:v>
      </x:c>
      <x:c r="C855" s="9" t="str">
        <x:v>Credit Card</x:v>
      </x:c>
      <x:c r="D855" s="9" t="str">
        <x:v>Midwest</x:v>
      </x:c>
      <x:c r="E855" s="9" t="n">
        <x:v>494</x:v>
      </x:c>
      <x:c r="F855" s="11" t="n">
        <x:v>46166</x:v>
      </x:c>
      <x:c r="G855" s="13" t="n">
        <x:v>20713.57</x:v>
      </x:c>
      <x:c r="H855" s="9" t="n">
        <x:v>172</x:v>
      </x:c>
      <x:c r="I855" s="9" t="n">
        <x:v>8</x:v>
      </x:c>
      <x:c r="J855" s="9" t="n">
        <x:v>4</x:v>
      </x:c>
      <x:c r="K855" s="9" t="n">
        <x:v>0</x:v>
      </x:c>
      <x:c r="L855" s="13" t="n">
        <x:f>SUMIFS('Payments'!$D$5:$D$3014,'Payments'!$B$5:$B$3014,A855)</x:f>
        <x:v>2019.31</x:v>
      </x:c>
      <x:c r="M855" s="13" t="n">
        <x:f>G855-L855</x:f>
        <x:v>18694.26</x:v>
      </x:c>
      <x:c r="N855" s="9" t="str">
        <x:f>IF(H855=0,"0 Current",IF(H855&lt;=30,"1 1-30",IF(H855&lt;=60,"2 31-60",IF(H855&lt;=90,"3 61-90",IF(H855&lt;=120,"4 91-120","5 121+")))))</x:f>
        <x:v>5 121+</x:v>
      </x:c>
      <x:c r="O855" s="9" t="n">
        <x:f>IF(J855&gt;0,1,0)</x:f>
        <x:v>1</x:v>
      </x:c>
    </x:row>
    <x:row r="856">
      <x:c r="A856" s="15" t="str">
        <x:v>852</x:v>
      </x:c>
      <x:c r="B856" s="9" t="str">
        <x:v>Casey</x:v>
      </x:c>
      <x:c r="C856" s="9" t="str">
        <x:v>Credit Card</x:v>
      </x:c>
      <x:c r="D856" s="9" t="str">
        <x:v>South</x:v>
      </x:c>
      <x:c r="E856" s="9" t="n">
        <x:v>439</x:v>
      </x:c>
      <x:c r="F856" s="11" t="n">
        <x:v>46065</x:v>
      </x:c>
      <x:c r="G856" s="13" t="n">
        <x:v>20566.27</x:v>
      </x:c>
      <x:c r="H856" s="9" t="n">
        <x:v>1</x:v>
      </x:c>
      <x:c r="I856" s="9" t="n">
        <x:v>8</x:v>
      </x:c>
      <x:c r="J856" s="9" t="n">
        <x:v>4</x:v>
      </x:c>
      <x:c r="K856" s="9" t="n">
        <x:v>0</x:v>
      </x:c>
      <x:c r="L856" s="13" t="n">
        <x:f>SUMIFS('Payments'!$D$5:$D$3014,'Payments'!$B$5:$B$3014,A856)</x:f>
        <x:v>4027.13</x:v>
      </x:c>
      <x:c r="M856" s="13" t="n">
        <x:f>G856-L856</x:f>
        <x:v>16539.14</x:v>
      </x:c>
      <x:c r="N856" s="9" t="str">
        <x:f>IF(H856=0,"0 Current",IF(H856&lt;=30,"1 1-30",IF(H856&lt;=60,"2 31-60",IF(H856&lt;=90,"3 61-90",IF(H856&lt;=120,"4 91-120","5 121+")))))</x:f>
        <x:v>1 1-30</x:v>
      </x:c>
      <x:c r="O856" s="9" t="n">
        <x:f>IF(J856&gt;0,1,0)</x:f>
        <x:v>1</x:v>
      </x:c>
    </x:row>
    <x:row r="857">
      <x:c r="A857" s="15" t="str">
        <x:v>853</x:v>
      </x:c>
      <x:c r="B857" s="9" t="str">
        <x:v>Morgan</x:v>
      </x:c>
      <x:c r="C857" s="9" t="str">
        <x:v>Auto</x:v>
      </x:c>
      <x:c r="D857" s="9" t="str">
        <x:v>Midwest</x:v>
      </x:c>
      <x:c r="E857" s="9" t="n">
        <x:v>661</x:v>
      </x:c>
      <x:c r="F857" s="11" t="n">
        <x:v>46105</x:v>
      </x:c>
      <x:c r="G857" s="13" t="n">
        <x:v>2778.49</x:v>
      </x:c>
      <x:c r="H857" s="9" t="n">
        <x:v>198</x:v>
      </x:c>
      <x:c r="I857" s="9" t="n">
        <x:v>7</x:v>
      </x:c>
      <x:c r="J857" s="9" t="n">
        <x:v>0</x:v>
      </x:c>
      <x:c r="K857" s="9" t="n">
        <x:v>0</x:v>
      </x:c>
      <x:c r="L857" s="13" t="n">
        <x:f>SUMIFS('Payments'!$D$5:$D$3014,'Payments'!$B$5:$B$3014,A857)</x:f>
        <x:v>138.38</x:v>
      </x:c>
      <x:c r="M857" s="13" t="n">
        <x:f>G857-L857</x:f>
        <x:v>2640.1099999999997</x:v>
      </x:c>
      <x:c r="N857" s="9" t="str">
        <x:f>IF(H857=0,"0 Current",IF(H857&lt;=30,"1 1-30",IF(H857&lt;=60,"2 31-60",IF(H857&lt;=90,"3 61-90",IF(H857&lt;=120,"4 91-120","5 121+")))))</x:f>
        <x:v>5 121+</x:v>
      </x:c>
      <x:c r="O857" s="9" t="n">
        <x:f>IF(J857&gt;0,1,0)</x:f>
        <x:v>0</x:v>
      </x:c>
    </x:row>
    <x:row r="858">
      <x:c r="A858" s="15" t="str">
        <x:v>854</x:v>
      </x:c>
      <x:c r="B858" s="9" t="str">
        <x:v>Taylor</x:v>
      </x:c>
      <x:c r="C858" s="9" t="str">
        <x:v>Auto</x:v>
      </x:c>
      <x:c r="D858" s="9" t="str">
        <x:v>South</x:v>
      </x:c>
      <x:c r="E858" s="9" t="n">
        <x:v>808</x:v>
      </x:c>
      <x:c r="F858" s="11" t="n">
        <x:v>46137</x:v>
      </x:c>
      <x:c r="G858" s="13" t="n">
        <x:v>6360.72</x:v>
      </x:c>
      <x:c r="H858" s="9" t="n">
        <x:v>195</x:v>
      </x:c>
      <x:c r="I858" s="9" t="n">
        <x:v>7</x:v>
      </x:c>
      <x:c r="J858" s="9" t="n">
        <x:v>3</x:v>
      </x:c>
      <x:c r="K858" s="9" t="n">
        <x:v>1</x:v>
      </x:c>
      <x:c r="L858" s="13" t="n">
        <x:f>SUMIFS('Payments'!$D$5:$D$3014,'Payments'!$B$5:$B$3014,A858)</x:f>
        <x:v>1380.08</x:v>
      </x:c>
      <x:c r="M858" s="13" t="n">
        <x:f>G858-L858</x:f>
        <x:v>4980.64</x:v>
      </x:c>
      <x:c r="N858" s="9" t="str">
        <x:f>IF(H858=0,"0 Current",IF(H858&lt;=30,"1 1-30",IF(H858&lt;=60,"2 31-60",IF(H858&lt;=90,"3 61-90",IF(H858&lt;=120,"4 91-120","5 121+")))))</x:f>
        <x:v>5 121+</x:v>
      </x:c>
      <x:c r="O858" s="9" t="n">
        <x:f>IF(J858&gt;0,1,0)</x:f>
        <x:v>1</x:v>
      </x:c>
    </x:row>
    <x:row r="859">
      <x:c r="A859" s="15" t="str">
        <x:v>855</x:v>
      </x:c>
      <x:c r="B859" s="9" t="str">
        <x:v>Jordan</x:v>
      </x:c>
      <x:c r="C859" s="9" t="str">
        <x:v>Medical</x:v>
      </x:c>
      <x:c r="D859" s="9" t="str">
        <x:v>West</x:v>
      </x:c>
      <x:c r="E859" s="9" t="n">
        <x:v>649</x:v>
      </x:c>
      <x:c r="F859" s="11" t="n">
        <x:v>46056</x:v>
      </x:c>
      <x:c r="G859" s="13" t="n">
        <x:v>13678.5</x:v>
      </x:c>
      <x:c r="H859" s="9" t="n">
        <x:v>51</x:v>
      </x:c>
      <x:c r="I859" s="9" t="n">
        <x:v>1</x:v>
      </x:c>
      <x:c r="J859" s="9" t="n">
        <x:v>0</x:v>
      </x:c>
      <x:c r="K859" s="9" t="n">
        <x:v>0</x:v>
      </x:c>
      <x:c r="L859" s="13" t="n">
        <x:f>SUMIFS('Payments'!$D$5:$D$3014,'Payments'!$B$5:$B$3014,A859)</x:f>
        <x:v>2296.7200000000003</x:v>
      </x:c>
      <x:c r="M859" s="13" t="n">
        <x:f>G859-L859</x:f>
        <x:v>11381.779999999999</x:v>
      </x:c>
      <x:c r="N859" s="9" t="str">
        <x:f>IF(H859=0,"0 Current",IF(H859&lt;=30,"1 1-30",IF(H859&lt;=60,"2 31-60",IF(H859&lt;=90,"3 61-90",IF(H859&lt;=120,"4 91-120","5 121+")))))</x:f>
        <x:v>2 31-60</x:v>
      </x:c>
      <x:c r="O859" s="9" t="n">
        <x:f>IF(J859&gt;0,1,0)</x:f>
        <x:v>0</x:v>
      </x:c>
    </x:row>
    <x:row r="860">
      <x:c r="A860" s="15" t="str">
        <x:v>856</x:v>
      </x:c>
      <x:c r="B860" s="9" t="str">
        <x:v>Alex</x:v>
      </x:c>
      <x:c r="C860" s="9" t="str">
        <x:v>Medical</x:v>
      </x:c>
      <x:c r="D860" s="9" t="str">
        <x:v>Northeast</x:v>
      </x:c>
      <x:c r="E860" s="9" t="n">
        <x:v>460</x:v>
      </x:c>
      <x:c r="F860" s="11" t="n">
        <x:v>46065</x:v>
      </x:c>
      <x:c r="G860" s="13" t="n">
        <x:v>4763.78</x:v>
      </x:c>
      <x:c r="H860" s="9" t="n">
        <x:v>0</x:v>
      </x:c>
      <x:c r="I860" s="9" t="n">
        <x:v>5</x:v>
      </x:c>
      <x:c r="J860" s="9" t="n">
        <x:v>1</x:v>
      </x:c>
      <x:c r="K860" s="9" t="n">
        <x:v>0</x:v>
      </x:c>
      <x:c r="L860" s="13" t="n">
        <x:f>SUMIFS('Payments'!$D$5:$D$3014,'Payments'!$B$5:$B$3014,A860)</x:f>
        <x:v>751.49</x:v>
      </x:c>
      <x:c r="M860" s="13" t="n">
        <x:f>G860-L860</x:f>
        <x:v>4012.29</x:v>
      </x:c>
      <x:c r="N860" s="9" t="str">
        <x:f>IF(H860=0,"0 Current",IF(H860&lt;=30,"1 1-30",IF(H860&lt;=60,"2 31-60",IF(H860&lt;=90,"3 61-90",IF(H860&lt;=120,"4 91-120","5 121+")))))</x:f>
        <x:v>0 Current</x:v>
      </x:c>
      <x:c r="O860" s="9" t="n">
        <x:f>IF(J860&gt;0,1,0)</x:f>
        <x:v>1</x:v>
      </x:c>
    </x:row>
    <x:row r="861">
      <x:c r="A861" s="15" t="str">
        <x:v>857</x:v>
      </x:c>
      <x:c r="B861" s="9" t="str">
        <x:v>Riley</x:v>
      </x:c>
      <x:c r="C861" s="9" t="str">
        <x:v>Personal Loan</x:v>
      </x:c>
      <x:c r="D861" s="9" t="str">
        <x:v>Northeast</x:v>
      </x:c>
      <x:c r="E861" s="9" t="n">
        <x:v>551</x:v>
      </x:c>
      <x:c r="F861" s="11" t="n">
        <x:v>46035</x:v>
      </x:c>
      <x:c r="G861" s="13" t="n">
        <x:v>7575.52</x:v>
      </x:c>
      <x:c r="H861" s="9" t="n">
        <x:v>12</x:v>
      </x:c>
      <x:c r="I861" s="9" t="n">
        <x:v>8</x:v>
      </x:c>
      <x:c r="J861" s="9" t="n">
        <x:v>5</x:v>
      </x:c>
      <x:c r="K861" s="9" t="n">
        <x:v>1</x:v>
      </x:c>
      <x:c r="L861" s="13" t="n">
        <x:f>SUMIFS('Payments'!$D$5:$D$3014,'Payments'!$B$5:$B$3014,A861)</x:f>
        <x:v>528.5</x:v>
      </x:c>
      <x:c r="M861" s="13" t="n">
        <x:f>G861-L861</x:f>
        <x:v>7047.02</x:v>
      </x:c>
      <x:c r="N861" s="9" t="str">
        <x:f>IF(H861=0,"0 Current",IF(H861&lt;=30,"1 1-30",IF(H861&lt;=60,"2 31-60",IF(H861&lt;=90,"3 61-90",IF(H861&lt;=120,"4 91-120","5 121+")))))</x:f>
        <x:v>1 1-30</x:v>
      </x:c>
      <x:c r="O861" s="9" t="n">
        <x:f>IF(J861&gt;0,1,0)</x:f>
        <x:v>1</x:v>
      </x:c>
    </x:row>
    <x:row r="862">
      <x:c r="A862" s="15" t="str">
        <x:v>858</x:v>
      </x:c>
      <x:c r="B862" s="9" t="str">
        <x:v>Casey</x:v>
      </x:c>
      <x:c r="C862" s="9" t="str">
        <x:v>Medical</x:v>
      </x:c>
      <x:c r="D862" s="9" t="str">
        <x:v>South</x:v>
      </x:c>
      <x:c r="E862" s="9" t="n">
        <x:v>496</x:v>
      </x:c>
      <x:c r="F862" s="11" t="n">
        <x:v>46150</x:v>
      </x:c>
      <x:c r="G862" s="13" t="n">
        <x:v>22033.17</x:v>
      </x:c>
      <x:c r="H862" s="9" t="n">
        <x:v>19</x:v>
      </x:c>
      <x:c r="I862" s="9" t="n">
        <x:v>2</x:v>
      </x:c>
      <x:c r="J862" s="9" t="n">
        <x:v>1</x:v>
      </x:c>
      <x:c r="K862" s="9" t="n">
        <x:v>0</x:v>
      </x:c>
      <x:c r="L862" s="13" t="n">
        <x:f>SUMIFS('Payments'!$D$5:$D$3014,'Payments'!$B$5:$B$3014,A862)</x:f>
        <x:v>0</x:v>
      </x:c>
      <x:c r="M862" s="13" t="n">
        <x:f>G862-L862</x:f>
        <x:v>22033.17</x:v>
      </x:c>
      <x:c r="N862" s="9" t="str">
        <x:f>IF(H862=0,"0 Current",IF(H862&lt;=30,"1 1-30",IF(H862&lt;=60,"2 31-60",IF(H862&lt;=90,"3 61-90",IF(H862&lt;=120,"4 91-120","5 121+")))))</x:f>
        <x:v>1 1-30</x:v>
      </x:c>
      <x:c r="O862" s="9" t="n">
        <x:f>IF(J862&gt;0,1,0)</x:f>
        <x:v>1</x:v>
      </x:c>
    </x:row>
    <x:row r="863">
      <x:c r="A863" s="15" t="str">
        <x:v>859</x:v>
      </x:c>
      <x:c r="B863" s="9" t="str">
        <x:v>Alex</x:v>
      </x:c>
      <x:c r="C863" s="9" t="str">
        <x:v>Medical</x:v>
      </x:c>
      <x:c r="D863" s="9" t="str">
        <x:v>West</x:v>
      </x:c>
      <x:c r="E863" s="9" t="n">
        <x:v>476</x:v>
      </x:c>
      <x:c r="F863" s="11" t="n">
        <x:v>46160</x:v>
      </x:c>
      <x:c r="G863" s="13" t="n">
        <x:v>8150.07</x:v>
      </x:c>
      <x:c r="H863" s="9" t="n">
        <x:v>66</x:v>
      </x:c>
      <x:c r="I863" s="9" t="n">
        <x:v>7</x:v>
      </x:c>
      <x:c r="J863" s="9" t="n">
        <x:v>3</x:v>
      </x:c>
      <x:c r="K863" s="9" t="n">
        <x:v>0</x:v>
      </x:c>
      <x:c r="L863" s="13" t="n">
        <x:f>SUMIFS('Payments'!$D$5:$D$3014,'Payments'!$B$5:$B$3014,A863)</x:f>
        <x:v>2744.98</x:v>
      </x:c>
      <x:c r="M863" s="13" t="n">
        <x:f>G863-L863</x:f>
        <x:v>5405.09</x:v>
      </x:c>
      <x:c r="N863" s="9" t="str">
        <x:f>IF(H863=0,"0 Current",IF(H863&lt;=30,"1 1-30",IF(H863&lt;=60,"2 31-60",IF(H863&lt;=90,"3 61-90",IF(H863&lt;=120,"4 91-120","5 121+")))))</x:f>
        <x:v>3 61-90</x:v>
      </x:c>
      <x:c r="O863" s="9" t="n">
        <x:f>IF(J863&gt;0,1,0)</x:f>
        <x:v>1</x:v>
      </x:c>
    </x:row>
    <x:row r="864">
      <x:c r="A864" s="15" t="str">
        <x:v>860</x:v>
      </x:c>
      <x:c r="B864" s="9" t="str">
        <x:v>Morgan</x:v>
      </x:c>
      <x:c r="C864" s="9" t="str">
        <x:v>Auto</x:v>
      </x:c>
      <x:c r="D864" s="9" t="str">
        <x:v>Midwest</x:v>
      </x:c>
      <x:c r="E864" s="9" t="n">
        <x:v>541</x:v>
      </x:c>
      <x:c r="F864" s="11" t="n">
        <x:v>46138</x:v>
      </x:c>
      <x:c r="G864" s="13" t="n">
        <x:v>1461.27</x:v>
      </x:c>
      <x:c r="H864" s="9" t="n">
        <x:v>103</x:v>
      </x:c>
      <x:c r="I864" s="9" t="n">
        <x:v>7</x:v>
      </x:c>
      <x:c r="J864" s="9" t="n">
        <x:v>3</x:v>
      </x:c>
      <x:c r="K864" s="9" t="n">
        <x:v>0</x:v>
      </x:c>
      <x:c r="L864" s="13" t="n">
        <x:f>SUMIFS('Payments'!$D$5:$D$3014,'Payments'!$B$5:$B$3014,A864)</x:f>
        <x:v>0</x:v>
      </x:c>
      <x:c r="M864" s="13" t="n">
        <x:f>G864-L864</x:f>
        <x:v>1461.27</x:v>
      </x:c>
      <x:c r="N864" s="9" t="str">
        <x:f>IF(H864=0,"0 Current",IF(H864&lt;=30,"1 1-30",IF(H864&lt;=60,"2 31-60",IF(H864&lt;=90,"3 61-90",IF(H864&lt;=120,"4 91-120","5 121+")))))</x:f>
        <x:v>4 91-120</x:v>
      </x:c>
      <x:c r="O864" s="9" t="n">
        <x:f>IF(J864&gt;0,1,0)</x:f>
        <x:v>1</x:v>
      </x:c>
    </x:row>
    <x:row r="865">
      <x:c r="A865" s="15" t="str">
        <x:v>861</x:v>
      </x:c>
      <x:c r="B865" s="9" t="str">
        <x:v>Taylor</x:v>
      </x:c>
      <x:c r="C865" s="9" t="str">
        <x:v>Medical</x:v>
      </x:c>
      <x:c r="D865" s="9" t="str">
        <x:v>Midwest</x:v>
      </x:c>
      <x:c r="E865" s="9" t="n">
        <x:v>482</x:v>
      </x:c>
      <x:c r="F865" s="11" t="n">
        <x:v>46059</x:v>
      </x:c>
      <x:c r="G865" s="13" t="n">
        <x:v>4038</x:v>
      </x:c>
      <x:c r="H865" s="9" t="n">
        <x:v>46</x:v>
      </x:c>
      <x:c r="I865" s="9" t="n">
        <x:v>5</x:v>
      </x:c>
      <x:c r="J865" s="9" t="n">
        <x:v>2</x:v>
      </x:c>
      <x:c r="K865" s="9" t="n">
        <x:v>1</x:v>
      </x:c>
      <x:c r="L865" s="13" t="n">
        <x:f>SUMIFS('Payments'!$D$5:$D$3014,'Payments'!$B$5:$B$3014,A865)</x:f>
        <x:v>422.33</x:v>
      </x:c>
      <x:c r="M865" s="13" t="n">
        <x:f>G865-L865</x:f>
        <x:v>3615.67</x:v>
      </x:c>
      <x:c r="N865" s="9" t="str">
        <x:f>IF(H865=0,"0 Current",IF(H865&lt;=30,"1 1-30",IF(H865&lt;=60,"2 31-60",IF(H865&lt;=90,"3 61-90",IF(H865&lt;=120,"4 91-120","5 121+")))))</x:f>
        <x:v>2 31-60</x:v>
      </x:c>
      <x:c r="O865" s="9" t="n">
        <x:f>IF(J865&gt;0,1,0)</x:f>
        <x:v>1</x:v>
      </x:c>
    </x:row>
    <x:row r="866">
      <x:c r="A866" s="15" t="str">
        <x:v>862</x:v>
      </x:c>
      <x:c r="B866" s="9" t="str">
        <x:v>Riley</x:v>
      </x:c>
      <x:c r="C866" s="9" t="str">
        <x:v>Medical</x:v>
      </x:c>
      <x:c r="D866" s="9" t="str">
        <x:v>Northeast</x:v>
      </x:c>
      <x:c r="E866" s="9" t="n">
        <x:v>542</x:v>
      </x:c>
      <x:c r="F866" s="11" t="n">
        <x:v>46090</x:v>
      </x:c>
      <x:c r="G866" s="13" t="n">
        <x:v>17484.19</x:v>
      </x:c>
      <x:c r="H866" s="9" t="n">
        <x:v>187</x:v>
      </x:c>
      <x:c r="I866" s="9" t="n">
        <x:v>8</x:v>
      </x:c>
      <x:c r="J866" s="9" t="n">
        <x:v>3</x:v>
      </x:c>
      <x:c r="K866" s="9" t="n">
        <x:v>0</x:v>
      </x:c>
      <x:c r="L866" s="13" t="n">
        <x:f>SUMIFS('Payments'!$D$5:$D$3014,'Payments'!$B$5:$B$3014,A866)</x:f>
        <x:v>0</x:v>
      </x:c>
      <x:c r="M866" s="13" t="n">
        <x:f>G866-L866</x:f>
        <x:v>17484.19</x:v>
      </x:c>
      <x:c r="N866" s="9" t="str">
        <x:f>IF(H866=0,"0 Current",IF(H866&lt;=30,"1 1-30",IF(H866&lt;=60,"2 31-60",IF(H866&lt;=90,"3 61-90",IF(H866&lt;=120,"4 91-120","5 121+")))))</x:f>
        <x:v>5 121+</x:v>
      </x:c>
      <x:c r="O866" s="9" t="n">
        <x:f>IF(J866&gt;0,1,0)</x:f>
        <x:v>1</x:v>
      </x:c>
    </x:row>
    <x:row r="867">
      <x:c r="A867" s="15" t="str">
        <x:v>863</x:v>
      </x:c>
      <x:c r="B867" s="9" t="str">
        <x:v>Riley</x:v>
      </x:c>
      <x:c r="C867" s="9" t="str">
        <x:v>Credit Card</x:v>
      </x:c>
      <x:c r="D867" s="9" t="str">
        <x:v>West</x:v>
      </x:c>
      <x:c r="E867" s="9" t="n">
        <x:v>747</x:v>
      </x:c>
      <x:c r="F867" s="11" t="n">
        <x:v>46161</x:v>
      </x:c>
      <x:c r="G867" s="13" t="n">
        <x:v>12613.32</x:v>
      </x:c>
      <x:c r="H867" s="9" t="n">
        <x:v>40</x:v>
      </x:c>
      <x:c r="I867" s="9" t="n">
        <x:v>0</x:v>
      </x:c>
      <x:c r="J867" s="9" t="n">
        <x:v>0</x:v>
      </x:c>
      <x:c r="K867" s="9" t="n">
        <x:v>0</x:v>
      </x:c>
      <x:c r="L867" s="13" t="n">
        <x:f>SUMIFS('Payments'!$D$5:$D$3014,'Payments'!$B$5:$B$3014,A867)</x:f>
        <x:v>109.05</x:v>
      </x:c>
      <x:c r="M867" s="13" t="n">
        <x:f>G867-L867</x:f>
        <x:v>12504.27</x:v>
      </x:c>
      <x:c r="N867" s="9" t="str">
        <x:f>IF(H867=0,"0 Current",IF(H867&lt;=30,"1 1-30",IF(H867&lt;=60,"2 31-60",IF(H867&lt;=90,"3 61-90",IF(H867&lt;=120,"4 91-120","5 121+")))))</x:f>
        <x:v>2 31-60</x:v>
      </x:c>
      <x:c r="O867" s="9" t="n">
        <x:f>IF(J867&gt;0,1,0)</x:f>
        <x:v>0</x:v>
      </x:c>
    </x:row>
    <x:row r="868">
      <x:c r="A868" s="15" t="str">
        <x:v>864</x:v>
      </x:c>
      <x:c r="B868" s="9" t="str">
        <x:v>Morgan</x:v>
      </x:c>
      <x:c r="C868" s="9" t="str">
        <x:v>Personal Loan</x:v>
      </x:c>
      <x:c r="D868" s="9" t="str">
        <x:v>West</x:v>
      </x:c>
      <x:c r="E868" s="9" t="n">
        <x:v>452</x:v>
      </x:c>
      <x:c r="F868" s="11" t="n">
        <x:v>46081</x:v>
      </x:c>
      <x:c r="G868" s="13" t="n">
        <x:v>23244.96</x:v>
      </x:c>
      <x:c r="H868" s="9" t="n">
        <x:v>129</x:v>
      </x:c>
      <x:c r="I868" s="9" t="n">
        <x:v>8</x:v>
      </x:c>
      <x:c r="J868" s="9" t="n">
        <x:v>3</x:v>
      </x:c>
      <x:c r="K868" s="9" t="n">
        <x:v>0</x:v>
      </x:c>
      <x:c r="L868" s="13" t="n">
        <x:f>SUMIFS('Payments'!$D$5:$D$3014,'Payments'!$B$5:$B$3014,A868)</x:f>
        <x:v>2472.1400000000003</x:v>
      </x:c>
      <x:c r="M868" s="13" t="n">
        <x:f>G868-L868</x:f>
        <x:v>20772.82</x:v>
      </x:c>
      <x:c r="N868" s="9" t="str">
        <x:f>IF(H868=0,"0 Current",IF(H868&lt;=30,"1 1-30",IF(H868&lt;=60,"2 31-60",IF(H868&lt;=90,"3 61-90",IF(H868&lt;=120,"4 91-120","5 121+")))))</x:f>
        <x:v>5 121+</x:v>
      </x:c>
      <x:c r="O868" s="9" t="n">
        <x:f>IF(J868&gt;0,1,0)</x:f>
        <x:v>1</x:v>
      </x:c>
    </x:row>
    <x:row r="869">
      <x:c r="A869" s="15" t="str">
        <x:v>865</x:v>
      </x:c>
      <x:c r="B869" s="9" t="str">
        <x:v>Morgan</x:v>
      </x:c>
      <x:c r="C869" s="9" t="str">
        <x:v>Auto</x:v>
      </x:c>
      <x:c r="D869" s="9" t="str">
        <x:v>Northeast</x:v>
      </x:c>
      <x:c r="E869" s="9" t="n">
        <x:v>675</x:v>
      </x:c>
      <x:c r="F869" s="11" t="n">
        <x:v>46162</x:v>
      </x:c>
      <x:c r="G869" s="13" t="n">
        <x:v>17346.56</x:v>
      </x:c>
      <x:c r="H869" s="9" t="n">
        <x:v>122</x:v>
      </x:c>
      <x:c r="I869" s="9" t="n">
        <x:v>0</x:v>
      </x:c>
      <x:c r="J869" s="9" t="n">
        <x:v>0</x:v>
      </x:c>
      <x:c r="K869" s="9" t="n">
        <x:v>0</x:v>
      </x:c>
      <x:c r="L869" s="13" t="n">
        <x:f>SUMIFS('Payments'!$D$5:$D$3014,'Payments'!$B$5:$B$3014,A869)</x:f>
        <x:v>1423.66</x:v>
      </x:c>
      <x:c r="M869" s="13" t="n">
        <x:f>G869-L869</x:f>
        <x:v>15922.900000000001</x:v>
      </x:c>
      <x:c r="N869" s="9" t="str">
        <x:f>IF(H869=0,"0 Current",IF(H869&lt;=30,"1 1-30",IF(H869&lt;=60,"2 31-60",IF(H869&lt;=90,"3 61-90",IF(H869&lt;=120,"4 91-120","5 121+")))))</x:f>
        <x:v>5 121+</x:v>
      </x:c>
      <x:c r="O869" s="9" t="n">
        <x:f>IF(J869&gt;0,1,0)</x:f>
        <x:v>0</x:v>
      </x:c>
    </x:row>
    <x:row r="870">
      <x:c r="A870" s="15" t="str">
        <x:v>866</x:v>
      </x:c>
      <x:c r="B870" s="9" t="str">
        <x:v>Morgan</x:v>
      </x:c>
      <x:c r="C870" s="9" t="str">
        <x:v>Credit Card</x:v>
      </x:c>
      <x:c r="D870" s="9" t="str">
        <x:v>Northeast</x:v>
      </x:c>
      <x:c r="E870" s="9" t="n">
        <x:v>743</x:v>
      </x:c>
      <x:c r="F870" s="11" t="n">
        <x:v>46138</x:v>
      </x:c>
      <x:c r="G870" s="13" t="n">
        <x:v>12030.14</x:v>
      </x:c>
      <x:c r="H870" s="9" t="n">
        <x:v>157</x:v>
      </x:c>
      <x:c r="I870" s="9" t="n">
        <x:v>7</x:v>
      </x:c>
      <x:c r="J870" s="9" t="n">
        <x:v>3</x:v>
      </x:c>
      <x:c r="K870" s="9" t="n">
        <x:v>0</x:v>
      </x:c>
      <x:c r="L870" s="13" t="n">
        <x:f>SUMIFS('Payments'!$D$5:$D$3014,'Payments'!$B$5:$B$3014,A870)</x:f>
        <x:v>0</x:v>
      </x:c>
      <x:c r="M870" s="13" t="n">
        <x:f>G870-L870</x:f>
        <x:v>12030.14</x:v>
      </x:c>
      <x:c r="N870" s="9" t="str">
        <x:f>IF(H870=0,"0 Current",IF(H870&lt;=30,"1 1-30",IF(H870&lt;=60,"2 31-60",IF(H870&lt;=90,"3 61-90",IF(H870&lt;=120,"4 91-120","5 121+")))))</x:f>
        <x:v>5 121+</x:v>
      </x:c>
      <x:c r="O870" s="9" t="n">
        <x:f>IF(J870&gt;0,1,0)</x:f>
        <x:v>1</x:v>
      </x:c>
    </x:row>
    <x:row r="871">
      <x:c r="A871" s="15" t="str">
        <x:v>867</x:v>
      </x:c>
      <x:c r="B871" s="9" t="str">
        <x:v>Jordan</x:v>
      </x:c>
      <x:c r="C871" s="9" t="str">
        <x:v>Credit Card</x:v>
      </x:c>
      <x:c r="D871" s="9" t="str">
        <x:v>South</x:v>
      </x:c>
      <x:c r="E871" s="9" t="n">
        <x:v>787</x:v>
      </x:c>
      <x:c r="F871" s="11" t="n">
        <x:v>46032</x:v>
      </x:c>
      <x:c r="G871" s="13" t="n">
        <x:v>22819.59</x:v>
      </x:c>
      <x:c r="H871" s="9" t="n">
        <x:v>102</x:v>
      </x:c>
      <x:c r="I871" s="9" t="n">
        <x:v>0</x:v>
      </x:c>
      <x:c r="J871" s="9" t="n">
        <x:v>0</x:v>
      </x:c>
      <x:c r="K871" s="9" t="n">
        <x:v>0</x:v>
      </x:c>
      <x:c r="L871" s="13" t="n">
        <x:f>SUMIFS('Payments'!$D$5:$D$3014,'Payments'!$B$5:$B$3014,A871)</x:f>
        <x:v>1255.08</x:v>
      </x:c>
      <x:c r="M871" s="13" t="n">
        <x:f>G871-L871</x:f>
        <x:v>21564.510000000002</x:v>
      </x:c>
      <x:c r="N871" s="9" t="str">
        <x:f>IF(H871=0,"0 Current",IF(H871&lt;=30,"1 1-30",IF(H871&lt;=60,"2 31-60",IF(H871&lt;=90,"3 61-90",IF(H871&lt;=120,"4 91-120","5 121+")))))</x:f>
        <x:v>4 91-120</x:v>
      </x:c>
      <x:c r="O871" s="9" t="n">
        <x:f>IF(J871&gt;0,1,0)</x:f>
        <x:v>0</x:v>
      </x:c>
    </x:row>
    <x:row r="872">
      <x:c r="A872" s="15" t="str">
        <x:v>868</x:v>
      </x:c>
      <x:c r="B872" s="9" t="str">
        <x:v>Taylor</x:v>
      </x:c>
      <x:c r="C872" s="9" t="str">
        <x:v>Personal Loan</x:v>
      </x:c>
      <x:c r="D872" s="9" t="str">
        <x:v>South</x:v>
      </x:c>
      <x:c r="E872" s="9" t="n">
        <x:v>569</x:v>
      </x:c>
      <x:c r="F872" s="11" t="n">
        <x:v>46091</x:v>
      </x:c>
      <x:c r="G872" s="13" t="n">
        <x:v>1754</x:v>
      </x:c>
      <x:c r="H872" s="9" t="n">
        <x:v>193</x:v>
      </x:c>
      <x:c r="I872" s="9" t="n">
        <x:v>0</x:v>
      </x:c>
      <x:c r="J872" s="9" t="n">
        <x:v>0</x:v>
      </x:c>
      <x:c r="K872" s="9" t="n">
        <x:v>0</x:v>
      </x:c>
      <x:c r="L872" s="13" t="n">
        <x:f>SUMIFS('Payments'!$D$5:$D$3014,'Payments'!$B$5:$B$3014,A872)</x:f>
        <x:v>507.46</x:v>
      </x:c>
      <x:c r="M872" s="13" t="n">
        <x:f>G872-L872</x:f>
        <x:v>1246.54</x:v>
      </x:c>
      <x:c r="N872" s="9" t="str">
        <x:f>IF(H872=0,"0 Current",IF(H872&lt;=30,"1 1-30",IF(H872&lt;=60,"2 31-60",IF(H872&lt;=90,"3 61-90",IF(H872&lt;=120,"4 91-120","5 121+")))))</x:f>
        <x:v>5 121+</x:v>
      </x:c>
      <x:c r="O872" s="9" t="n">
        <x:f>IF(J872&gt;0,1,0)</x:f>
        <x:v>0</x:v>
      </x:c>
    </x:row>
    <x:row r="873">
      <x:c r="A873" s="15" t="str">
        <x:v>869</x:v>
      </x:c>
      <x:c r="B873" s="9" t="str">
        <x:v>Casey</x:v>
      </x:c>
      <x:c r="C873" s="9" t="str">
        <x:v>Personal Loan</x:v>
      </x:c>
      <x:c r="D873" s="9" t="str">
        <x:v>West</x:v>
      </x:c>
      <x:c r="E873" s="9" t="n">
        <x:v>420</x:v>
      </x:c>
      <x:c r="F873" s="11" t="n">
        <x:v>46030</x:v>
      </x:c>
      <x:c r="G873" s="13" t="n">
        <x:v>5735.56</x:v>
      </x:c>
      <x:c r="H873" s="9" t="n">
        <x:v>230</x:v>
      </x:c>
      <x:c r="I873" s="9" t="n">
        <x:v>7</x:v>
      </x:c>
      <x:c r="J873" s="9" t="n">
        <x:v>3</x:v>
      </x:c>
      <x:c r="K873" s="9" t="n">
        <x:v>0</x:v>
      </x:c>
      <x:c r="L873" s="13" t="n">
        <x:f>SUMIFS('Payments'!$D$5:$D$3014,'Payments'!$B$5:$B$3014,A873)</x:f>
        <x:v>1776.99</x:v>
      </x:c>
      <x:c r="M873" s="13" t="n">
        <x:f>G873-L873</x:f>
        <x:v>3958.5700000000006</x:v>
      </x:c>
      <x:c r="N873" s="9" t="str">
        <x:f>IF(H873=0,"0 Current",IF(H873&lt;=30,"1 1-30",IF(H873&lt;=60,"2 31-60",IF(H873&lt;=90,"3 61-90",IF(H873&lt;=120,"4 91-120","5 121+")))))</x:f>
        <x:v>5 121+</x:v>
      </x:c>
      <x:c r="O873" s="9" t="n">
        <x:f>IF(J873&gt;0,1,0)</x:f>
        <x:v>1</x:v>
      </x:c>
    </x:row>
    <x:row r="874">
      <x:c r="A874" s="15" t="str">
        <x:v>870</x:v>
      </x:c>
      <x:c r="B874" s="9" t="str">
        <x:v>Riley</x:v>
      </x:c>
      <x:c r="C874" s="9" t="str">
        <x:v>Credit Card</x:v>
      </x:c>
      <x:c r="D874" s="9" t="str">
        <x:v>Midwest</x:v>
      </x:c>
      <x:c r="E874" s="9" t="n">
        <x:v>543</x:v>
      </x:c>
      <x:c r="F874" s="11" t="n">
        <x:v>46079</x:v>
      </x:c>
      <x:c r="G874" s="13" t="n">
        <x:v>8660.76</x:v>
      </x:c>
      <x:c r="H874" s="9" t="n">
        <x:v>87</x:v>
      </x:c>
      <x:c r="I874" s="9" t="n">
        <x:v>5</x:v>
      </x:c>
      <x:c r="J874" s="9" t="n">
        <x:v>2</x:v>
      </x:c>
      <x:c r="K874" s="9" t="n">
        <x:v>1</x:v>
      </x:c>
      <x:c r="L874" s="13" t="n">
        <x:f>SUMIFS('Payments'!$D$5:$D$3014,'Payments'!$B$5:$B$3014,A874)</x:f>
        <x:v>1241.83</x:v>
      </x:c>
      <x:c r="M874" s="13" t="n">
        <x:f>G874-L874</x:f>
        <x:v>7418.93</x:v>
      </x:c>
      <x:c r="N874" s="9" t="str">
        <x:f>IF(H874=0,"0 Current",IF(H874&lt;=30,"1 1-30",IF(H874&lt;=60,"2 31-60",IF(H874&lt;=90,"3 61-90",IF(H874&lt;=120,"4 91-120","5 121+")))))</x:f>
        <x:v>3 61-90</x:v>
      </x:c>
      <x:c r="O874" s="9" t="n">
        <x:f>IF(J874&gt;0,1,0)</x:f>
        <x:v>1</x:v>
      </x:c>
    </x:row>
    <x:row r="875">
      <x:c r="A875" s="15" t="str">
        <x:v>871</x:v>
      </x:c>
      <x:c r="B875" s="9" t="str">
        <x:v>Morgan</x:v>
      </x:c>
      <x:c r="C875" s="9" t="str">
        <x:v>Medical</x:v>
      </x:c>
      <x:c r="D875" s="9" t="str">
        <x:v>West</x:v>
      </x:c>
      <x:c r="E875" s="9" t="n">
        <x:v>515</x:v>
      </x:c>
      <x:c r="F875" s="11" t="n">
        <x:v>46170</x:v>
      </x:c>
      <x:c r="G875" s="13" t="n">
        <x:v>7708.21</x:v>
      </x:c>
      <x:c r="H875" s="9" t="n">
        <x:v>222</x:v>
      </x:c>
      <x:c r="I875" s="9" t="n">
        <x:v>5</x:v>
      </x:c>
      <x:c r="J875" s="9" t="n">
        <x:v>1</x:v>
      </x:c>
      <x:c r="K875" s="9" t="n">
        <x:v>1</x:v>
      </x:c>
      <x:c r="L875" s="13" t="n">
        <x:f>SUMIFS('Payments'!$D$5:$D$3014,'Payments'!$B$5:$B$3014,A875)</x:f>
        <x:v>460</x:v>
      </x:c>
      <x:c r="M875" s="13" t="n">
        <x:f>G875-L875</x:f>
        <x:v>7248.21</x:v>
      </x:c>
      <x:c r="N875" s="9" t="str">
        <x:f>IF(H875=0,"0 Current",IF(H875&lt;=30,"1 1-30",IF(H875&lt;=60,"2 31-60",IF(H875&lt;=90,"3 61-90",IF(H875&lt;=120,"4 91-120","5 121+")))))</x:f>
        <x:v>5 121+</x:v>
      </x:c>
      <x:c r="O875" s="9" t="n">
        <x:f>IF(J875&gt;0,1,0)</x:f>
        <x:v>1</x:v>
      </x:c>
    </x:row>
    <x:row r="876">
      <x:c r="A876" s="15" t="str">
        <x:v>872</x:v>
      </x:c>
      <x:c r="B876" s="9" t="str">
        <x:v>Jordan</x:v>
      </x:c>
      <x:c r="C876" s="9" t="str">
        <x:v>Credit Card</x:v>
      </x:c>
      <x:c r="D876" s="9" t="str">
        <x:v>Northeast</x:v>
      </x:c>
      <x:c r="E876" s="9" t="n">
        <x:v>688</x:v>
      </x:c>
      <x:c r="F876" s="11" t="n">
        <x:v>46121</x:v>
      </x:c>
      <x:c r="G876" s="13" t="n">
        <x:v>23932.94</x:v>
      </x:c>
      <x:c r="H876" s="9" t="n">
        <x:v>156</x:v>
      </x:c>
      <x:c r="I876" s="9" t="n">
        <x:v>0</x:v>
      </x:c>
      <x:c r="J876" s="9" t="n">
        <x:v>0</x:v>
      </x:c>
      <x:c r="K876" s="9" t="n">
        <x:v>0</x:v>
      </x:c>
      <x:c r="L876" s="13" t="n">
        <x:f>SUMIFS('Payments'!$D$5:$D$3014,'Payments'!$B$5:$B$3014,A876)</x:f>
        <x:v>3949.3999999999996</x:v>
      </x:c>
      <x:c r="M876" s="13" t="n">
        <x:f>G876-L876</x:f>
        <x:v>19983.54</x:v>
      </x:c>
      <x:c r="N876" s="9" t="str">
        <x:f>IF(H876=0,"0 Current",IF(H876&lt;=30,"1 1-30",IF(H876&lt;=60,"2 31-60",IF(H876&lt;=90,"3 61-90",IF(H876&lt;=120,"4 91-120","5 121+")))))</x:f>
        <x:v>5 121+</x:v>
      </x:c>
      <x:c r="O876" s="9" t="n">
        <x:f>IF(J876&gt;0,1,0)</x:f>
        <x:v>0</x:v>
      </x:c>
    </x:row>
    <x:row r="877">
      <x:c r="A877" s="15" t="str">
        <x:v>873</x:v>
      </x:c>
      <x:c r="B877" s="9" t="str">
        <x:v>Taylor</x:v>
      </x:c>
      <x:c r="C877" s="9" t="str">
        <x:v>Credit Card</x:v>
      </x:c>
      <x:c r="D877" s="9" t="str">
        <x:v>Midwest</x:v>
      </x:c>
      <x:c r="E877" s="9" t="n">
        <x:v>454</x:v>
      </x:c>
      <x:c r="F877" s="11" t="n">
        <x:v>46072</x:v>
      </x:c>
      <x:c r="G877" s="13" t="n">
        <x:v>13360.54</x:v>
      </x:c>
      <x:c r="H877" s="9" t="n">
        <x:v>224</x:v>
      </x:c>
      <x:c r="I877" s="9" t="n">
        <x:v>3</x:v>
      </x:c>
      <x:c r="J877" s="9" t="n">
        <x:v>2</x:v>
      </x:c>
      <x:c r="K877" s="9" t="n">
        <x:v>0</x:v>
      </x:c>
      <x:c r="L877" s="13" t="n">
        <x:f>SUMIFS('Payments'!$D$5:$D$3014,'Payments'!$B$5:$B$3014,A877)</x:f>
        <x:v>3851.4900000000002</x:v>
      </x:c>
      <x:c r="M877" s="13" t="n">
        <x:f>G877-L877</x:f>
        <x:v>9509.050000000001</x:v>
      </x:c>
      <x:c r="N877" s="9" t="str">
        <x:f>IF(H877=0,"0 Current",IF(H877&lt;=30,"1 1-30",IF(H877&lt;=60,"2 31-60",IF(H877&lt;=90,"3 61-90",IF(H877&lt;=120,"4 91-120","5 121+")))))</x:f>
        <x:v>5 121+</x:v>
      </x:c>
      <x:c r="O877" s="9" t="n">
        <x:f>IF(J877&gt;0,1,0)</x:f>
        <x:v>1</x:v>
      </x:c>
    </x:row>
    <x:row r="878">
      <x:c r="A878" s="15" t="str">
        <x:v>874</x:v>
      </x:c>
      <x:c r="B878" s="9" t="str">
        <x:v>Jordan</x:v>
      </x:c>
      <x:c r="C878" s="9" t="str">
        <x:v>Credit Card</x:v>
      </x:c>
      <x:c r="D878" s="9" t="str">
        <x:v>Northeast</x:v>
      </x:c>
      <x:c r="E878" s="9" t="n">
        <x:v>619</x:v>
      </x:c>
      <x:c r="F878" s="11" t="n">
        <x:v>46076</x:v>
      </x:c>
      <x:c r="G878" s="13" t="n">
        <x:v>17047.81</x:v>
      </x:c>
      <x:c r="H878" s="9" t="n">
        <x:v>83</x:v>
      </x:c>
      <x:c r="I878" s="9" t="n">
        <x:v>3</x:v>
      </x:c>
      <x:c r="J878" s="9" t="n">
        <x:v>1</x:v>
      </x:c>
      <x:c r="K878" s="9" t="n">
        <x:v>0</x:v>
      </x:c>
      <x:c r="L878" s="13" t="n">
        <x:f>SUMIFS('Payments'!$D$5:$D$3014,'Payments'!$B$5:$B$3014,A878)</x:f>
        <x:v>2065.88</x:v>
      </x:c>
      <x:c r="M878" s="13" t="n">
        <x:f>G878-L878</x:f>
        <x:v>14981.93</x:v>
      </x:c>
      <x:c r="N878" s="9" t="str">
        <x:f>IF(H878=0,"0 Current",IF(H878&lt;=30,"1 1-30",IF(H878&lt;=60,"2 31-60",IF(H878&lt;=90,"3 61-90",IF(H878&lt;=120,"4 91-120","5 121+")))))</x:f>
        <x:v>3 61-90</x:v>
      </x:c>
      <x:c r="O878" s="9" t="n">
        <x:f>IF(J878&gt;0,1,0)</x:f>
        <x:v>1</x:v>
      </x:c>
    </x:row>
    <x:row r="879">
      <x:c r="A879" s="15" t="str">
        <x:v>875</x:v>
      </x:c>
      <x:c r="B879" s="9" t="str">
        <x:v>Alex</x:v>
      </x:c>
      <x:c r="C879" s="9" t="str">
        <x:v>Medical</x:v>
      </x:c>
      <x:c r="D879" s="9" t="str">
        <x:v>West</x:v>
      </x:c>
      <x:c r="E879" s="9" t="n">
        <x:v>442</x:v>
      </x:c>
      <x:c r="F879" s="11" t="n">
        <x:v>46144</x:v>
      </x:c>
      <x:c r="G879" s="13" t="n">
        <x:v>22500.16</x:v>
      </x:c>
      <x:c r="H879" s="9" t="n">
        <x:v>204</x:v>
      </x:c>
      <x:c r="I879" s="9" t="n">
        <x:v>4</x:v>
      </x:c>
      <x:c r="J879" s="9" t="n">
        <x:v>2</x:v>
      </x:c>
      <x:c r="K879" s="9" t="n">
        <x:v>0</x:v>
      </x:c>
      <x:c r="L879" s="13" t="n">
        <x:f>SUMIFS('Payments'!$D$5:$D$3014,'Payments'!$B$5:$B$3014,A879)</x:f>
        <x:v>4123.13</x:v>
      </x:c>
      <x:c r="M879" s="13" t="n">
        <x:f>G879-L879</x:f>
        <x:v>18377.03</x:v>
      </x:c>
      <x:c r="N879" s="9" t="str">
        <x:f>IF(H879=0,"0 Current",IF(H879&lt;=30,"1 1-30",IF(H879&lt;=60,"2 31-60",IF(H879&lt;=90,"3 61-90",IF(H879&lt;=120,"4 91-120","5 121+")))))</x:f>
        <x:v>5 121+</x:v>
      </x:c>
      <x:c r="O879" s="9" t="n">
        <x:f>IF(J879&gt;0,1,0)</x:f>
        <x:v>1</x:v>
      </x:c>
    </x:row>
    <x:row r="880">
      <x:c r="A880" s="15" t="str">
        <x:v>876</x:v>
      </x:c>
      <x:c r="B880" s="9" t="str">
        <x:v>Casey</x:v>
      </x:c>
      <x:c r="C880" s="9" t="str">
        <x:v>Auto</x:v>
      </x:c>
      <x:c r="D880" s="9" t="str">
        <x:v>West</x:v>
      </x:c>
      <x:c r="E880" s="9" t="n">
        <x:v>611</x:v>
      </x:c>
      <x:c r="F880" s="11" t="n">
        <x:v>46032</x:v>
      </x:c>
      <x:c r="G880" s="13" t="n">
        <x:v>15341.94</x:v>
      </x:c>
      <x:c r="H880" s="9" t="n">
        <x:v>98</x:v>
      </x:c>
      <x:c r="I880" s="9" t="n">
        <x:v>2</x:v>
      </x:c>
      <x:c r="J880" s="9" t="n">
        <x:v>0</x:v>
      </x:c>
      <x:c r="K880" s="9" t="n">
        <x:v>0</x:v>
      </x:c>
      <x:c r="L880" s="13" t="n">
        <x:f>SUMIFS('Payments'!$D$5:$D$3014,'Payments'!$B$5:$B$3014,A880)</x:f>
        <x:v>6096.8099999999995</x:v>
      </x:c>
      <x:c r="M880" s="13" t="n">
        <x:f>G880-L880</x:f>
        <x:v>9245.130000000001</x:v>
      </x:c>
      <x:c r="N880" s="9" t="str">
        <x:f>IF(H880=0,"0 Current",IF(H880&lt;=30,"1 1-30",IF(H880&lt;=60,"2 31-60",IF(H880&lt;=90,"3 61-90",IF(H880&lt;=120,"4 91-120","5 121+")))))</x:f>
        <x:v>4 91-120</x:v>
      </x:c>
      <x:c r="O880" s="9" t="n">
        <x:f>IF(J880&gt;0,1,0)</x:f>
        <x:v>0</x:v>
      </x:c>
    </x:row>
    <x:row r="881">
      <x:c r="A881" s="15" t="str">
        <x:v>877</x:v>
      </x:c>
      <x:c r="B881" s="9" t="str">
        <x:v>Riley</x:v>
      </x:c>
      <x:c r="C881" s="9" t="str">
        <x:v>Personal Loan</x:v>
      </x:c>
      <x:c r="D881" s="9" t="str">
        <x:v>Midwest</x:v>
      </x:c>
      <x:c r="E881" s="9" t="n">
        <x:v>802</x:v>
      </x:c>
      <x:c r="F881" s="11" t="n">
        <x:v>46154</x:v>
      </x:c>
      <x:c r="G881" s="13" t="n">
        <x:v>22594.88</x:v>
      </x:c>
      <x:c r="H881" s="9" t="n">
        <x:v>102</x:v>
      </x:c>
      <x:c r="I881" s="9" t="n">
        <x:v>8</x:v>
      </x:c>
      <x:c r="J881" s="9" t="n">
        <x:v>2</x:v>
      </x:c>
      <x:c r="K881" s="9" t="n">
        <x:v>1</x:v>
      </x:c>
      <x:c r="L881" s="13" t="n">
        <x:f>SUMIFS('Payments'!$D$5:$D$3014,'Payments'!$B$5:$B$3014,A881)</x:f>
        <x:v>727.48</x:v>
      </x:c>
      <x:c r="M881" s="13" t="n">
        <x:f>G881-L881</x:f>
        <x:v>21867.4</x:v>
      </x:c>
      <x:c r="N881" s="9" t="str">
        <x:f>IF(H881=0,"0 Current",IF(H881&lt;=30,"1 1-30",IF(H881&lt;=60,"2 31-60",IF(H881&lt;=90,"3 61-90",IF(H881&lt;=120,"4 91-120","5 121+")))))</x:f>
        <x:v>4 91-120</x:v>
      </x:c>
      <x:c r="O881" s="9" t="n">
        <x:f>IF(J881&gt;0,1,0)</x:f>
        <x:v>1</x:v>
      </x:c>
    </x:row>
    <x:row r="882">
      <x:c r="A882" s="15" t="str">
        <x:v>878</x:v>
      </x:c>
      <x:c r="B882" s="9" t="str">
        <x:v>Riley</x:v>
      </x:c>
      <x:c r="C882" s="9" t="str">
        <x:v>Personal Loan</x:v>
      </x:c>
      <x:c r="D882" s="9" t="str">
        <x:v>Northeast</x:v>
      </x:c>
      <x:c r="E882" s="9" t="n">
        <x:v>602</x:v>
      </x:c>
      <x:c r="F882" s="11" t="n">
        <x:v>46109</x:v>
      </x:c>
      <x:c r="G882" s="13" t="n">
        <x:v>12227.85</x:v>
      </x:c>
      <x:c r="H882" s="9" t="n">
        <x:v>187</x:v>
      </x:c>
      <x:c r="I882" s="9" t="n">
        <x:v>4</x:v>
      </x:c>
      <x:c r="J882" s="9" t="n">
        <x:v>3</x:v>
      </x:c>
      <x:c r="K882" s="9" t="n">
        <x:v>1</x:v>
      </x:c>
      <x:c r="L882" s="13" t="n">
        <x:f>SUMIFS('Payments'!$D$5:$D$3014,'Payments'!$B$5:$B$3014,A882)</x:f>
        <x:v>4049.1</x:v>
      </x:c>
      <x:c r="M882" s="13" t="n">
        <x:f>G882-L882</x:f>
        <x:v>8178.75</x:v>
      </x:c>
      <x:c r="N882" s="9" t="str">
        <x:f>IF(H882=0,"0 Current",IF(H882&lt;=30,"1 1-30",IF(H882&lt;=60,"2 31-60",IF(H882&lt;=90,"3 61-90",IF(H882&lt;=120,"4 91-120","5 121+")))))</x:f>
        <x:v>5 121+</x:v>
      </x:c>
      <x:c r="O882" s="9" t="n">
        <x:f>IF(J882&gt;0,1,0)</x:f>
        <x:v>1</x:v>
      </x:c>
    </x:row>
    <x:row r="883">
      <x:c r="A883" s="15" t="str">
        <x:v>879</x:v>
      </x:c>
      <x:c r="B883" s="9" t="str">
        <x:v>Alex</x:v>
      </x:c>
      <x:c r="C883" s="9" t="str">
        <x:v>Medical</x:v>
      </x:c>
      <x:c r="D883" s="9" t="str">
        <x:v>Northeast</x:v>
      </x:c>
      <x:c r="E883" s="9" t="n">
        <x:v>596</x:v>
      </x:c>
      <x:c r="F883" s="11" t="n">
        <x:v>46024</x:v>
      </x:c>
      <x:c r="G883" s="13" t="n">
        <x:v>2152.64</x:v>
      </x:c>
      <x:c r="H883" s="9" t="n">
        <x:v>205</x:v>
      </x:c>
      <x:c r="I883" s="9" t="n">
        <x:v>3</x:v>
      </x:c>
      <x:c r="J883" s="9" t="n">
        <x:v>3</x:v>
      </x:c>
      <x:c r="K883" s="9" t="n">
        <x:v>1</x:v>
      </x:c>
      <x:c r="L883" s="13" t="n">
        <x:f>SUMIFS('Payments'!$D$5:$D$3014,'Payments'!$B$5:$B$3014,A883)</x:f>
        <x:v>217.28</x:v>
      </x:c>
      <x:c r="M883" s="13" t="n">
        <x:f>G883-L883</x:f>
        <x:v>1935.36</x:v>
      </x:c>
      <x:c r="N883" s="9" t="str">
        <x:f>IF(H883=0,"0 Current",IF(H883&lt;=30,"1 1-30",IF(H883&lt;=60,"2 31-60",IF(H883&lt;=90,"3 61-90",IF(H883&lt;=120,"4 91-120","5 121+")))))</x:f>
        <x:v>5 121+</x:v>
      </x:c>
      <x:c r="O883" s="9" t="n">
        <x:f>IF(J883&gt;0,1,0)</x:f>
        <x:v>1</x:v>
      </x:c>
    </x:row>
    <x:row r="884">
      <x:c r="A884" s="15" t="str">
        <x:v>880</x:v>
      </x:c>
      <x:c r="B884" s="9" t="str">
        <x:v>Casey</x:v>
      </x:c>
      <x:c r="C884" s="9" t="str">
        <x:v>Credit Card</x:v>
      </x:c>
      <x:c r="D884" s="9" t="str">
        <x:v>South</x:v>
      </x:c>
      <x:c r="E884" s="9" t="n">
        <x:v>795</x:v>
      </x:c>
      <x:c r="F884" s="11" t="n">
        <x:v>46104</x:v>
      </x:c>
      <x:c r="G884" s="13" t="n">
        <x:v>3404.24</x:v>
      </x:c>
      <x:c r="H884" s="9" t="n">
        <x:v>82</x:v>
      </x:c>
      <x:c r="I884" s="9" t="n">
        <x:v>6</x:v>
      </x:c>
      <x:c r="J884" s="9" t="n">
        <x:v>2</x:v>
      </x:c>
      <x:c r="K884" s="9" t="n">
        <x:v>1</x:v>
      </x:c>
      <x:c r="L884" s="13" t="n">
        <x:f>SUMIFS('Payments'!$D$5:$D$3014,'Payments'!$B$5:$B$3014,A884)</x:f>
        <x:v>676.86</x:v>
      </x:c>
      <x:c r="M884" s="13" t="n">
        <x:f>G884-L884</x:f>
        <x:v>2727.3799999999997</x:v>
      </x:c>
      <x:c r="N884" s="9" t="str">
        <x:f>IF(H884=0,"0 Current",IF(H884&lt;=30,"1 1-30",IF(H884&lt;=60,"2 31-60",IF(H884&lt;=90,"3 61-90",IF(H884&lt;=120,"4 91-120","5 121+")))))</x:f>
        <x:v>3 61-90</x:v>
      </x:c>
      <x:c r="O884" s="9" t="n">
        <x:f>IF(J884&gt;0,1,0)</x:f>
        <x:v>1</x:v>
      </x:c>
    </x:row>
    <x:row r="885">
      <x:c r="A885" s="15" t="str">
        <x:v>881</x:v>
      </x:c>
      <x:c r="B885" s="9" t="str">
        <x:v>Morgan</x:v>
      </x:c>
      <x:c r="C885" s="9" t="str">
        <x:v>Medical</x:v>
      </x:c>
      <x:c r="D885" s="9" t="str">
        <x:v>Northeast</x:v>
      </x:c>
      <x:c r="E885" s="9" t="n">
        <x:v>815</x:v>
      </x:c>
      <x:c r="F885" s="11" t="n">
        <x:v>46148</x:v>
      </x:c>
      <x:c r="G885" s="13" t="n">
        <x:v>6542.83</x:v>
      </x:c>
      <x:c r="H885" s="9" t="n">
        <x:v>108</x:v>
      </x:c>
      <x:c r="I885" s="9" t="n">
        <x:v>0</x:v>
      </x:c>
      <x:c r="J885" s="9" t="n">
        <x:v>0</x:v>
      </x:c>
      <x:c r="K885" s="9" t="n">
        <x:v>0</x:v>
      </x:c>
      <x:c r="L885" s="13" t="n">
        <x:f>SUMIFS('Payments'!$D$5:$D$3014,'Payments'!$B$5:$B$3014,A885)</x:f>
        <x:v>1533.4</x:v>
      </x:c>
      <x:c r="M885" s="13" t="n">
        <x:f>G885-L885</x:f>
        <x:v>5009.43</x:v>
      </x:c>
      <x:c r="N885" s="9" t="str">
        <x:f>IF(H885=0,"0 Current",IF(H885&lt;=30,"1 1-30",IF(H885&lt;=60,"2 31-60",IF(H885&lt;=90,"3 61-90",IF(H885&lt;=120,"4 91-120","5 121+")))))</x:f>
        <x:v>4 91-120</x:v>
      </x:c>
      <x:c r="O885" s="9" t="n">
        <x:f>IF(J885&gt;0,1,0)</x:f>
        <x:v>0</x:v>
      </x:c>
    </x:row>
    <x:row r="886">
      <x:c r="A886" s="15" t="str">
        <x:v>882</x:v>
      </x:c>
      <x:c r="B886" s="9" t="str">
        <x:v>Riley</x:v>
      </x:c>
      <x:c r="C886" s="9" t="str">
        <x:v>Medical</x:v>
      </x:c>
      <x:c r="D886" s="9" t="str">
        <x:v>Midwest</x:v>
      </x:c>
      <x:c r="E886" s="9" t="n">
        <x:v>488</x:v>
      </x:c>
      <x:c r="F886" s="11" t="n">
        <x:v>46056</x:v>
      </x:c>
      <x:c r="G886" s="13" t="n">
        <x:v>15863.48</x:v>
      </x:c>
      <x:c r="H886" s="9" t="n">
        <x:v>235</x:v>
      </x:c>
      <x:c r="I886" s="9" t="n">
        <x:v>3</x:v>
      </x:c>
      <x:c r="J886" s="9" t="n">
        <x:v>3</x:v>
      </x:c>
      <x:c r="K886" s="9" t="n">
        <x:v>0</x:v>
      </x:c>
      <x:c r="L886" s="13" t="n">
        <x:f>SUMIFS('Payments'!$D$5:$D$3014,'Payments'!$B$5:$B$3014,A886)</x:f>
        <x:v>957.1700000000001</x:v>
      </x:c>
      <x:c r="M886" s="13" t="n">
        <x:f>G886-L886</x:f>
        <x:v>14906.31</x:v>
      </x:c>
      <x:c r="N886" s="9" t="str">
        <x:f>IF(H886=0,"0 Current",IF(H886&lt;=30,"1 1-30",IF(H886&lt;=60,"2 31-60",IF(H886&lt;=90,"3 61-90",IF(H886&lt;=120,"4 91-120","5 121+")))))</x:f>
        <x:v>5 121+</x:v>
      </x:c>
      <x:c r="O886" s="9" t="n">
        <x:f>IF(J886&gt;0,1,0)</x:f>
        <x:v>1</x:v>
      </x:c>
    </x:row>
    <x:row r="887">
      <x:c r="A887" s="15" t="str">
        <x:v>883</x:v>
      </x:c>
      <x:c r="B887" s="9" t="str">
        <x:v>Riley</x:v>
      </x:c>
      <x:c r="C887" s="9" t="str">
        <x:v>Medical</x:v>
      </x:c>
      <x:c r="D887" s="9" t="str">
        <x:v>Northeast</x:v>
      </x:c>
      <x:c r="E887" s="9" t="n">
        <x:v>600</x:v>
      </x:c>
      <x:c r="F887" s="11" t="n">
        <x:v>46055</x:v>
      </x:c>
      <x:c r="G887" s="13" t="n">
        <x:v>8896.2</x:v>
      </x:c>
      <x:c r="H887" s="9" t="n">
        <x:v>224</x:v>
      </x:c>
      <x:c r="I887" s="9" t="n">
        <x:v>4</x:v>
      </x:c>
      <x:c r="J887" s="9" t="n">
        <x:v>1</x:v>
      </x:c>
      <x:c r="K887" s="9" t="n">
        <x:v>0</x:v>
      </x:c>
      <x:c r="L887" s="13" t="n">
        <x:f>SUMIFS('Payments'!$D$5:$D$3014,'Payments'!$B$5:$B$3014,A887)</x:f>
        <x:v>0</x:v>
      </x:c>
      <x:c r="M887" s="13" t="n">
        <x:f>G887-L887</x:f>
        <x:v>8896.2</x:v>
      </x:c>
      <x:c r="N887" s="9" t="str">
        <x:f>IF(H887=0,"0 Current",IF(H887&lt;=30,"1 1-30",IF(H887&lt;=60,"2 31-60",IF(H887&lt;=90,"3 61-90",IF(H887&lt;=120,"4 91-120","5 121+")))))</x:f>
        <x:v>5 121+</x:v>
      </x:c>
      <x:c r="O887" s="9" t="n">
        <x:f>IF(J887&gt;0,1,0)</x:f>
        <x:v>1</x:v>
      </x:c>
    </x:row>
    <x:row r="888">
      <x:c r="A888" s="15" t="str">
        <x:v>884</x:v>
      </x:c>
      <x:c r="B888" s="9" t="str">
        <x:v>Morgan</x:v>
      </x:c>
      <x:c r="C888" s="9" t="str">
        <x:v>Personal Loan</x:v>
      </x:c>
      <x:c r="D888" s="9" t="str">
        <x:v>Midwest</x:v>
      </x:c>
      <x:c r="E888" s="9" t="n">
        <x:v>749</x:v>
      </x:c>
      <x:c r="F888" s="11" t="n">
        <x:v>46075</x:v>
      </x:c>
      <x:c r="G888" s="13" t="n">
        <x:v>23683.84</x:v>
      </x:c>
      <x:c r="H888" s="9" t="n">
        <x:v>6</x:v>
      </x:c>
      <x:c r="I888" s="9" t="n">
        <x:v>7</x:v>
      </x:c>
      <x:c r="J888" s="9" t="n">
        <x:v>0</x:v>
      </x:c>
      <x:c r="K888" s="9" t="n">
        <x:v>0</x:v>
      </x:c>
      <x:c r="L888" s="13" t="n">
        <x:f>SUMIFS('Payments'!$D$5:$D$3014,'Payments'!$B$5:$B$3014,A888)</x:f>
        <x:v>6361.72</x:v>
      </x:c>
      <x:c r="M888" s="13" t="n">
        <x:f>G888-L888</x:f>
        <x:v>17322.12</x:v>
      </x:c>
      <x:c r="N888" s="9" t="str">
        <x:f>IF(H888=0,"0 Current",IF(H888&lt;=30,"1 1-30",IF(H888&lt;=60,"2 31-60",IF(H888&lt;=90,"3 61-90",IF(H888&lt;=120,"4 91-120","5 121+")))))</x:f>
        <x:v>1 1-30</x:v>
      </x:c>
      <x:c r="O888" s="9" t="n">
        <x:f>IF(J888&gt;0,1,0)</x:f>
        <x:v>0</x:v>
      </x:c>
    </x:row>
    <x:row r="889">
      <x:c r="A889" s="15" t="str">
        <x:v>885</x:v>
      </x:c>
      <x:c r="B889" s="9" t="str">
        <x:v>Taylor</x:v>
      </x:c>
      <x:c r="C889" s="9" t="str">
        <x:v>Credit Card</x:v>
      </x:c>
      <x:c r="D889" s="9" t="str">
        <x:v>South</x:v>
      </x:c>
      <x:c r="E889" s="9" t="n">
        <x:v>818</x:v>
      </x:c>
      <x:c r="F889" s="11" t="n">
        <x:v>46164</x:v>
      </x:c>
      <x:c r="G889" s="13" t="n">
        <x:v>10612</x:v>
      </x:c>
      <x:c r="H889" s="9" t="n">
        <x:v>100</x:v>
      </x:c>
      <x:c r="I889" s="9" t="n">
        <x:v>8</x:v>
      </x:c>
      <x:c r="J889" s="9" t="n">
        <x:v>4</x:v>
      </x:c>
      <x:c r="K889" s="9" t="n">
        <x:v>1</x:v>
      </x:c>
      <x:c r="L889" s="13" t="n">
        <x:f>SUMIFS('Payments'!$D$5:$D$3014,'Payments'!$B$5:$B$3014,A889)</x:f>
        <x:v>0</x:v>
      </x:c>
      <x:c r="M889" s="13" t="n">
        <x:f>G889-L889</x:f>
        <x:v>10612</x:v>
      </x:c>
      <x:c r="N889" s="9" t="str">
        <x:f>IF(H889=0,"0 Current",IF(H889&lt;=30,"1 1-30",IF(H889&lt;=60,"2 31-60",IF(H889&lt;=90,"3 61-90",IF(H889&lt;=120,"4 91-120","5 121+")))))</x:f>
        <x:v>4 91-120</x:v>
      </x:c>
      <x:c r="O889" s="9" t="n">
        <x:f>IF(J889&gt;0,1,0)</x:f>
        <x:v>1</x:v>
      </x:c>
    </x:row>
    <x:row r="890">
      <x:c r="A890" s="15" t="str">
        <x:v>886</x:v>
      </x:c>
      <x:c r="B890" s="9" t="str">
        <x:v>Taylor</x:v>
      </x:c>
      <x:c r="C890" s="9" t="str">
        <x:v>Auto</x:v>
      </x:c>
      <x:c r="D890" s="9" t="str">
        <x:v>West</x:v>
      </x:c>
      <x:c r="E890" s="9" t="n">
        <x:v>776</x:v>
      </x:c>
      <x:c r="F890" s="11" t="n">
        <x:v>46168</x:v>
      </x:c>
      <x:c r="G890" s="13" t="n">
        <x:v>9479.94</x:v>
      </x:c>
      <x:c r="H890" s="9" t="n">
        <x:v>225</x:v>
      </x:c>
      <x:c r="I890" s="9" t="n">
        <x:v>5</x:v>
      </x:c>
      <x:c r="J890" s="9" t="n">
        <x:v>2</x:v>
      </x:c>
      <x:c r="K890" s="9" t="n">
        <x:v>0</x:v>
      </x:c>
      <x:c r="L890" s="13" t="n">
        <x:f>SUMIFS('Payments'!$D$5:$D$3014,'Payments'!$B$5:$B$3014,A890)</x:f>
        <x:v>142.13</x:v>
      </x:c>
      <x:c r="M890" s="13" t="n">
        <x:f>G890-L890</x:f>
        <x:v>9337.810000000001</x:v>
      </x:c>
      <x:c r="N890" s="9" t="str">
        <x:f>IF(H890=0,"0 Current",IF(H890&lt;=30,"1 1-30",IF(H890&lt;=60,"2 31-60",IF(H890&lt;=90,"3 61-90",IF(H890&lt;=120,"4 91-120","5 121+")))))</x:f>
        <x:v>5 121+</x:v>
      </x:c>
      <x:c r="O890" s="9" t="n">
        <x:f>IF(J890&gt;0,1,0)</x:f>
        <x:v>1</x:v>
      </x:c>
    </x:row>
    <x:row r="891">
      <x:c r="A891" s="15" t="str">
        <x:v>887</x:v>
      </x:c>
      <x:c r="B891" s="9" t="str">
        <x:v>Riley</x:v>
      </x:c>
      <x:c r="C891" s="9" t="str">
        <x:v>Medical</x:v>
      </x:c>
      <x:c r="D891" s="9" t="str">
        <x:v>West</x:v>
      </x:c>
      <x:c r="E891" s="9" t="n">
        <x:v>743</x:v>
      </x:c>
      <x:c r="F891" s="11" t="n">
        <x:v>46085</x:v>
      </x:c>
      <x:c r="G891" s="13" t="n">
        <x:v>24726.51</x:v>
      </x:c>
      <x:c r="H891" s="9" t="n">
        <x:v>81</x:v>
      </x:c>
      <x:c r="I891" s="9" t="n">
        <x:v>7</x:v>
      </x:c>
      <x:c r="J891" s="9" t="n">
        <x:v>3</x:v>
      </x:c>
      <x:c r="K891" s="9" t="n">
        <x:v>0</x:v>
      </x:c>
      <x:c r="L891" s="13" t="n">
        <x:f>SUMIFS('Payments'!$D$5:$D$3014,'Payments'!$B$5:$B$3014,A891)</x:f>
        <x:v>8837.880000000001</x:v>
      </x:c>
      <x:c r="M891" s="13" t="n">
        <x:f>G891-L891</x:f>
        <x:v>15888.629999999997</x:v>
      </x:c>
      <x:c r="N891" s="9" t="str">
        <x:f>IF(H891=0,"0 Current",IF(H891&lt;=30,"1 1-30",IF(H891&lt;=60,"2 31-60",IF(H891&lt;=90,"3 61-90",IF(H891&lt;=120,"4 91-120","5 121+")))))</x:f>
        <x:v>3 61-90</x:v>
      </x:c>
      <x:c r="O891" s="9" t="n">
        <x:f>IF(J891&gt;0,1,0)</x:f>
        <x:v>1</x:v>
      </x:c>
    </x:row>
    <x:row r="892">
      <x:c r="A892" s="15" t="str">
        <x:v>888</x:v>
      </x:c>
      <x:c r="B892" s="9" t="str">
        <x:v>Riley</x:v>
      </x:c>
      <x:c r="C892" s="9" t="str">
        <x:v>Auto</x:v>
      </x:c>
      <x:c r="D892" s="9" t="str">
        <x:v>South</x:v>
      </x:c>
      <x:c r="E892" s="9" t="n">
        <x:v>489</x:v>
      </x:c>
      <x:c r="F892" s="11" t="n">
        <x:v>46069</x:v>
      </x:c>
      <x:c r="G892" s="13" t="n">
        <x:v>19241.27</x:v>
      </x:c>
      <x:c r="H892" s="9" t="n">
        <x:v>0</x:v>
      </x:c>
      <x:c r="I892" s="9" t="n">
        <x:v>7</x:v>
      </x:c>
      <x:c r="J892" s="9" t="n">
        <x:v>2</x:v>
      </x:c>
      <x:c r="K892" s="9" t="n">
        <x:v>0</x:v>
      </x:c>
      <x:c r="L892" s="13" t="n">
        <x:f>SUMIFS('Payments'!$D$5:$D$3014,'Payments'!$B$5:$B$3014,A892)</x:f>
        <x:v>1506.95</x:v>
      </x:c>
      <x:c r="M892" s="13" t="n">
        <x:f>G892-L892</x:f>
        <x:v>17734.32</x:v>
      </x:c>
      <x:c r="N892" s="9" t="str">
        <x:f>IF(H892=0,"0 Current",IF(H892&lt;=30,"1 1-30",IF(H892&lt;=60,"2 31-60",IF(H892&lt;=90,"3 61-90",IF(H892&lt;=120,"4 91-120","5 121+")))))</x:f>
        <x:v>0 Current</x:v>
      </x:c>
      <x:c r="O892" s="9" t="n">
        <x:f>IF(J892&gt;0,1,0)</x:f>
        <x:v>1</x:v>
      </x:c>
    </x:row>
    <x:row r="893">
      <x:c r="A893" s="15" t="str">
        <x:v>889</x:v>
      </x:c>
      <x:c r="B893" s="9" t="str">
        <x:v>Taylor</x:v>
      </x:c>
      <x:c r="C893" s="9" t="str">
        <x:v>Credit Card</x:v>
      </x:c>
      <x:c r="D893" s="9" t="str">
        <x:v>Northeast</x:v>
      </x:c>
      <x:c r="E893" s="9" t="n">
        <x:v>786</x:v>
      </x:c>
      <x:c r="F893" s="11" t="n">
        <x:v>46061</x:v>
      </x:c>
      <x:c r="G893" s="13" t="n">
        <x:v>1677.69</x:v>
      </x:c>
      <x:c r="H893" s="9" t="n">
        <x:v>34</x:v>
      </x:c>
      <x:c r="I893" s="9" t="n">
        <x:v>2</x:v>
      </x:c>
      <x:c r="J893" s="9" t="n">
        <x:v>2</x:v>
      </x:c>
      <x:c r="K893" s="9" t="n">
        <x:v>0</x:v>
      </x:c>
      <x:c r="L893" s="13" t="n">
        <x:f>SUMIFS('Payments'!$D$5:$D$3014,'Payments'!$B$5:$B$3014,A893)</x:f>
        <x:v>329.69</x:v>
      </x:c>
      <x:c r="M893" s="13" t="n">
        <x:f>G893-L893</x:f>
        <x:v>1348</x:v>
      </x:c>
      <x:c r="N893" s="9" t="str">
        <x:f>IF(H893=0,"0 Current",IF(H893&lt;=30,"1 1-30",IF(H893&lt;=60,"2 31-60",IF(H893&lt;=90,"3 61-90",IF(H893&lt;=120,"4 91-120","5 121+")))))</x:f>
        <x:v>2 31-60</x:v>
      </x:c>
      <x:c r="O893" s="9" t="n">
        <x:f>IF(J893&gt;0,1,0)</x:f>
        <x:v>1</x:v>
      </x:c>
    </x:row>
    <x:row r="894">
      <x:c r="A894" s="15" t="str">
        <x:v>890</x:v>
      </x:c>
      <x:c r="B894" s="9" t="str">
        <x:v>Riley</x:v>
      </x:c>
      <x:c r="C894" s="9" t="str">
        <x:v>Auto</x:v>
      </x:c>
      <x:c r="D894" s="9" t="str">
        <x:v>West</x:v>
      </x:c>
      <x:c r="E894" s="9" t="n">
        <x:v>438</x:v>
      </x:c>
      <x:c r="F894" s="11" t="n">
        <x:v>46148</x:v>
      </x:c>
      <x:c r="G894" s="13" t="n">
        <x:v>20028.76</x:v>
      </x:c>
      <x:c r="H894" s="9" t="n">
        <x:v>89</x:v>
      </x:c>
      <x:c r="I894" s="9" t="n">
        <x:v>5</x:v>
      </x:c>
      <x:c r="J894" s="9" t="n">
        <x:v>2</x:v>
      </x:c>
      <x:c r="K894" s="9" t="n">
        <x:v>0</x:v>
      </x:c>
      <x:c r="L894" s="13" t="n">
        <x:f>SUMIFS('Payments'!$D$5:$D$3014,'Payments'!$B$5:$B$3014,A894)</x:f>
        <x:v>1827.49</x:v>
      </x:c>
      <x:c r="M894" s="13" t="n">
        <x:f>G894-L894</x:f>
        <x:v>18201.269999999997</x:v>
      </x:c>
      <x:c r="N894" s="9" t="str">
        <x:f>IF(H894=0,"0 Current",IF(H894&lt;=30,"1 1-30",IF(H894&lt;=60,"2 31-60",IF(H894&lt;=90,"3 61-90",IF(H894&lt;=120,"4 91-120","5 121+")))))</x:f>
        <x:v>3 61-90</x:v>
      </x:c>
      <x:c r="O894" s="9" t="n">
        <x:f>IF(J894&gt;0,1,0)</x:f>
        <x:v>1</x:v>
      </x:c>
    </x:row>
    <x:row r="895">
      <x:c r="A895" s="15" t="str">
        <x:v>891</x:v>
      </x:c>
      <x:c r="B895" s="9" t="str">
        <x:v>Alex</x:v>
      </x:c>
      <x:c r="C895" s="9" t="str">
        <x:v>Personal Loan</x:v>
      </x:c>
      <x:c r="D895" s="9" t="str">
        <x:v>Midwest</x:v>
      </x:c>
      <x:c r="E895" s="9" t="n">
        <x:v>523</x:v>
      </x:c>
      <x:c r="F895" s="11" t="n">
        <x:v>46033</x:v>
      </x:c>
      <x:c r="G895" s="13" t="n">
        <x:v>8972.29</x:v>
      </x:c>
      <x:c r="H895" s="9" t="n">
        <x:v>77</x:v>
      </x:c>
      <x:c r="I895" s="9" t="n">
        <x:v>1</x:v>
      </x:c>
      <x:c r="J895" s="9" t="n">
        <x:v>1</x:v>
      </x:c>
      <x:c r="K895" s="9" t="n">
        <x:v>0</x:v>
      </x:c>
      <x:c r="L895" s="13" t="n">
        <x:f>SUMIFS('Payments'!$D$5:$D$3014,'Payments'!$B$5:$B$3014,A895)</x:f>
        <x:v>518.36</x:v>
      </x:c>
      <x:c r="M895" s="13" t="n">
        <x:f>G895-L895</x:f>
        <x:v>8453.93</x:v>
      </x:c>
      <x:c r="N895" s="9" t="str">
        <x:f>IF(H895=0,"0 Current",IF(H895&lt;=30,"1 1-30",IF(H895&lt;=60,"2 31-60",IF(H895&lt;=90,"3 61-90",IF(H895&lt;=120,"4 91-120","5 121+")))))</x:f>
        <x:v>3 61-90</x:v>
      </x:c>
      <x:c r="O895" s="9" t="n">
        <x:f>IF(J895&gt;0,1,0)</x:f>
        <x:v>1</x:v>
      </x:c>
    </x:row>
    <x:row r="896">
      <x:c r="A896" s="15" t="str">
        <x:v>892</x:v>
      </x:c>
      <x:c r="B896" s="9" t="str">
        <x:v>Alex</x:v>
      </x:c>
      <x:c r="C896" s="9" t="str">
        <x:v>Auto</x:v>
      </x:c>
      <x:c r="D896" s="9" t="str">
        <x:v>Northeast</x:v>
      </x:c>
      <x:c r="E896" s="9" t="n">
        <x:v>522</x:v>
      </x:c>
      <x:c r="F896" s="11" t="n">
        <x:v>46169</x:v>
      </x:c>
      <x:c r="G896" s="13" t="n">
        <x:v>13952.56</x:v>
      </x:c>
      <x:c r="H896" s="9" t="n">
        <x:v>17</x:v>
      </x:c>
      <x:c r="I896" s="9" t="n">
        <x:v>0</x:v>
      </x:c>
      <x:c r="J896" s="9" t="n">
        <x:v>0</x:v>
      </x:c>
      <x:c r="K896" s="9" t="n">
        <x:v>0</x:v>
      </x:c>
      <x:c r="L896" s="13" t="n">
        <x:f>SUMIFS('Payments'!$D$5:$D$3014,'Payments'!$B$5:$B$3014,A896)</x:f>
        <x:v>1942.87</x:v>
      </x:c>
      <x:c r="M896" s="13" t="n">
        <x:f>G896-L896</x:f>
        <x:v>12009.689999999999</x:v>
      </x:c>
      <x:c r="N896" s="9" t="str">
        <x:f>IF(H896=0,"0 Current",IF(H896&lt;=30,"1 1-30",IF(H896&lt;=60,"2 31-60",IF(H896&lt;=90,"3 61-90",IF(H896&lt;=120,"4 91-120","5 121+")))))</x:f>
        <x:v>1 1-30</x:v>
      </x:c>
      <x:c r="O896" s="9" t="n">
        <x:f>IF(J896&gt;0,1,0)</x:f>
        <x:v>0</x:v>
      </x:c>
    </x:row>
    <x:row r="897">
      <x:c r="A897" s="15" t="str">
        <x:v>893</x:v>
      </x:c>
      <x:c r="B897" s="9" t="str">
        <x:v>Casey</x:v>
      </x:c>
      <x:c r="C897" s="9" t="str">
        <x:v>Personal Loan</x:v>
      </x:c>
      <x:c r="D897" s="9" t="str">
        <x:v>Northeast</x:v>
      </x:c>
      <x:c r="E897" s="9" t="n">
        <x:v>581</x:v>
      </x:c>
      <x:c r="F897" s="11" t="n">
        <x:v>46061</x:v>
      </x:c>
      <x:c r="G897" s="13" t="n">
        <x:v>24709.03</x:v>
      </x:c>
      <x:c r="H897" s="9" t="n">
        <x:v>169</x:v>
      </x:c>
      <x:c r="I897" s="9" t="n">
        <x:v>1</x:v>
      </x:c>
      <x:c r="J897" s="9" t="n">
        <x:v>0</x:v>
      </x:c>
      <x:c r="K897" s="9" t="n">
        <x:v>0</x:v>
      </x:c>
      <x:c r="L897" s="13" t="n">
        <x:f>SUMIFS('Payments'!$D$5:$D$3014,'Payments'!$B$5:$B$3014,A897)</x:f>
        <x:v>0</x:v>
      </x:c>
      <x:c r="M897" s="13" t="n">
        <x:f>G897-L897</x:f>
        <x:v>24709.03</x:v>
      </x:c>
      <x:c r="N897" s="9" t="str">
        <x:f>IF(H897=0,"0 Current",IF(H897&lt;=30,"1 1-30",IF(H897&lt;=60,"2 31-60",IF(H897&lt;=90,"3 61-90",IF(H897&lt;=120,"4 91-120","5 121+")))))</x:f>
        <x:v>5 121+</x:v>
      </x:c>
      <x:c r="O897" s="9" t="n">
        <x:f>IF(J897&gt;0,1,0)</x:f>
        <x:v>0</x:v>
      </x:c>
    </x:row>
    <x:row r="898">
      <x:c r="A898" s="15" t="str">
        <x:v>894</x:v>
      </x:c>
      <x:c r="B898" s="9" t="str">
        <x:v>Casey</x:v>
      </x:c>
      <x:c r="C898" s="9" t="str">
        <x:v>Credit Card</x:v>
      </x:c>
      <x:c r="D898" s="9" t="str">
        <x:v>Midwest</x:v>
      </x:c>
      <x:c r="E898" s="9" t="n">
        <x:v>683</x:v>
      </x:c>
      <x:c r="F898" s="11" t="n">
        <x:v>46093</x:v>
      </x:c>
      <x:c r="G898" s="13" t="n">
        <x:v>21948.87</x:v>
      </x:c>
      <x:c r="H898" s="9" t="n">
        <x:v>156</x:v>
      </x:c>
      <x:c r="I898" s="9" t="n">
        <x:v>6</x:v>
      </x:c>
      <x:c r="J898" s="9" t="n">
        <x:v>2</x:v>
      </x:c>
      <x:c r="K898" s="9" t="n">
        <x:v>0</x:v>
      </x:c>
      <x:c r="L898" s="13" t="n">
        <x:f>SUMIFS('Payments'!$D$5:$D$3014,'Payments'!$B$5:$B$3014,A898)</x:f>
        <x:v>35.75</x:v>
      </x:c>
      <x:c r="M898" s="13" t="n">
        <x:f>G898-L898</x:f>
        <x:v>21913.12</x:v>
      </x:c>
      <x:c r="N898" s="9" t="str">
        <x:f>IF(H898=0,"0 Current",IF(H898&lt;=30,"1 1-30",IF(H898&lt;=60,"2 31-60",IF(H898&lt;=90,"3 61-90",IF(H898&lt;=120,"4 91-120","5 121+")))))</x:f>
        <x:v>5 121+</x:v>
      </x:c>
      <x:c r="O898" s="9" t="n">
        <x:f>IF(J898&gt;0,1,0)</x:f>
        <x:v>1</x:v>
      </x:c>
    </x:row>
    <x:row r="899">
      <x:c r="A899" s="15" t="str">
        <x:v>895</x:v>
      </x:c>
      <x:c r="B899" s="9" t="str">
        <x:v>Alex</x:v>
      </x:c>
      <x:c r="C899" s="9" t="str">
        <x:v>Auto</x:v>
      </x:c>
      <x:c r="D899" s="9" t="str">
        <x:v>West</x:v>
      </x:c>
      <x:c r="E899" s="9" t="n">
        <x:v>698</x:v>
      </x:c>
      <x:c r="F899" s="11" t="n">
        <x:v>46076</x:v>
      </x:c>
      <x:c r="G899" s="13" t="n">
        <x:v>7102.02</x:v>
      </x:c>
      <x:c r="H899" s="9" t="n">
        <x:v>104</x:v>
      </x:c>
      <x:c r="I899" s="9" t="n">
        <x:v>1</x:v>
      </x:c>
      <x:c r="J899" s="9" t="n">
        <x:v>0</x:v>
      </x:c>
      <x:c r="K899" s="9" t="n">
        <x:v>0</x:v>
      </x:c>
      <x:c r="L899" s="13" t="n">
        <x:f>SUMIFS('Payments'!$D$5:$D$3014,'Payments'!$B$5:$B$3014,A899)</x:f>
        <x:v>1759.51</x:v>
      </x:c>
      <x:c r="M899" s="13" t="n">
        <x:f>G899-L899</x:f>
        <x:v>5342.51</x:v>
      </x:c>
      <x:c r="N899" s="9" t="str">
        <x:f>IF(H899=0,"0 Current",IF(H899&lt;=30,"1 1-30",IF(H899&lt;=60,"2 31-60",IF(H899&lt;=90,"3 61-90",IF(H899&lt;=120,"4 91-120","5 121+")))))</x:f>
        <x:v>4 91-120</x:v>
      </x:c>
      <x:c r="O899" s="9" t="n">
        <x:f>IF(J899&gt;0,1,0)</x:f>
        <x:v>0</x:v>
      </x:c>
    </x:row>
    <x:row r="900">
      <x:c r="A900" s="15" t="str">
        <x:v>896</x:v>
      </x:c>
      <x:c r="B900" s="9" t="str">
        <x:v>Casey</x:v>
      </x:c>
      <x:c r="C900" s="9" t="str">
        <x:v>Credit Card</x:v>
      </x:c>
      <x:c r="D900" s="9" t="str">
        <x:v>West</x:v>
      </x:c>
      <x:c r="E900" s="9" t="n">
        <x:v>549</x:v>
      </x:c>
      <x:c r="F900" s="11" t="n">
        <x:v>46049</x:v>
      </x:c>
      <x:c r="G900" s="13" t="n">
        <x:v>5931.72</x:v>
      </x:c>
      <x:c r="H900" s="9" t="n">
        <x:v>30</x:v>
      </x:c>
      <x:c r="I900" s="9" t="n">
        <x:v>3</x:v>
      </x:c>
      <x:c r="J900" s="9" t="n">
        <x:v>0</x:v>
      </x:c>
      <x:c r="K900" s="9" t="n">
        <x:v>0</x:v>
      </x:c>
      <x:c r="L900" s="13" t="n">
        <x:f>SUMIFS('Payments'!$D$5:$D$3014,'Payments'!$B$5:$B$3014,A900)</x:f>
        <x:v>1279.5800000000002</x:v>
      </x:c>
      <x:c r="M900" s="13" t="n">
        <x:f>G900-L900</x:f>
        <x:v>4652.14</x:v>
      </x:c>
      <x:c r="N900" s="9" t="str">
        <x:f>IF(H900=0,"0 Current",IF(H900&lt;=30,"1 1-30",IF(H900&lt;=60,"2 31-60",IF(H900&lt;=90,"3 61-90",IF(H900&lt;=120,"4 91-120","5 121+")))))</x:f>
        <x:v>1 1-30</x:v>
      </x:c>
      <x:c r="O900" s="9" t="n">
        <x:f>IF(J900&gt;0,1,0)</x:f>
        <x:v>0</x:v>
      </x:c>
    </x:row>
    <x:row r="901">
      <x:c r="A901" s="15" t="str">
        <x:v>897</x:v>
      </x:c>
      <x:c r="B901" s="9" t="str">
        <x:v>Morgan</x:v>
      </x:c>
      <x:c r="C901" s="9" t="str">
        <x:v>Personal Loan</x:v>
      </x:c>
      <x:c r="D901" s="9" t="str">
        <x:v>Northeast</x:v>
      </x:c>
      <x:c r="E901" s="9" t="n">
        <x:v>805</x:v>
      </x:c>
      <x:c r="F901" s="11" t="n">
        <x:v>46026</x:v>
      </x:c>
      <x:c r="G901" s="13" t="n">
        <x:v>8000.99</x:v>
      </x:c>
      <x:c r="H901" s="9" t="n">
        <x:v>198</x:v>
      </x:c>
      <x:c r="I901" s="9" t="n">
        <x:v>8</x:v>
      </x:c>
      <x:c r="J901" s="9" t="n">
        <x:v>3</x:v>
      </x:c>
      <x:c r="K901" s="9" t="n">
        <x:v>0</x:v>
      </x:c>
      <x:c r="L901" s="13" t="n">
        <x:f>SUMIFS('Payments'!$D$5:$D$3014,'Payments'!$B$5:$B$3014,A901)</x:f>
        <x:v>1050</x:v>
      </x:c>
      <x:c r="M901" s="13" t="n">
        <x:f>G901-L901</x:f>
        <x:v>6950.99</x:v>
      </x:c>
      <x:c r="N901" s="9" t="str">
        <x:f>IF(H901=0,"0 Current",IF(H901&lt;=30,"1 1-30",IF(H901&lt;=60,"2 31-60",IF(H901&lt;=90,"3 61-90",IF(H901&lt;=120,"4 91-120","5 121+")))))</x:f>
        <x:v>5 121+</x:v>
      </x:c>
      <x:c r="O901" s="9" t="n">
        <x:f>IF(J901&gt;0,1,0)</x:f>
        <x:v>1</x:v>
      </x:c>
    </x:row>
    <x:row r="902">
      <x:c r="A902" s="15" t="str">
        <x:v>898</x:v>
      </x:c>
      <x:c r="B902" s="9" t="str">
        <x:v>Taylor</x:v>
      </x:c>
      <x:c r="C902" s="9" t="str">
        <x:v>Auto</x:v>
      </x:c>
      <x:c r="D902" s="9" t="str">
        <x:v>South</x:v>
      </x:c>
      <x:c r="E902" s="9" t="n">
        <x:v>566</x:v>
      </x:c>
      <x:c r="F902" s="11" t="n">
        <x:v>46116</x:v>
      </x:c>
      <x:c r="G902" s="13" t="n">
        <x:v>15179.02</x:v>
      </x:c>
      <x:c r="H902" s="9" t="n">
        <x:v>214</x:v>
      </x:c>
      <x:c r="I902" s="9" t="n">
        <x:v>0</x:v>
      </x:c>
      <x:c r="J902" s="9" t="n">
        <x:v>0</x:v>
      </x:c>
      <x:c r="K902" s="9" t="n">
        <x:v>0</x:v>
      </x:c>
      <x:c r="L902" s="13" t="n">
        <x:f>SUMIFS('Payments'!$D$5:$D$3014,'Payments'!$B$5:$B$3014,A902)</x:f>
        <x:v>0</x:v>
      </x:c>
      <x:c r="M902" s="13" t="n">
        <x:f>G902-L902</x:f>
        <x:v>15179.02</x:v>
      </x:c>
      <x:c r="N902" s="9" t="str">
        <x:f>IF(H902=0,"0 Current",IF(H902&lt;=30,"1 1-30",IF(H902&lt;=60,"2 31-60",IF(H902&lt;=90,"3 61-90",IF(H902&lt;=120,"4 91-120","5 121+")))))</x:f>
        <x:v>5 121+</x:v>
      </x:c>
      <x:c r="O902" s="9" t="n">
        <x:f>IF(J902&gt;0,1,0)</x:f>
        <x:v>0</x:v>
      </x:c>
    </x:row>
    <x:row r="903">
      <x:c r="A903" s="15" t="str">
        <x:v>899</x:v>
      </x:c>
      <x:c r="B903" s="9" t="str">
        <x:v>Riley</x:v>
      </x:c>
      <x:c r="C903" s="9" t="str">
        <x:v>Personal Loan</x:v>
      </x:c>
      <x:c r="D903" s="9" t="str">
        <x:v>Midwest</x:v>
      </x:c>
      <x:c r="E903" s="9" t="n">
        <x:v>819</x:v>
      </x:c>
      <x:c r="F903" s="11" t="n">
        <x:v>46077</x:v>
      </x:c>
      <x:c r="G903" s="13" t="n">
        <x:v>24360.14</x:v>
      </x:c>
      <x:c r="H903" s="9" t="n">
        <x:v>32</x:v>
      </x:c>
      <x:c r="I903" s="9" t="n">
        <x:v>2</x:v>
      </x:c>
      <x:c r="J903" s="9" t="n">
        <x:v>0</x:v>
      </x:c>
      <x:c r="K903" s="9" t="n">
        <x:v>0</x:v>
      </x:c>
      <x:c r="L903" s="13" t="n">
        <x:f>SUMIFS('Payments'!$D$5:$D$3014,'Payments'!$B$5:$B$3014,A903)</x:f>
        <x:v>5621.29</x:v>
      </x:c>
      <x:c r="M903" s="13" t="n">
        <x:f>G903-L903</x:f>
        <x:v>18738.85</x:v>
      </x:c>
      <x:c r="N903" s="9" t="str">
        <x:f>IF(H903=0,"0 Current",IF(H903&lt;=30,"1 1-30",IF(H903&lt;=60,"2 31-60",IF(H903&lt;=90,"3 61-90",IF(H903&lt;=120,"4 91-120","5 121+")))))</x:f>
        <x:v>2 31-60</x:v>
      </x:c>
      <x:c r="O903" s="9" t="n">
        <x:f>IF(J903&gt;0,1,0)</x:f>
        <x:v>0</x:v>
      </x:c>
    </x:row>
    <x:row r="904">
      <x:c r="A904" s="15" t="str">
        <x:v>900</x:v>
      </x:c>
      <x:c r="B904" s="9" t="str">
        <x:v>Jordan</x:v>
      </x:c>
      <x:c r="C904" s="9" t="str">
        <x:v>Auto</x:v>
      </x:c>
      <x:c r="D904" s="9" t="str">
        <x:v>Northeast</x:v>
      </x:c>
      <x:c r="E904" s="9" t="n">
        <x:v>755</x:v>
      </x:c>
      <x:c r="F904" s="11" t="n">
        <x:v>46106</x:v>
      </x:c>
      <x:c r="G904" s="13" t="n">
        <x:v>23134.11</x:v>
      </x:c>
      <x:c r="H904" s="9" t="n">
        <x:v>78</x:v>
      </x:c>
      <x:c r="I904" s="9" t="n">
        <x:v>4</x:v>
      </x:c>
      <x:c r="J904" s="9" t="n">
        <x:v>2</x:v>
      </x:c>
      <x:c r="K904" s="9" t="n">
        <x:v>1</x:v>
      </x:c>
      <x:c r="L904" s="13" t="n">
        <x:f>SUMIFS('Payments'!$D$5:$D$3014,'Payments'!$B$5:$B$3014,A904)</x:f>
        <x:v>1121.55</x:v>
      </x:c>
      <x:c r="M904" s="13" t="n">
        <x:f>G904-L904</x:f>
        <x:v>22012.56</x:v>
      </x:c>
      <x:c r="N904" s="9" t="str">
        <x:f>IF(H904=0,"0 Current",IF(H904&lt;=30,"1 1-30",IF(H904&lt;=60,"2 31-60",IF(H904&lt;=90,"3 61-90",IF(H904&lt;=120,"4 91-120","5 121+")))))</x:f>
        <x:v>3 61-90</x:v>
      </x:c>
      <x:c r="O904" s="9" t="n">
        <x:f>IF(J904&gt;0,1,0)</x:f>
        <x:v>1</x:v>
      </x:c>
    </x:row>
    <x:row r="905">
      <x:c r="A905" s="15" t="str">
        <x:v>901</x:v>
      </x:c>
      <x:c r="B905" s="9" t="str">
        <x:v>Casey</x:v>
      </x:c>
      <x:c r="C905" s="9" t="str">
        <x:v>Auto</x:v>
      </x:c>
      <x:c r="D905" s="9" t="str">
        <x:v>Midwest</x:v>
      </x:c>
      <x:c r="E905" s="9" t="n">
        <x:v>559</x:v>
      </x:c>
      <x:c r="F905" s="11" t="n">
        <x:v>46064</x:v>
      </x:c>
      <x:c r="G905" s="13" t="n">
        <x:v>20603.73</x:v>
      </x:c>
      <x:c r="H905" s="9" t="n">
        <x:v>71</x:v>
      </x:c>
      <x:c r="I905" s="9" t="n">
        <x:v>2</x:v>
      </x:c>
      <x:c r="J905" s="9" t="n">
        <x:v>0</x:v>
      </x:c>
      <x:c r="K905" s="9" t="n">
        <x:v>0</x:v>
      </x:c>
      <x:c r="L905" s="13" t="n">
        <x:f>SUMIFS('Payments'!$D$5:$D$3014,'Payments'!$B$5:$B$3014,A905)</x:f>
        <x:v>0</x:v>
      </x:c>
      <x:c r="M905" s="13" t="n">
        <x:f>G905-L905</x:f>
        <x:v>20603.73</x:v>
      </x:c>
      <x:c r="N905" s="9" t="str">
        <x:f>IF(H905=0,"0 Current",IF(H905&lt;=30,"1 1-30",IF(H905&lt;=60,"2 31-60",IF(H905&lt;=90,"3 61-90",IF(H905&lt;=120,"4 91-120","5 121+")))))</x:f>
        <x:v>3 61-90</x:v>
      </x:c>
      <x:c r="O905" s="9" t="n">
        <x:f>IF(J905&gt;0,1,0)</x:f>
        <x:v>0</x:v>
      </x:c>
    </x:row>
    <x:row r="906">
      <x:c r="A906" s="15" t="str">
        <x:v>902</x:v>
      </x:c>
      <x:c r="B906" s="9" t="str">
        <x:v>Casey</x:v>
      </x:c>
      <x:c r="C906" s="9" t="str">
        <x:v>Medical</x:v>
      </x:c>
      <x:c r="D906" s="9" t="str">
        <x:v>Northeast</x:v>
      </x:c>
      <x:c r="E906" s="9" t="n">
        <x:v>608</x:v>
      </x:c>
      <x:c r="F906" s="11" t="n">
        <x:v>46028</x:v>
      </x:c>
      <x:c r="G906" s="13" t="n">
        <x:v>17794.84</x:v>
      </x:c>
      <x:c r="H906" s="9" t="n">
        <x:v>32</x:v>
      </x:c>
      <x:c r="I906" s="9" t="n">
        <x:v>5</x:v>
      </x:c>
      <x:c r="J906" s="9" t="n">
        <x:v>3</x:v>
      </x:c>
      <x:c r="K906" s="9" t="n">
        <x:v>1</x:v>
      </x:c>
      <x:c r="L906" s="13" t="n">
        <x:f>SUMIFS('Payments'!$D$5:$D$3014,'Payments'!$B$5:$B$3014,A906)</x:f>
        <x:v>1692.6899999999998</x:v>
      </x:c>
      <x:c r="M906" s="13" t="n">
        <x:f>G906-L906</x:f>
        <x:v>16102.15</x:v>
      </x:c>
      <x:c r="N906" s="9" t="str">
        <x:f>IF(H906=0,"0 Current",IF(H906&lt;=30,"1 1-30",IF(H906&lt;=60,"2 31-60",IF(H906&lt;=90,"3 61-90",IF(H906&lt;=120,"4 91-120","5 121+")))))</x:f>
        <x:v>2 31-60</x:v>
      </x:c>
      <x:c r="O906" s="9" t="n">
        <x:f>IF(J906&gt;0,1,0)</x:f>
        <x:v>1</x:v>
      </x:c>
    </x:row>
    <x:row r="907">
      <x:c r="A907" s="15" t="str">
        <x:v>903</x:v>
      </x:c>
      <x:c r="B907" s="9" t="str">
        <x:v>Alex</x:v>
      </x:c>
      <x:c r="C907" s="9" t="str">
        <x:v>Personal Loan</x:v>
      </x:c>
      <x:c r="D907" s="9" t="str">
        <x:v>West</x:v>
      </x:c>
      <x:c r="E907" s="9" t="n">
        <x:v>624</x:v>
      </x:c>
      <x:c r="F907" s="11" t="n">
        <x:v>46038</x:v>
      </x:c>
      <x:c r="G907" s="13" t="n">
        <x:v>5730.07</x:v>
      </x:c>
      <x:c r="H907" s="9" t="n">
        <x:v>232</x:v>
      </x:c>
      <x:c r="I907" s="9" t="n">
        <x:v>1</x:v>
      </x:c>
      <x:c r="J907" s="9" t="n">
        <x:v>0</x:v>
      </x:c>
      <x:c r="K907" s="9" t="n">
        <x:v>0</x:v>
      </x:c>
      <x:c r="L907" s="13" t="n">
        <x:f>SUMIFS('Payments'!$D$5:$D$3014,'Payments'!$B$5:$B$3014,A907)</x:f>
        <x:v>1827.0499999999997</x:v>
      </x:c>
      <x:c r="M907" s="13" t="n">
        <x:f>G907-L907</x:f>
        <x:v>3903.02</x:v>
      </x:c>
      <x:c r="N907" s="9" t="str">
        <x:f>IF(H907=0,"0 Current",IF(H907&lt;=30,"1 1-30",IF(H907&lt;=60,"2 31-60",IF(H907&lt;=90,"3 61-90",IF(H907&lt;=120,"4 91-120","5 121+")))))</x:f>
        <x:v>5 121+</x:v>
      </x:c>
      <x:c r="O907" s="9" t="n">
        <x:f>IF(J907&gt;0,1,0)</x:f>
        <x:v>0</x:v>
      </x:c>
    </x:row>
    <x:row r="908">
      <x:c r="A908" s="15" t="str">
        <x:v>904</x:v>
      </x:c>
      <x:c r="B908" s="9" t="str">
        <x:v>Jordan</x:v>
      </x:c>
      <x:c r="C908" s="9" t="str">
        <x:v>Auto</x:v>
      </x:c>
      <x:c r="D908" s="9" t="str">
        <x:v>West</x:v>
      </x:c>
      <x:c r="E908" s="9" t="n">
        <x:v>617</x:v>
      </x:c>
      <x:c r="F908" s="11" t="n">
        <x:v>46112</x:v>
      </x:c>
      <x:c r="G908" s="13" t="n">
        <x:v>16101.54</x:v>
      </x:c>
      <x:c r="H908" s="9" t="n">
        <x:v>215</x:v>
      </x:c>
      <x:c r="I908" s="9" t="n">
        <x:v>7</x:v>
      </x:c>
      <x:c r="J908" s="9" t="n">
        <x:v>1</x:v>
      </x:c>
      <x:c r="K908" s="9" t="n">
        <x:v>0</x:v>
      </x:c>
      <x:c r="L908" s="13" t="n">
        <x:f>SUMIFS('Payments'!$D$5:$D$3014,'Payments'!$B$5:$B$3014,A908)</x:f>
        <x:v>655.12</x:v>
      </x:c>
      <x:c r="M908" s="13" t="n">
        <x:f>G908-L908</x:f>
        <x:v>15446.42</x:v>
      </x:c>
      <x:c r="N908" s="9" t="str">
        <x:f>IF(H908=0,"0 Current",IF(H908&lt;=30,"1 1-30",IF(H908&lt;=60,"2 31-60",IF(H908&lt;=90,"3 61-90",IF(H908&lt;=120,"4 91-120","5 121+")))))</x:f>
        <x:v>5 121+</x:v>
      </x:c>
      <x:c r="O908" s="9" t="n">
        <x:f>IF(J908&gt;0,1,0)</x:f>
        <x:v>1</x:v>
      </x:c>
    </x:row>
    <x:row r="909">
      <x:c r="A909" s="15" t="str">
        <x:v>905</x:v>
      </x:c>
      <x:c r="B909" s="9" t="str">
        <x:v>Casey</x:v>
      </x:c>
      <x:c r="C909" s="9" t="str">
        <x:v>Credit Card</x:v>
      </x:c>
      <x:c r="D909" s="9" t="str">
        <x:v>Midwest</x:v>
      </x:c>
      <x:c r="E909" s="9" t="n">
        <x:v>515</x:v>
      </x:c>
      <x:c r="F909" s="11" t="n">
        <x:v>46128</x:v>
      </x:c>
      <x:c r="G909" s="13" t="n">
        <x:v>23729.87</x:v>
      </x:c>
      <x:c r="H909" s="9" t="n">
        <x:v>115</x:v>
      </x:c>
      <x:c r="I909" s="9" t="n">
        <x:v>0</x:v>
      </x:c>
      <x:c r="J909" s="9" t="n">
        <x:v>0</x:v>
      </x:c>
      <x:c r="K909" s="9" t="n">
        <x:v>0</x:v>
      </x:c>
      <x:c r="L909" s="13" t="n">
        <x:f>SUMIFS('Payments'!$D$5:$D$3014,'Payments'!$B$5:$B$3014,A909)</x:f>
        <x:v>6263.5599999999995</x:v>
      </x:c>
      <x:c r="M909" s="13" t="n">
        <x:f>G909-L909</x:f>
        <x:v>17466.309999999998</x:v>
      </x:c>
      <x:c r="N909" s="9" t="str">
        <x:f>IF(H909=0,"0 Current",IF(H909&lt;=30,"1 1-30",IF(H909&lt;=60,"2 31-60",IF(H909&lt;=90,"3 61-90",IF(H909&lt;=120,"4 91-120","5 121+")))))</x:f>
        <x:v>4 91-120</x:v>
      </x:c>
      <x:c r="O909" s="9" t="n">
        <x:f>IF(J909&gt;0,1,0)</x:f>
        <x:v>0</x:v>
      </x:c>
    </x:row>
    <x:row r="910">
      <x:c r="A910" s="15" t="str">
        <x:v>906</x:v>
      </x:c>
      <x:c r="B910" s="9" t="str">
        <x:v>Riley</x:v>
      </x:c>
      <x:c r="C910" s="9" t="str">
        <x:v>Credit Card</x:v>
      </x:c>
      <x:c r="D910" s="9" t="str">
        <x:v>West</x:v>
      </x:c>
      <x:c r="E910" s="9" t="n">
        <x:v>774</x:v>
      </x:c>
      <x:c r="F910" s="11" t="n">
        <x:v>46162</x:v>
      </x:c>
      <x:c r="G910" s="13" t="n">
        <x:v>1050.67</x:v>
      </x:c>
      <x:c r="H910" s="9" t="n">
        <x:v>207</x:v>
      </x:c>
      <x:c r="I910" s="9" t="n">
        <x:v>0</x:v>
      </x:c>
      <x:c r="J910" s="9" t="n">
        <x:v>0</x:v>
      </x:c>
      <x:c r="K910" s="9" t="n">
        <x:v>0</x:v>
      </x:c>
      <x:c r="L910" s="13" t="n">
        <x:f>SUMIFS('Payments'!$D$5:$D$3014,'Payments'!$B$5:$B$3014,A910)</x:f>
        <x:v>117.62</x:v>
      </x:c>
      <x:c r="M910" s="13" t="n">
        <x:f>G910-L910</x:f>
        <x:v>933.0500000000001</x:v>
      </x:c>
      <x:c r="N910" s="9" t="str">
        <x:f>IF(H910=0,"0 Current",IF(H910&lt;=30,"1 1-30",IF(H910&lt;=60,"2 31-60",IF(H910&lt;=90,"3 61-90",IF(H910&lt;=120,"4 91-120","5 121+")))))</x:f>
        <x:v>5 121+</x:v>
      </x:c>
      <x:c r="O910" s="9" t="n">
        <x:f>IF(J910&gt;0,1,0)</x:f>
        <x:v>0</x:v>
      </x:c>
    </x:row>
    <x:row r="911">
      <x:c r="A911" s="15" t="str">
        <x:v>907</x:v>
      </x:c>
      <x:c r="B911" s="9" t="str">
        <x:v>Taylor</x:v>
      </x:c>
      <x:c r="C911" s="9" t="str">
        <x:v>Credit Card</x:v>
      </x:c>
      <x:c r="D911" s="9" t="str">
        <x:v>West</x:v>
      </x:c>
      <x:c r="E911" s="9" t="n">
        <x:v>608</x:v>
      </x:c>
      <x:c r="F911" s="11" t="n">
        <x:v>46050</x:v>
      </x:c>
      <x:c r="G911" s="13" t="n">
        <x:v>14874.67</x:v>
      </x:c>
      <x:c r="H911" s="9" t="n">
        <x:v>118</x:v>
      </x:c>
      <x:c r="I911" s="9" t="n">
        <x:v>3</x:v>
      </x:c>
      <x:c r="J911" s="9" t="n">
        <x:v>0</x:v>
      </x:c>
      <x:c r="K911" s="9" t="n">
        <x:v>0</x:v>
      </x:c>
      <x:c r="L911" s="13" t="n">
        <x:f>SUMIFS('Payments'!$D$5:$D$3014,'Payments'!$B$5:$B$3014,A911)</x:f>
        <x:v>0</x:v>
      </x:c>
      <x:c r="M911" s="13" t="n">
        <x:f>G911-L911</x:f>
        <x:v>14874.67</x:v>
      </x:c>
      <x:c r="N911" s="9" t="str">
        <x:f>IF(H911=0,"0 Current",IF(H911&lt;=30,"1 1-30",IF(H911&lt;=60,"2 31-60",IF(H911&lt;=90,"3 61-90",IF(H911&lt;=120,"4 91-120","5 121+")))))</x:f>
        <x:v>4 91-120</x:v>
      </x:c>
      <x:c r="O911" s="9" t="n">
        <x:f>IF(J911&gt;0,1,0)</x:f>
        <x:v>0</x:v>
      </x:c>
    </x:row>
    <x:row r="912">
      <x:c r="A912" s="15" t="str">
        <x:v>908</x:v>
      </x:c>
      <x:c r="B912" s="9" t="str">
        <x:v>Alex</x:v>
      </x:c>
      <x:c r="C912" s="9" t="str">
        <x:v>Credit Card</x:v>
      </x:c>
      <x:c r="D912" s="9" t="str">
        <x:v>Midwest</x:v>
      </x:c>
      <x:c r="E912" s="9" t="n">
        <x:v>462</x:v>
      </x:c>
      <x:c r="F912" s="11" t="n">
        <x:v>46081</x:v>
      </x:c>
      <x:c r="G912" s="13" t="n">
        <x:v>14430.93</x:v>
      </x:c>
      <x:c r="H912" s="9" t="n">
        <x:v>208</x:v>
      </x:c>
      <x:c r="I912" s="9" t="n">
        <x:v>4</x:v>
      </x:c>
      <x:c r="J912" s="9" t="n">
        <x:v>1</x:v>
      </x:c>
      <x:c r="K912" s="9" t="n">
        <x:v>0</x:v>
      </x:c>
      <x:c r="L912" s="13" t="n">
        <x:f>SUMIFS('Payments'!$D$5:$D$3014,'Payments'!$B$5:$B$3014,A912)</x:f>
        <x:v>1688.98</x:v>
      </x:c>
      <x:c r="M912" s="13" t="n">
        <x:f>G912-L912</x:f>
        <x:v>12741.95</x:v>
      </x:c>
      <x:c r="N912" s="9" t="str">
        <x:f>IF(H912=0,"0 Current",IF(H912&lt;=30,"1 1-30",IF(H912&lt;=60,"2 31-60",IF(H912&lt;=90,"3 61-90",IF(H912&lt;=120,"4 91-120","5 121+")))))</x:f>
        <x:v>5 121+</x:v>
      </x:c>
      <x:c r="O912" s="9" t="n">
        <x:f>IF(J912&gt;0,1,0)</x:f>
        <x:v>1</x:v>
      </x:c>
    </x:row>
    <x:row r="913">
      <x:c r="A913" s="15" t="str">
        <x:v>909</x:v>
      </x:c>
      <x:c r="B913" s="9" t="str">
        <x:v>Riley</x:v>
      </x:c>
      <x:c r="C913" s="9" t="str">
        <x:v>Personal Loan</x:v>
      </x:c>
      <x:c r="D913" s="9" t="str">
        <x:v>West</x:v>
      </x:c>
      <x:c r="E913" s="9" t="n">
        <x:v>460</x:v>
      </x:c>
      <x:c r="F913" s="11" t="n">
        <x:v>46112</x:v>
      </x:c>
      <x:c r="G913" s="13" t="n">
        <x:v>22800.76</x:v>
      </x:c>
      <x:c r="H913" s="9" t="n">
        <x:v>114</x:v>
      </x:c>
      <x:c r="I913" s="9" t="n">
        <x:v>1</x:v>
      </x:c>
      <x:c r="J913" s="9" t="n">
        <x:v>0</x:v>
      </x:c>
      <x:c r="K913" s="9" t="n">
        <x:v>0</x:v>
      </x:c>
      <x:c r="L913" s="13" t="n">
        <x:f>SUMIFS('Payments'!$D$5:$D$3014,'Payments'!$B$5:$B$3014,A913)</x:f>
        <x:v>3767.7799999999997</x:v>
      </x:c>
      <x:c r="M913" s="13" t="n">
        <x:f>G913-L913</x:f>
        <x:v>19032.98</x:v>
      </x:c>
      <x:c r="N913" s="9" t="str">
        <x:f>IF(H913=0,"0 Current",IF(H913&lt;=30,"1 1-30",IF(H913&lt;=60,"2 31-60",IF(H913&lt;=90,"3 61-90",IF(H913&lt;=120,"4 91-120","5 121+")))))</x:f>
        <x:v>4 91-120</x:v>
      </x:c>
      <x:c r="O913" s="9" t="n">
        <x:f>IF(J913&gt;0,1,0)</x:f>
        <x:v>0</x:v>
      </x:c>
    </x:row>
    <x:row r="914">
      <x:c r="A914" s="15" t="str">
        <x:v>910</x:v>
      </x:c>
      <x:c r="B914" s="9" t="str">
        <x:v>Riley</x:v>
      </x:c>
      <x:c r="C914" s="9" t="str">
        <x:v>Auto</x:v>
      </x:c>
      <x:c r="D914" s="9" t="str">
        <x:v>West</x:v>
      </x:c>
      <x:c r="E914" s="9" t="n">
        <x:v>728</x:v>
      </x:c>
      <x:c r="F914" s="11" t="n">
        <x:v>46073</x:v>
      </x:c>
      <x:c r="G914" s="13" t="n">
        <x:v>8903.94</x:v>
      </x:c>
      <x:c r="H914" s="9" t="n">
        <x:v>40</x:v>
      </x:c>
      <x:c r="I914" s="9" t="n">
        <x:v>1</x:v>
      </x:c>
      <x:c r="J914" s="9" t="n">
        <x:v>0</x:v>
      </x:c>
      <x:c r="K914" s="9" t="n">
        <x:v>0</x:v>
      </x:c>
      <x:c r="L914" s="13" t="n">
        <x:f>SUMIFS('Payments'!$D$5:$D$3014,'Payments'!$B$5:$B$3014,A914)</x:f>
        <x:v>1958.11</x:v>
      </x:c>
      <x:c r="M914" s="13" t="n">
        <x:f>G914-L914</x:f>
        <x:v>6945.830000000001</x:v>
      </x:c>
      <x:c r="N914" s="9" t="str">
        <x:f>IF(H914=0,"0 Current",IF(H914&lt;=30,"1 1-30",IF(H914&lt;=60,"2 31-60",IF(H914&lt;=90,"3 61-90",IF(H914&lt;=120,"4 91-120","5 121+")))))</x:f>
        <x:v>2 31-60</x:v>
      </x:c>
      <x:c r="O914" s="9" t="n">
        <x:f>IF(J914&gt;0,1,0)</x:f>
        <x:v>0</x:v>
      </x:c>
    </x:row>
    <x:row r="915">
      <x:c r="A915" s="15" t="str">
        <x:v>911</x:v>
      </x:c>
      <x:c r="B915" s="9" t="str">
        <x:v>Casey</x:v>
      </x:c>
      <x:c r="C915" s="9" t="str">
        <x:v>Auto</x:v>
      </x:c>
      <x:c r="D915" s="9" t="str">
        <x:v>South</x:v>
      </x:c>
      <x:c r="E915" s="9" t="n">
        <x:v>699</x:v>
      </x:c>
      <x:c r="F915" s="11" t="n">
        <x:v>46157</x:v>
      </x:c>
      <x:c r="G915" s="13" t="n">
        <x:v>10589.3</x:v>
      </x:c>
      <x:c r="H915" s="9" t="n">
        <x:v>4</x:v>
      </x:c>
      <x:c r="I915" s="9" t="n">
        <x:v>0</x:v>
      </x:c>
      <x:c r="J915" s="9" t="n">
        <x:v>0</x:v>
      </x:c>
      <x:c r="K915" s="9" t="n">
        <x:v>0</x:v>
      </x:c>
      <x:c r="L915" s="13" t="n">
        <x:f>SUMIFS('Payments'!$D$5:$D$3014,'Payments'!$B$5:$B$3014,A915)</x:f>
        <x:v>0</x:v>
      </x:c>
      <x:c r="M915" s="13" t="n">
        <x:f>G915-L915</x:f>
        <x:v>10589.3</x:v>
      </x:c>
      <x:c r="N915" s="9" t="str">
        <x:f>IF(H915=0,"0 Current",IF(H915&lt;=30,"1 1-30",IF(H915&lt;=60,"2 31-60",IF(H915&lt;=90,"3 61-90",IF(H915&lt;=120,"4 91-120","5 121+")))))</x:f>
        <x:v>1 1-30</x:v>
      </x:c>
      <x:c r="O915" s="9" t="n">
        <x:f>IF(J915&gt;0,1,0)</x:f>
        <x:v>0</x:v>
      </x:c>
    </x:row>
    <x:row r="916">
      <x:c r="A916" s="15" t="str">
        <x:v>912</x:v>
      </x:c>
      <x:c r="B916" s="9" t="str">
        <x:v>Morgan</x:v>
      </x:c>
      <x:c r="C916" s="9" t="str">
        <x:v>Auto</x:v>
      </x:c>
      <x:c r="D916" s="9" t="str">
        <x:v>Midwest</x:v>
      </x:c>
      <x:c r="E916" s="9" t="n">
        <x:v>584</x:v>
      </x:c>
      <x:c r="F916" s="11" t="n">
        <x:v>46091</x:v>
      </x:c>
      <x:c r="G916" s="13" t="n">
        <x:v>17402.38</x:v>
      </x:c>
      <x:c r="H916" s="9" t="n">
        <x:v>25</x:v>
      </x:c>
      <x:c r="I916" s="9" t="n">
        <x:v>1</x:v>
      </x:c>
      <x:c r="J916" s="9" t="n">
        <x:v>0</x:v>
      </x:c>
      <x:c r="K916" s="9" t="n">
        <x:v>0</x:v>
      </x:c>
      <x:c r="L916" s="13" t="n">
        <x:f>SUMIFS('Payments'!$D$5:$D$3014,'Payments'!$B$5:$B$3014,A916)</x:f>
        <x:v>2430.79</x:v>
      </x:c>
      <x:c r="M916" s="13" t="n">
        <x:f>G916-L916</x:f>
        <x:v>14971.59</x:v>
      </x:c>
      <x:c r="N916" s="9" t="str">
        <x:f>IF(H916=0,"0 Current",IF(H916&lt;=30,"1 1-30",IF(H916&lt;=60,"2 31-60",IF(H916&lt;=90,"3 61-90",IF(H916&lt;=120,"4 91-120","5 121+")))))</x:f>
        <x:v>1 1-30</x:v>
      </x:c>
      <x:c r="O916" s="9" t="n">
        <x:f>IF(J916&gt;0,1,0)</x:f>
        <x:v>0</x:v>
      </x:c>
    </x:row>
    <x:row r="917">
      <x:c r="A917" s="15" t="str">
        <x:v>913</x:v>
      </x:c>
      <x:c r="B917" s="9" t="str">
        <x:v>Taylor</x:v>
      </x:c>
      <x:c r="C917" s="9" t="str">
        <x:v>Auto</x:v>
      </x:c>
      <x:c r="D917" s="9" t="str">
        <x:v>Northeast</x:v>
      </x:c>
      <x:c r="E917" s="9" t="n">
        <x:v>460</x:v>
      </x:c>
      <x:c r="F917" s="11" t="n">
        <x:v>46137</x:v>
      </x:c>
      <x:c r="G917" s="13" t="n">
        <x:v>20869.79</x:v>
      </x:c>
      <x:c r="H917" s="9" t="n">
        <x:v>31</x:v>
      </x:c>
      <x:c r="I917" s="9" t="n">
        <x:v>3</x:v>
      </x:c>
      <x:c r="J917" s="9" t="n">
        <x:v>1</x:v>
      </x:c>
      <x:c r="K917" s="9" t="n">
        <x:v>0</x:v>
      </x:c>
      <x:c r="L917" s="13" t="n">
        <x:f>SUMIFS('Payments'!$D$5:$D$3014,'Payments'!$B$5:$B$3014,A917)</x:f>
        <x:v>2081.42</x:v>
      </x:c>
      <x:c r="M917" s="13" t="n">
        <x:f>G917-L917</x:f>
        <x:v>18788.370000000003</x:v>
      </x:c>
      <x:c r="N917" s="9" t="str">
        <x:f>IF(H917=0,"0 Current",IF(H917&lt;=30,"1 1-30",IF(H917&lt;=60,"2 31-60",IF(H917&lt;=90,"3 61-90",IF(H917&lt;=120,"4 91-120","5 121+")))))</x:f>
        <x:v>2 31-60</x:v>
      </x:c>
      <x:c r="O917" s="9" t="n">
        <x:f>IF(J917&gt;0,1,0)</x:f>
        <x:v>1</x:v>
      </x:c>
    </x:row>
    <x:row r="918">
      <x:c r="A918" s="15" t="str">
        <x:v>914</x:v>
      </x:c>
      <x:c r="B918" s="9" t="str">
        <x:v>Casey</x:v>
      </x:c>
      <x:c r="C918" s="9" t="str">
        <x:v>Credit Card</x:v>
      </x:c>
      <x:c r="D918" s="9" t="str">
        <x:v>Midwest</x:v>
      </x:c>
      <x:c r="E918" s="9" t="n">
        <x:v>758</x:v>
      </x:c>
      <x:c r="F918" s="11" t="n">
        <x:v>46039</x:v>
      </x:c>
      <x:c r="G918" s="13" t="n">
        <x:v>13781.93</x:v>
      </x:c>
      <x:c r="H918" s="9" t="n">
        <x:v>65</x:v>
      </x:c>
      <x:c r="I918" s="9" t="n">
        <x:v>8</x:v>
      </x:c>
      <x:c r="J918" s="9" t="n">
        <x:v>4</x:v>
      </x:c>
      <x:c r="K918" s="9" t="n">
        <x:v>1</x:v>
      </x:c>
      <x:c r="L918" s="13" t="n">
        <x:f>SUMIFS('Payments'!$D$5:$D$3014,'Payments'!$B$5:$B$3014,A918)</x:f>
        <x:v>3818.2099999999996</x:v>
      </x:c>
      <x:c r="M918" s="13" t="n">
        <x:f>G918-L918</x:f>
        <x:v>9963.720000000001</x:v>
      </x:c>
      <x:c r="N918" s="9" t="str">
        <x:f>IF(H918=0,"0 Current",IF(H918&lt;=30,"1 1-30",IF(H918&lt;=60,"2 31-60",IF(H918&lt;=90,"3 61-90",IF(H918&lt;=120,"4 91-120","5 121+")))))</x:f>
        <x:v>3 61-90</x:v>
      </x:c>
      <x:c r="O918" s="9" t="n">
        <x:f>IF(J918&gt;0,1,0)</x:f>
        <x:v>1</x:v>
      </x:c>
    </x:row>
    <x:row r="919">
      <x:c r="A919" s="15" t="str">
        <x:v>915</x:v>
      </x:c>
      <x:c r="B919" s="9" t="str">
        <x:v>Morgan</x:v>
      </x:c>
      <x:c r="C919" s="9" t="str">
        <x:v>Auto</x:v>
      </x:c>
      <x:c r="D919" s="9" t="str">
        <x:v>Midwest</x:v>
      </x:c>
      <x:c r="E919" s="9" t="n">
        <x:v>576</x:v>
      </x:c>
      <x:c r="F919" s="11" t="n">
        <x:v>46096</x:v>
      </x:c>
      <x:c r="G919" s="13" t="n">
        <x:v>2559.57</x:v>
      </x:c>
      <x:c r="H919" s="9" t="n">
        <x:v>146</x:v>
      </x:c>
      <x:c r="I919" s="9" t="n">
        <x:v>5</x:v>
      </x:c>
      <x:c r="J919" s="9" t="n">
        <x:v>3</x:v>
      </x:c>
      <x:c r="K919" s="9" t="n">
        <x:v>1</x:v>
      </x:c>
      <x:c r="L919" s="13" t="n">
        <x:f>SUMIFS('Payments'!$D$5:$D$3014,'Payments'!$B$5:$B$3014,A919)</x:f>
        <x:v>373.61</x:v>
      </x:c>
      <x:c r="M919" s="13" t="n">
        <x:f>G919-L919</x:f>
        <x:v>2185.96</x:v>
      </x:c>
      <x:c r="N919" s="9" t="str">
        <x:f>IF(H919=0,"0 Current",IF(H919&lt;=30,"1 1-30",IF(H919&lt;=60,"2 31-60",IF(H919&lt;=90,"3 61-90",IF(H919&lt;=120,"4 91-120","5 121+")))))</x:f>
        <x:v>5 121+</x:v>
      </x:c>
      <x:c r="O919" s="9" t="n">
        <x:f>IF(J919&gt;0,1,0)</x:f>
        <x:v>1</x:v>
      </x:c>
    </x:row>
    <x:row r="920">
      <x:c r="A920" s="15" t="str">
        <x:v>916</x:v>
      </x:c>
      <x:c r="B920" s="9" t="str">
        <x:v>Alex</x:v>
      </x:c>
      <x:c r="C920" s="9" t="str">
        <x:v>Personal Loan</x:v>
      </x:c>
      <x:c r="D920" s="9" t="str">
        <x:v>West</x:v>
      </x:c>
      <x:c r="E920" s="9" t="n">
        <x:v>728</x:v>
      </x:c>
      <x:c r="F920" s="11" t="n">
        <x:v>46137</x:v>
      </x:c>
      <x:c r="G920" s="13" t="n">
        <x:v>1114.9</x:v>
      </x:c>
      <x:c r="H920" s="9" t="n">
        <x:v>42</x:v>
      </x:c>
      <x:c r="I920" s="9" t="n">
        <x:v>8</x:v>
      </x:c>
      <x:c r="J920" s="9" t="n">
        <x:v>3</x:v>
      </x:c>
      <x:c r="K920" s="9" t="n">
        <x:v>0</x:v>
      </x:c>
      <x:c r="L920" s="13" t="n">
        <x:f>SUMIFS('Payments'!$D$5:$D$3014,'Payments'!$B$5:$B$3014,A920)</x:f>
        <x:v>219.04000000000002</x:v>
      </x:c>
      <x:c r="M920" s="13" t="n">
        <x:f>G920-L920</x:f>
        <x:v>895.8600000000001</x:v>
      </x:c>
      <x:c r="N920" s="9" t="str">
        <x:f>IF(H920=0,"0 Current",IF(H920&lt;=30,"1 1-30",IF(H920&lt;=60,"2 31-60",IF(H920&lt;=90,"3 61-90",IF(H920&lt;=120,"4 91-120","5 121+")))))</x:f>
        <x:v>2 31-60</x:v>
      </x:c>
      <x:c r="O920" s="9" t="n">
        <x:f>IF(J920&gt;0,1,0)</x:f>
        <x:v>1</x:v>
      </x:c>
    </x:row>
    <x:row r="921">
      <x:c r="A921" s="15" t="str">
        <x:v>917</x:v>
      </x:c>
      <x:c r="B921" s="9" t="str">
        <x:v>Casey</x:v>
      </x:c>
      <x:c r="C921" s="9" t="str">
        <x:v>Credit Card</x:v>
      </x:c>
      <x:c r="D921" s="9" t="str">
        <x:v>West</x:v>
      </x:c>
      <x:c r="E921" s="9" t="n">
        <x:v>505</x:v>
      </x:c>
      <x:c r="F921" s="11" t="n">
        <x:v>46172</x:v>
      </x:c>
      <x:c r="G921" s="13" t="n">
        <x:v>19314.81</x:v>
      </x:c>
      <x:c r="H921" s="9" t="n">
        <x:v>21</x:v>
      </x:c>
      <x:c r="I921" s="9" t="n">
        <x:v>8</x:v>
      </x:c>
      <x:c r="J921" s="9" t="n">
        <x:v>4</x:v>
      </x:c>
      <x:c r="K921" s="9" t="n">
        <x:v>1</x:v>
      </x:c>
      <x:c r="L921" s="13" t="n">
        <x:f>SUMIFS('Payments'!$D$5:$D$3014,'Payments'!$B$5:$B$3014,A921)</x:f>
        <x:v>3960.09</x:v>
      </x:c>
      <x:c r="M921" s="13" t="n">
        <x:f>G921-L921</x:f>
        <x:v>15354.720000000001</x:v>
      </x:c>
      <x:c r="N921" s="9" t="str">
        <x:f>IF(H921=0,"0 Current",IF(H921&lt;=30,"1 1-30",IF(H921&lt;=60,"2 31-60",IF(H921&lt;=90,"3 61-90",IF(H921&lt;=120,"4 91-120","5 121+")))))</x:f>
        <x:v>1 1-30</x:v>
      </x:c>
      <x:c r="O921" s="9" t="n">
        <x:f>IF(J921&gt;0,1,0)</x:f>
        <x:v>1</x:v>
      </x:c>
    </x:row>
    <x:row r="922">
      <x:c r="A922" s="15" t="str">
        <x:v>918</x:v>
      </x:c>
      <x:c r="B922" s="9" t="str">
        <x:v>Casey</x:v>
      </x:c>
      <x:c r="C922" s="9" t="str">
        <x:v>Credit Card</x:v>
      </x:c>
      <x:c r="D922" s="9" t="str">
        <x:v>West</x:v>
      </x:c>
      <x:c r="E922" s="9" t="n">
        <x:v>599</x:v>
      </x:c>
      <x:c r="F922" s="11" t="n">
        <x:v>46025</x:v>
      </x:c>
      <x:c r="G922" s="13" t="n">
        <x:v>23111.48</x:v>
      </x:c>
      <x:c r="H922" s="9" t="n">
        <x:v>207</x:v>
      </x:c>
      <x:c r="I922" s="9" t="n">
        <x:v>4</x:v>
      </x:c>
      <x:c r="J922" s="9" t="n">
        <x:v>1</x:v>
      </x:c>
      <x:c r="K922" s="9" t="n">
        <x:v>0</x:v>
      </x:c>
      <x:c r="L922" s="13" t="n">
        <x:f>SUMIFS('Payments'!$D$5:$D$3014,'Payments'!$B$5:$B$3014,A922)</x:f>
        <x:v>0</x:v>
      </x:c>
      <x:c r="M922" s="13" t="n">
        <x:f>G922-L922</x:f>
        <x:v>23111.48</x:v>
      </x:c>
      <x:c r="N922" s="9" t="str">
        <x:f>IF(H922=0,"0 Current",IF(H922&lt;=30,"1 1-30",IF(H922&lt;=60,"2 31-60",IF(H922&lt;=90,"3 61-90",IF(H922&lt;=120,"4 91-120","5 121+")))))</x:f>
        <x:v>5 121+</x:v>
      </x:c>
      <x:c r="O922" s="9" t="n">
        <x:f>IF(J922&gt;0,1,0)</x:f>
        <x:v>1</x:v>
      </x:c>
    </x:row>
    <x:row r="923">
      <x:c r="A923" s="15" t="str">
        <x:v>919</x:v>
      </x:c>
      <x:c r="B923" s="9" t="str">
        <x:v>Alex</x:v>
      </x:c>
      <x:c r="C923" s="9" t="str">
        <x:v>Personal Loan</x:v>
      </x:c>
      <x:c r="D923" s="9" t="str">
        <x:v>West</x:v>
      </x:c>
      <x:c r="E923" s="9" t="n">
        <x:v>441</x:v>
      </x:c>
      <x:c r="F923" s="11" t="n">
        <x:v>46120</x:v>
      </x:c>
      <x:c r="G923" s="13" t="n">
        <x:v>24131.92</x:v>
      </x:c>
      <x:c r="H923" s="9" t="n">
        <x:v>152</x:v>
      </x:c>
      <x:c r="I923" s="9" t="n">
        <x:v>4</x:v>
      </x:c>
      <x:c r="J923" s="9" t="n">
        <x:v>0</x:v>
      </x:c>
      <x:c r="K923" s="9" t="n">
        <x:v>0</x:v>
      </x:c>
      <x:c r="L923" s="13" t="n">
        <x:f>SUMIFS('Payments'!$D$5:$D$3014,'Payments'!$B$5:$B$3014,A923)</x:f>
        <x:v>3628.88</x:v>
      </x:c>
      <x:c r="M923" s="13" t="n">
        <x:f>G923-L923</x:f>
        <x:v>20503.039999999997</x:v>
      </x:c>
      <x:c r="N923" s="9" t="str">
        <x:f>IF(H923=0,"0 Current",IF(H923&lt;=30,"1 1-30",IF(H923&lt;=60,"2 31-60",IF(H923&lt;=90,"3 61-90",IF(H923&lt;=120,"4 91-120","5 121+")))))</x:f>
        <x:v>5 121+</x:v>
      </x:c>
      <x:c r="O923" s="9" t="n">
        <x:f>IF(J923&gt;0,1,0)</x:f>
        <x:v>0</x:v>
      </x:c>
    </x:row>
    <x:row r="924">
      <x:c r="A924" s="15" t="str">
        <x:v>920</x:v>
      </x:c>
      <x:c r="B924" s="9" t="str">
        <x:v>Jordan</x:v>
      </x:c>
      <x:c r="C924" s="9" t="str">
        <x:v>Credit Card</x:v>
      </x:c>
      <x:c r="D924" s="9" t="str">
        <x:v>Midwest</x:v>
      </x:c>
      <x:c r="E924" s="9" t="n">
        <x:v>734</x:v>
      </x:c>
      <x:c r="F924" s="11" t="n">
        <x:v>46145</x:v>
      </x:c>
      <x:c r="G924" s="13" t="n">
        <x:v>2598.21</x:v>
      </x:c>
      <x:c r="H924" s="9" t="n">
        <x:v>150</x:v>
      </x:c>
      <x:c r="I924" s="9" t="n">
        <x:v>1</x:v>
      </x:c>
      <x:c r="J924" s="9" t="n">
        <x:v>0</x:v>
      </x:c>
      <x:c r="K924" s="9" t="n">
        <x:v>0</x:v>
      </x:c>
      <x:c r="L924" s="13" t="n">
        <x:f>SUMIFS('Payments'!$D$5:$D$3014,'Payments'!$B$5:$B$3014,A924)</x:f>
        <x:v>133.77</x:v>
      </x:c>
      <x:c r="M924" s="13" t="n">
        <x:f>G924-L924</x:f>
        <x:v>2464.44</x:v>
      </x:c>
      <x:c r="N924" s="9" t="str">
        <x:f>IF(H924=0,"0 Current",IF(H924&lt;=30,"1 1-30",IF(H924&lt;=60,"2 31-60",IF(H924&lt;=90,"3 61-90",IF(H924&lt;=120,"4 91-120","5 121+")))))</x:f>
        <x:v>5 121+</x:v>
      </x:c>
      <x:c r="O924" s="9" t="n">
        <x:f>IF(J924&gt;0,1,0)</x:f>
        <x:v>0</x:v>
      </x:c>
    </x:row>
    <x:row r="925">
      <x:c r="A925" s="15" t="str">
        <x:v>921</x:v>
      </x:c>
      <x:c r="B925" s="9" t="str">
        <x:v>Morgan</x:v>
      </x:c>
      <x:c r="C925" s="9" t="str">
        <x:v>Credit Card</x:v>
      </x:c>
      <x:c r="D925" s="9" t="str">
        <x:v>West</x:v>
      </x:c>
      <x:c r="E925" s="9" t="n">
        <x:v>560</x:v>
      </x:c>
      <x:c r="F925" s="11" t="n">
        <x:v>46051</x:v>
      </x:c>
      <x:c r="G925" s="13" t="n">
        <x:v>15373.42</x:v>
      </x:c>
      <x:c r="H925" s="9" t="n">
        <x:v>126</x:v>
      </x:c>
      <x:c r="I925" s="9" t="n">
        <x:v>5</x:v>
      </x:c>
      <x:c r="J925" s="9" t="n">
        <x:v>2</x:v>
      </x:c>
      <x:c r="K925" s="9" t="n">
        <x:v>0</x:v>
      </x:c>
      <x:c r="L925" s="13" t="n">
        <x:f>SUMIFS('Payments'!$D$5:$D$3014,'Payments'!$B$5:$B$3014,A925)</x:f>
        <x:v>4395.93</x:v>
      </x:c>
      <x:c r="M925" s="13" t="n">
        <x:f>G925-L925</x:f>
        <x:v>10977.49</x:v>
      </x:c>
      <x:c r="N925" s="9" t="str">
        <x:f>IF(H925=0,"0 Current",IF(H925&lt;=30,"1 1-30",IF(H925&lt;=60,"2 31-60",IF(H925&lt;=90,"3 61-90",IF(H925&lt;=120,"4 91-120","5 121+")))))</x:f>
        <x:v>5 121+</x:v>
      </x:c>
      <x:c r="O925" s="9" t="n">
        <x:f>IF(J925&gt;0,1,0)</x:f>
        <x:v>1</x:v>
      </x:c>
    </x:row>
    <x:row r="926">
      <x:c r="A926" s="15" t="str">
        <x:v>922</x:v>
      </x:c>
      <x:c r="B926" s="9" t="str">
        <x:v>Morgan</x:v>
      </x:c>
      <x:c r="C926" s="9" t="str">
        <x:v>Medical</x:v>
      </x:c>
      <x:c r="D926" s="9" t="str">
        <x:v>Northeast</x:v>
      </x:c>
      <x:c r="E926" s="9" t="n">
        <x:v>458</x:v>
      </x:c>
      <x:c r="F926" s="11" t="n">
        <x:v>46095</x:v>
      </x:c>
      <x:c r="G926" s="13" t="n">
        <x:v>16283.77</x:v>
      </x:c>
      <x:c r="H926" s="9" t="n">
        <x:v>184</x:v>
      </x:c>
      <x:c r="I926" s="9" t="n">
        <x:v>7</x:v>
      </x:c>
      <x:c r="J926" s="9" t="n">
        <x:v>2</x:v>
      </x:c>
      <x:c r="K926" s="9" t="n">
        <x:v>1</x:v>
      </x:c>
      <x:c r="L926" s="13" t="n">
        <x:f>SUMIFS('Payments'!$D$5:$D$3014,'Payments'!$B$5:$B$3014,A926)</x:f>
        <x:v>1690.96</x:v>
      </x:c>
      <x:c r="M926" s="13" t="n">
        <x:f>G926-L926</x:f>
        <x:v>14592.810000000001</x:v>
      </x:c>
      <x:c r="N926" s="9" t="str">
        <x:f>IF(H926=0,"0 Current",IF(H926&lt;=30,"1 1-30",IF(H926&lt;=60,"2 31-60",IF(H926&lt;=90,"3 61-90",IF(H926&lt;=120,"4 91-120","5 121+")))))</x:f>
        <x:v>5 121+</x:v>
      </x:c>
      <x:c r="O926" s="9" t="n">
        <x:f>IF(J926&gt;0,1,0)</x:f>
        <x:v>1</x:v>
      </x:c>
    </x:row>
    <x:row r="927">
      <x:c r="A927" s="15" t="str">
        <x:v>923</x:v>
      </x:c>
      <x:c r="B927" s="9" t="str">
        <x:v>Riley</x:v>
      </x:c>
      <x:c r="C927" s="9" t="str">
        <x:v>Medical</x:v>
      </x:c>
      <x:c r="D927" s="9" t="str">
        <x:v>West</x:v>
      </x:c>
      <x:c r="E927" s="9" t="n">
        <x:v>606</x:v>
      </x:c>
      <x:c r="F927" s="11" t="n">
        <x:v>46127</x:v>
      </x:c>
      <x:c r="G927" s="13" t="n">
        <x:v>12043.44</x:v>
      </x:c>
      <x:c r="H927" s="9" t="n">
        <x:v>0</x:v>
      </x:c>
      <x:c r="I927" s="9" t="n">
        <x:v>6</x:v>
      </x:c>
      <x:c r="J927" s="9" t="n">
        <x:v>2</x:v>
      </x:c>
      <x:c r="K927" s="9" t="n">
        <x:v>1</x:v>
      </x:c>
      <x:c r="L927" s="13" t="n">
        <x:f>SUMIFS('Payments'!$D$5:$D$3014,'Payments'!$B$5:$B$3014,A927)</x:f>
        <x:v>4017.44</x:v>
      </x:c>
      <x:c r="M927" s="13" t="n">
        <x:f>G927-L927</x:f>
        <x:v>8026</x:v>
      </x:c>
      <x:c r="N927" s="9" t="str">
        <x:f>IF(H927=0,"0 Current",IF(H927&lt;=30,"1 1-30",IF(H927&lt;=60,"2 31-60",IF(H927&lt;=90,"3 61-90",IF(H927&lt;=120,"4 91-120","5 121+")))))</x:f>
        <x:v>0 Current</x:v>
      </x:c>
      <x:c r="O927" s="9" t="n">
        <x:f>IF(J927&gt;0,1,0)</x:f>
        <x:v>1</x:v>
      </x:c>
    </x:row>
    <x:row r="928">
      <x:c r="A928" s="15" t="str">
        <x:v>924</x:v>
      </x:c>
      <x:c r="B928" s="9" t="str">
        <x:v>Alex</x:v>
      </x:c>
      <x:c r="C928" s="9" t="str">
        <x:v>Medical</x:v>
      </x:c>
      <x:c r="D928" s="9" t="str">
        <x:v>South</x:v>
      </x:c>
      <x:c r="E928" s="9" t="n">
        <x:v>435</x:v>
      </x:c>
      <x:c r="F928" s="11" t="n">
        <x:v>46041</x:v>
      </x:c>
      <x:c r="G928" s="13" t="n">
        <x:v>9494.76</x:v>
      </x:c>
      <x:c r="H928" s="9" t="n">
        <x:v>91</x:v>
      </x:c>
      <x:c r="I928" s="9" t="n">
        <x:v>3</x:v>
      </x:c>
      <x:c r="J928" s="9" t="n">
        <x:v>1</x:v>
      </x:c>
      <x:c r="K928" s="9" t="n">
        <x:v>0</x:v>
      </x:c>
      <x:c r="L928" s="13" t="n">
        <x:f>SUMIFS('Payments'!$D$5:$D$3014,'Payments'!$B$5:$B$3014,A928)</x:f>
        <x:v>3033.06</x:v>
      </x:c>
      <x:c r="M928" s="13" t="n">
        <x:f>G928-L928</x:f>
        <x:v>6461.700000000001</x:v>
      </x:c>
      <x:c r="N928" s="9" t="str">
        <x:f>IF(H928=0,"0 Current",IF(H928&lt;=30,"1 1-30",IF(H928&lt;=60,"2 31-60",IF(H928&lt;=90,"3 61-90",IF(H928&lt;=120,"4 91-120","5 121+")))))</x:f>
        <x:v>4 91-120</x:v>
      </x:c>
      <x:c r="O928" s="9" t="n">
        <x:f>IF(J928&gt;0,1,0)</x:f>
        <x:v>1</x:v>
      </x:c>
    </x:row>
    <x:row r="929">
      <x:c r="A929" s="15" t="str">
        <x:v>925</x:v>
      </x:c>
      <x:c r="B929" s="9" t="str">
        <x:v>Riley</x:v>
      </x:c>
      <x:c r="C929" s="9" t="str">
        <x:v>Credit Card</x:v>
      </x:c>
      <x:c r="D929" s="9" t="str">
        <x:v>South</x:v>
      </x:c>
      <x:c r="E929" s="9" t="n">
        <x:v>731</x:v>
      </x:c>
      <x:c r="F929" s="11" t="n">
        <x:v>46088</x:v>
      </x:c>
      <x:c r="G929" s="13" t="n">
        <x:v>13972.84</x:v>
      </x:c>
      <x:c r="H929" s="9" t="n">
        <x:v>102</x:v>
      </x:c>
      <x:c r="I929" s="9" t="n">
        <x:v>4</x:v>
      </x:c>
      <x:c r="J929" s="9" t="n">
        <x:v>2</x:v>
      </x:c>
      <x:c r="K929" s="9" t="n">
        <x:v>0</x:v>
      </x:c>
      <x:c r="L929" s="13" t="n">
        <x:f>SUMIFS('Payments'!$D$5:$D$3014,'Payments'!$B$5:$B$3014,A929)</x:f>
        <x:v>1022.03</x:v>
      </x:c>
      <x:c r="M929" s="13" t="n">
        <x:f>G929-L929</x:f>
        <x:v>12950.81</x:v>
      </x:c>
      <x:c r="N929" s="9" t="str">
        <x:f>IF(H929=0,"0 Current",IF(H929&lt;=30,"1 1-30",IF(H929&lt;=60,"2 31-60",IF(H929&lt;=90,"3 61-90",IF(H929&lt;=120,"4 91-120","5 121+")))))</x:f>
        <x:v>4 91-120</x:v>
      </x:c>
      <x:c r="O929" s="9" t="n">
        <x:f>IF(J929&gt;0,1,0)</x:f>
        <x:v>1</x:v>
      </x:c>
    </x:row>
    <x:row r="930">
      <x:c r="A930" s="15" t="str">
        <x:v>926</x:v>
      </x:c>
      <x:c r="B930" s="9" t="str">
        <x:v>Alex</x:v>
      </x:c>
      <x:c r="C930" s="9" t="str">
        <x:v>Auto</x:v>
      </x:c>
      <x:c r="D930" s="9" t="str">
        <x:v>West</x:v>
      </x:c>
      <x:c r="E930" s="9" t="n">
        <x:v>437</x:v>
      </x:c>
      <x:c r="F930" s="11" t="n">
        <x:v>46097</x:v>
      </x:c>
      <x:c r="G930" s="13" t="n">
        <x:v>11975.61</x:v>
      </x:c>
      <x:c r="H930" s="9" t="n">
        <x:v>102</x:v>
      </x:c>
      <x:c r="I930" s="9" t="n">
        <x:v>7</x:v>
      </x:c>
      <x:c r="J930" s="9" t="n">
        <x:v>3</x:v>
      </x:c>
      <x:c r="K930" s="9" t="n">
        <x:v>1</x:v>
      </x:c>
      <x:c r="L930" s="13" t="n">
        <x:f>SUMIFS('Payments'!$D$5:$D$3014,'Payments'!$B$5:$B$3014,A930)</x:f>
        <x:v>0</x:v>
      </x:c>
      <x:c r="M930" s="13" t="n">
        <x:f>G930-L930</x:f>
        <x:v>11975.61</x:v>
      </x:c>
      <x:c r="N930" s="9" t="str">
        <x:f>IF(H930=0,"0 Current",IF(H930&lt;=30,"1 1-30",IF(H930&lt;=60,"2 31-60",IF(H930&lt;=90,"3 61-90",IF(H930&lt;=120,"4 91-120","5 121+")))))</x:f>
        <x:v>4 91-120</x:v>
      </x:c>
      <x:c r="O930" s="9" t="n">
        <x:f>IF(J930&gt;0,1,0)</x:f>
        <x:v>1</x:v>
      </x:c>
    </x:row>
    <x:row r="931">
      <x:c r="A931" s="15" t="str">
        <x:v>927</x:v>
      </x:c>
      <x:c r="B931" s="9" t="str">
        <x:v>Morgan</x:v>
      </x:c>
      <x:c r="C931" s="9" t="str">
        <x:v>Medical</x:v>
      </x:c>
      <x:c r="D931" s="9" t="str">
        <x:v>South</x:v>
      </x:c>
      <x:c r="E931" s="9" t="n">
        <x:v>454</x:v>
      </x:c>
      <x:c r="F931" s="11" t="n">
        <x:v>46023</x:v>
      </x:c>
      <x:c r="G931" s="13" t="n">
        <x:v>17306.77</x:v>
      </x:c>
      <x:c r="H931" s="9" t="n">
        <x:v>24</x:v>
      </x:c>
      <x:c r="I931" s="9" t="n">
        <x:v>8</x:v>
      </x:c>
      <x:c r="J931" s="9" t="n">
        <x:v>6</x:v>
      </x:c>
      <x:c r="K931" s="9" t="n">
        <x:v>0</x:v>
      </x:c>
      <x:c r="L931" s="13" t="n">
        <x:f>SUMIFS('Payments'!$D$5:$D$3014,'Payments'!$B$5:$B$3014,A931)</x:f>
        <x:v>938.77</x:v>
      </x:c>
      <x:c r="M931" s="13" t="n">
        <x:f>G931-L931</x:f>
        <x:v>16368</x:v>
      </x:c>
      <x:c r="N931" s="9" t="str">
        <x:f>IF(H931=0,"0 Current",IF(H931&lt;=30,"1 1-30",IF(H931&lt;=60,"2 31-60",IF(H931&lt;=90,"3 61-90",IF(H931&lt;=120,"4 91-120","5 121+")))))</x:f>
        <x:v>1 1-30</x:v>
      </x:c>
      <x:c r="O931" s="9" t="n">
        <x:f>IF(J931&gt;0,1,0)</x:f>
        <x:v>1</x:v>
      </x:c>
    </x:row>
    <x:row r="932">
      <x:c r="A932" s="15" t="str">
        <x:v>928</x:v>
      </x:c>
      <x:c r="B932" s="9" t="str">
        <x:v>Jordan</x:v>
      </x:c>
      <x:c r="C932" s="9" t="str">
        <x:v>Auto</x:v>
      </x:c>
      <x:c r="D932" s="9" t="str">
        <x:v>South</x:v>
      </x:c>
      <x:c r="E932" s="9" t="n">
        <x:v>818</x:v>
      </x:c>
      <x:c r="F932" s="11" t="n">
        <x:v>46163</x:v>
      </x:c>
      <x:c r="G932" s="13" t="n">
        <x:v>18969.47</x:v>
      </x:c>
      <x:c r="H932" s="9" t="n">
        <x:v>145</x:v>
      </x:c>
      <x:c r="I932" s="9" t="n">
        <x:v>4</x:v>
      </x:c>
      <x:c r="J932" s="9" t="n">
        <x:v>2</x:v>
      </x:c>
      <x:c r="K932" s="9" t="n">
        <x:v>0</x:v>
      </x:c>
      <x:c r="L932" s="13" t="n">
        <x:f>SUMIFS('Payments'!$D$5:$D$3014,'Payments'!$B$5:$B$3014,A932)</x:f>
        <x:v>2683.41</x:v>
      </x:c>
      <x:c r="M932" s="13" t="n">
        <x:f>G932-L932</x:f>
        <x:v>16286.060000000001</x:v>
      </x:c>
      <x:c r="N932" s="9" t="str">
        <x:f>IF(H932=0,"0 Current",IF(H932&lt;=30,"1 1-30",IF(H932&lt;=60,"2 31-60",IF(H932&lt;=90,"3 61-90",IF(H932&lt;=120,"4 91-120","5 121+")))))</x:f>
        <x:v>5 121+</x:v>
      </x:c>
      <x:c r="O932" s="9" t="n">
        <x:f>IF(J932&gt;0,1,0)</x:f>
        <x:v>1</x:v>
      </x:c>
    </x:row>
    <x:row r="933">
      <x:c r="A933" s="15" t="str">
        <x:v>929</x:v>
      </x:c>
      <x:c r="B933" s="9" t="str">
        <x:v>Jordan</x:v>
      </x:c>
      <x:c r="C933" s="9" t="str">
        <x:v>Medical</x:v>
      </x:c>
      <x:c r="D933" s="9" t="str">
        <x:v>Midwest</x:v>
      </x:c>
      <x:c r="E933" s="9" t="n">
        <x:v>605</x:v>
      </x:c>
      <x:c r="F933" s="11" t="n">
        <x:v>46037</x:v>
      </x:c>
      <x:c r="G933" s="13" t="n">
        <x:v>20538.56</x:v>
      </x:c>
      <x:c r="H933" s="9" t="n">
        <x:v>178</x:v>
      </x:c>
      <x:c r="I933" s="9" t="n">
        <x:v>1</x:v>
      </x:c>
      <x:c r="J933" s="9" t="n">
        <x:v>1</x:v>
      </x:c>
      <x:c r="K933" s="9" t="n">
        <x:v>0</x:v>
      </x:c>
      <x:c r="L933" s="13" t="n">
        <x:f>SUMIFS('Payments'!$D$5:$D$3014,'Payments'!$B$5:$B$3014,A933)</x:f>
        <x:v>3466.16</x:v>
      </x:c>
      <x:c r="M933" s="13" t="n">
        <x:f>G933-L933</x:f>
        <x:v>17072.4</x:v>
      </x:c>
      <x:c r="N933" s="9" t="str">
        <x:f>IF(H933=0,"0 Current",IF(H933&lt;=30,"1 1-30",IF(H933&lt;=60,"2 31-60",IF(H933&lt;=90,"3 61-90",IF(H933&lt;=120,"4 91-120","5 121+")))))</x:f>
        <x:v>5 121+</x:v>
      </x:c>
      <x:c r="O933" s="9" t="n">
        <x:f>IF(J933&gt;0,1,0)</x:f>
        <x:v>1</x:v>
      </x:c>
    </x:row>
    <x:row r="934">
      <x:c r="A934" s="15" t="str">
        <x:v>930</x:v>
      </x:c>
      <x:c r="B934" s="9" t="str">
        <x:v>Riley</x:v>
      </x:c>
      <x:c r="C934" s="9" t="str">
        <x:v>Auto</x:v>
      </x:c>
      <x:c r="D934" s="9" t="str">
        <x:v>West</x:v>
      </x:c>
      <x:c r="E934" s="9" t="n">
        <x:v>710</x:v>
      </x:c>
      <x:c r="F934" s="11" t="n">
        <x:v>46038</x:v>
      </x:c>
      <x:c r="G934" s="13" t="n">
        <x:v>10023.97</x:v>
      </x:c>
      <x:c r="H934" s="9" t="n">
        <x:v>53</x:v>
      </x:c>
      <x:c r="I934" s="9" t="n">
        <x:v>8</x:v>
      </x:c>
      <x:c r="J934" s="9" t="n">
        <x:v>0</x:v>
      </x:c>
      <x:c r="K934" s="9" t="n">
        <x:v>0</x:v>
      </x:c>
      <x:c r="L934" s="13" t="n">
        <x:f>SUMIFS('Payments'!$D$5:$D$3014,'Payments'!$B$5:$B$3014,A934)</x:f>
        <x:v>1145.34</x:v>
      </x:c>
      <x:c r="M934" s="13" t="n">
        <x:f>G934-L934</x:f>
        <x:v>8878.63</x:v>
      </x:c>
      <x:c r="N934" s="9" t="str">
        <x:f>IF(H934=0,"0 Current",IF(H934&lt;=30,"1 1-30",IF(H934&lt;=60,"2 31-60",IF(H934&lt;=90,"3 61-90",IF(H934&lt;=120,"4 91-120","5 121+")))))</x:f>
        <x:v>2 31-60</x:v>
      </x:c>
      <x:c r="O934" s="9" t="n">
        <x:f>IF(J934&gt;0,1,0)</x:f>
        <x:v>0</x:v>
      </x:c>
    </x:row>
    <x:row r="935">
      <x:c r="A935" s="15" t="str">
        <x:v>931</x:v>
      </x:c>
      <x:c r="B935" s="9" t="str">
        <x:v>Taylor</x:v>
      </x:c>
      <x:c r="C935" s="9" t="str">
        <x:v>Personal Loan</x:v>
      </x:c>
      <x:c r="D935" s="9" t="str">
        <x:v>Northeast</x:v>
      </x:c>
      <x:c r="E935" s="9" t="n">
        <x:v>729</x:v>
      </x:c>
      <x:c r="F935" s="11" t="n">
        <x:v>46119</x:v>
      </x:c>
      <x:c r="G935" s="13" t="n">
        <x:v>16230.51</x:v>
      </x:c>
      <x:c r="H935" s="9" t="n">
        <x:v>201</x:v>
      </x:c>
      <x:c r="I935" s="9" t="n">
        <x:v>4</x:v>
      </x:c>
      <x:c r="J935" s="9" t="n">
        <x:v>0</x:v>
      </x:c>
      <x:c r="K935" s="9" t="n">
        <x:v>0</x:v>
      </x:c>
      <x:c r="L935" s="13" t="n">
        <x:f>SUMIFS('Payments'!$D$5:$D$3014,'Payments'!$B$5:$B$3014,A935)</x:f>
        <x:v>4711.56</x:v>
      </x:c>
      <x:c r="M935" s="13" t="n">
        <x:f>G935-L935</x:f>
        <x:v>11518.95</x:v>
      </x:c>
      <x:c r="N935" s="9" t="str">
        <x:f>IF(H935=0,"0 Current",IF(H935&lt;=30,"1 1-30",IF(H935&lt;=60,"2 31-60",IF(H935&lt;=90,"3 61-90",IF(H935&lt;=120,"4 91-120","5 121+")))))</x:f>
        <x:v>5 121+</x:v>
      </x:c>
      <x:c r="O935" s="9" t="n">
        <x:f>IF(J935&gt;0,1,0)</x:f>
        <x:v>0</x:v>
      </x:c>
    </x:row>
    <x:row r="936">
      <x:c r="A936" s="15" t="str">
        <x:v>932</x:v>
      </x:c>
      <x:c r="B936" s="9" t="str">
        <x:v>Morgan</x:v>
      </x:c>
      <x:c r="C936" s="9" t="str">
        <x:v>Personal Loan</x:v>
      </x:c>
      <x:c r="D936" s="9" t="str">
        <x:v>South</x:v>
      </x:c>
      <x:c r="E936" s="9" t="n">
        <x:v>767</x:v>
      </x:c>
      <x:c r="F936" s="11" t="n">
        <x:v>46030</x:v>
      </x:c>
      <x:c r="G936" s="13" t="n">
        <x:v>24458.29</x:v>
      </x:c>
      <x:c r="H936" s="9" t="n">
        <x:v>196</x:v>
      </x:c>
      <x:c r="I936" s="9" t="n">
        <x:v>0</x:v>
      </x:c>
      <x:c r="J936" s="9" t="n">
        <x:v>0</x:v>
      </x:c>
      <x:c r="K936" s="9" t="n">
        <x:v>0</x:v>
      </x:c>
      <x:c r="L936" s="13" t="n">
        <x:f>SUMIFS('Payments'!$D$5:$D$3014,'Payments'!$B$5:$B$3014,A936)</x:f>
        <x:v>3832.37</x:v>
      </x:c>
      <x:c r="M936" s="13" t="n">
        <x:f>G936-L936</x:f>
        <x:v>20625.920000000002</x:v>
      </x:c>
      <x:c r="N936" s="9" t="str">
        <x:f>IF(H936=0,"0 Current",IF(H936&lt;=30,"1 1-30",IF(H936&lt;=60,"2 31-60",IF(H936&lt;=90,"3 61-90",IF(H936&lt;=120,"4 91-120","5 121+")))))</x:f>
        <x:v>5 121+</x:v>
      </x:c>
      <x:c r="O936" s="9" t="n">
        <x:f>IF(J936&gt;0,1,0)</x:f>
        <x:v>0</x:v>
      </x:c>
    </x:row>
    <x:row r="937">
      <x:c r="A937" s="15" t="str">
        <x:v>933</x:v>
      </x:c>
      <x:c r="B937" s="9" t="str">
        <x:v>Casey</x:v>
      </x:c>
      <x:c r="C937" s="9" t="str">
        <x:v>Personal Loan</x:v>
      </x:c>
      <x:c r="D937" s="9" t="str">
        <x:v>West</x:v>
      </x:c>
      <x:c r="E937" s="9" t="n">
        <x:v>609</x:v>
      </x:c>
      <x:c r="F937" s="11" t="n">
        <x:v>46131</x:v>
      </x:c>
      <x:c r="G937" s="13" t="n">
        <x:v>5988.49</x:v>
      </x:c>
      <x:c r="H937" s="9" t="n">
        <x:v>66</x:v>
      </x:c>
      <x:c r="I937" s="9" t="n">
        <x:v>0</x:v>
      </x:c>
      <x:c r="J937" s="9" t="n">
        <x:v>0</x:v>
      </x:c>
      <x:c r="K937" s="9" t="n">
        <x:v>0</x:v>
      </x:c>
      <x:c r="L937" s="13" t="n">
        <x:f>SUMIFS('Payments'!$D$5:$D$3014,'Payments'!$B$5:$B$3014,A937)</x:f>
        <x:v>1212.3700000000001</x:v>
      </x:c>
      <x:c r="M937" s="13" t="n">
        <x:f>G937-L937</x:f>
        <x:v>4776.12</x:v>
      </x:c>
      <x:c r="N937" s="9" t="str">
        <x:f>IF(H937=0,"0 Current",IF(H937&lt;=30,"1 1-30",IF(H937&lt;=60,"2 31-60",IF(H937&lt;=90,"3 61-90",IF(H937&lt;=120,"4 91-120","5 121+")))))</x:f>
        <x:v>3 61-90</x:v>
      </x:c>
      <x:c r="O937" s="9" t="n">
        <x:f>IF(J937&gt;0,1,0)</x:f>
        <x:v>0</x:v>
      </x:c>
    </x:row>
    <x:row r="938">
      <x:c r="A938" s="15" t="str">
        <x:v>934</x:v>
      </x:c>
      <x:c r="B938" s="9" t="str">
        <x:v>Taylor</x:v>
      </x:c>
      <x:c r="C938" s="9" t="str">
        <x:v>Personal Loan</x:v>
      </x:c>
      <x:c r="D938" s="9" t="str">
        <x:v>Midwest</x:v>
      </x:c>
      <x:c r="E938" s="9" t="n">
        <x:v>647</x:v>
      </x:c>
      <x:c r="F938" s="11" t="n">
        <x:v>46050</x:v>
      </x:c>
      <x:c r="G938" s="13" t="n">
        <x:v>17130.01</x:v>
      </x:c>
      <x:c r="H938" s="9" t="n">
        <x:v>154</x:v>
      </x:c>
      <x:c r="I938" s="9" t="n">
        <x:v>1</x:v>
      </x:c>
      <x:c r="J938" s="9" t="n">
        <x:v>0</x:v>
      </x:c>
      <x:c r="K938" s="9" t="n">
        <x:v>0</x:v>
      </x:c>
      <x:c r="L938" s="13" t="n">
        <x:f>SUMIFS('Payments'!$D$5:$D$3014,'Payments'!$B$5:$B$3014,A938)</x:f>
        <x:v>3331.93</x:v>
      </x:c>
      <x:c r="M938" s="13" t="n">
        <x:f>G938-L938</x:f>
        <x:v>13798.079999999998</x:v>
      </x:c>
      <x:c r="N938" s="9" t="str">
        <x:f>IF(H938=0,"0 Current",IF(H938&lt;=30,"1 1-30",IF(H938&lt;=60,"2 31-60",IF(H938&lt;=90,"3 61-90",IF(H938&lt;=120,"4 91-120","5 121+")))))</x:f>
        <x:v>5 121+</x:v>
      </x:c>
      <x:c r="O938" s="9" t="n">
        <x:f>IF(J938&gt;0,1,0)</x:f>
        <x:v>0</x:v>
      </x:c>
    </x:row>
    <x:row r="939">
      <x:c r="A939" s="15" t="str">
        <x:v>935</x:v>
      </x:c>
      <x:c r="B939" s="9" t="str">
        <x:v>Morgan</x:v>
      </x:c>
      <x:c r="C939" s="9" t="str">
        <x:v>Auto</x:v>
      </x:c>
      <x:c r="D939" s="9" t="str">
        <x:v>Northeast</x:v>
      </x:c>
      <x:c r="E939" s="9" t="n">
        <x:v>713</x:v>
      </x:c>
      <x:c r="F939" s="11" t="n">
        <x:v>46069</x:v>
      </x:c>
      <x:c r="G939" s="13" t="n">
        <x:v>19455.16</x:v>
      </x:c>
      <x:c r="H939" s="9" t="n">
        <x:v>177</x:v>
      </x:c>
      <x:c r="I939" s="9" t="n">
        <x:v>6</x:v>
      </x:c>
      <x:c r="J939" s="9" t="n">
        <x:v>2</x:v>
      </x:c>
      <x:c r="K939" s="9" t="n">
        <x:v>0</x:v>
      </x:c>
      <x:c r="L939" s="13" t="n">
        <x:f>SUMIFS('Payments'!$D$5:$D$3014,'Payments'!$B$5:$B$3014,A939)</x:f>
        <x:v>2804.06</x:v>
      </x:c>
      <x:c r="M939" s="13" t="n">
        <x:f>G939-L939</x:f>
        <x:v>16651.1</x:v>
      </x:c>
      <x:c r="N939" s="9" t="str">
        <x:f>IF(H939=0,"0 Current",IF(H939&lt;=30,"1 1-30",IF(H939&lt;=60,"2 31-60",IF(H939&lt;=90,"3 61-90",IF(H939&lt;=120,"4 91-120","5 121+")))))</x:f>
        <x:v>5 121+</x:v>
      </x:c>
      <x:c r="O939" s="9" t="n">
        <x:f>IF(J939&gt;0,1,0)</x:f>
        <x:v>1</x:v>
      </x:c>
    </x:row>
    <x:row r="940">
      <x:c r="A940" s="15" t="str">
        <x:v>936</x:v>
      </x:c>
      <x:c r="B940" s="9" t="str">
        <x:v>Riley</x:v>
      </x:c>
      <x:c r="C940" s="9" t="str">
        <x:v>Credit Card</x:v>
      </x:c>
      <x:c r="D940" s="9" t="str">
        <x:v>South</x:v>
      </x:c>
      <x:c r="E940" s="9" t="n">
        <x:v>691</x:v>
      </x:c>
      <x:c r="F940" s="11" t="n">
        <x:v>46038</x:v>
      </x:c>
      <x:c r="G940" s="13" t="n">
        <x:v>756.66</x:v>
      </x:c>
      <x:c r="H940" s="9" t="n">
        <x:v>27</x:v>
      </x:c>
      <x:c r="I940" s="9" t="n">
        <x:v>1</x:v>
      </x:c>
      <x:c r="J940" s="9" t="n">
        <x:v>0</x:v>
      </x:c>
      <x:c r="K940" s="9" t="n">
        <x:v>0</x:v>
      </x:c>
      <x:c r="L940" s="13" t="n">
        <x:f>SUMIFS('Payments'!$D$5:$D$3014,'Payments'!$B$5:$B$3014,A940)</x:f>
        <x:v>196.85</x:v>
      </x:c>
      <x:c r="M940" s="13" t="n">
        <x:f>G940-L940</x:f>
        <x:v>559.81</x:v>
      </x:c>
      <x:c r="N940" s="9" t="str">
        <x:f>IF(H940=0,"0 Current",IF(H940&lt;=30,"1 1-30",IF(H940&lt;=60,"2 31-60",IF(H940&lt;=90,"3 61-90",IF(H940&lt;=120,"4 91-120","5 121+")))))</x:f>
        <x:v>1 1-30</x:v>
      </x:c>
      <x:c r="O940" s="9" t="n">
        <x:f>IF(J940&gt;0,1,0)</x:f>
        <x:v>0</x:v>
      </x:c>
    </x:row>
    <x:row r="941">
      <x:c r="A941" s="15" t="str">
        <x:v>937</x:v>
      </x:c>
      <x:c r="B941" s="9" t="str">
        <x:v>Alex</x:v>
      </x:c>
      <x:c r="C941" s="9" t="str">
        <x:v>Personal Loan</x:v>
      </x:c>
      <x:c r="D941" s="9" t="str">
        <x:v>Midwest</x:v>
      </x:c>
      <x:c r="E941" s="9" t="n">
        <x:v>623</x:v>
      </x:c>
      <x:c r="F941" s="11" t="n">
        <x:v>46114</x:v>
      </x:c>
      <x:c r="G941" s="13" t="n">
        <x:v>19126.41</x:v>
      </x:c>
      <x:c r="H941" s="9" t="n">
        <x:v>114</x:v>
      </x:c>
      <x:c r="I941" s="9" t="n">
        <x:v>4</x:v>
      </x:c>
      <x:c r="J941" s="9" t="n">
        <x:v>2</x:v>
      </x:c>
      <x:c r="K941" s="9" t="n">
        <x:v>1</x:v>
      </x:c>
      <x:c r="L941" s="13" t="n">
        <x:f>SUMIFS('Payments'!$D$5:$D$3014,'Payments'!$B$5:$B$3014,A941)</x:f>
        <x:v>1892.92</x:v>
      </x:c>
      <x:c r="M941" s="13" t="n">
        <x:f>G941-L941</x:f>
        <x:v>17233.489999999998</x:v>
      </x:c>
      <x:c r="N941" s="9" t="str">
        <x:f>IF(H941=0,"0 Current",IF(H941&lt;=30,"1 1-30",IF(H941&lt;=60,"2 31-60",IF(H941&lt;=90,"3 61-90",IF(H941&lt;=120,"4 91-120","5 121+")))))</x:f>
        <x:v>4 91-120</x:v>
      </x:c>
      <x:c r="O941" s="9" t="n">
        <x:f>IF(J941&gt;0,1,0)</x:f>
        <x:v>1</x:v>
      </x:c>
    </x:row>
    <x:row r="942">
      <x:c r="A942" s="15" t="str">
        <x:v>938</x:v>
      </x:c>
      <x:c r="B942" s="9" t="str">
        <x:v>Taylor</x:v>
      </x:c>
      <x:c r="C942" s="9" t="str">
        <x:v>Auto</x:v>
      </x:c>
      <x:c r="D942" s="9" t="str">
        <x:v>Midwest</x:v>
      </x:c>
      <x:c r="E942" s="9" t="n">
        <x:v>752</x:v>
      </x:c>
      <x:c r="F942" s="11" t="n">
        <x:v>46087</x:v>
      </x:c>
      <x:c r="G942" s="13" t="n">
        <x:v>10096.88</x:v>
      </x:c>
      <x:c r="H942" s="9" t="n">
        <x:v>87</x:v>
      </x:c>
      <x:c r="I942" s="9" t="n">
        <x:v>6</x:v>
      </x:c>
      <x:c r="J942" s="9" t="n">
        <x:v>3</x:v>
      </x:c>
      <x:c r="K942" s="9" t="n">
        <x:v>1</x:v>
      </x:c>
      <x:c r="L942" s="13" t="n">
        <x:f>SUMIFS('Payments'!$D$5:$D$3014,'Payments'!$B$5:$B$3014,A942)</x:f>
        <x:v>573.71</x:v>
      </x:c>
      <x:c r="M942" s="13" t="n">
        <x:f>G942-L942</x:f>
        <x:v>9523.169999999998</x:v>
      </x:c>
      <x:c r="N942" s="9" t="str">
        <x:f>IF(H942=0,"0 Current",IF(H942&lt;=30,"1 1-30",IF(H942&lt;=60,"2 31-60",IF(H942&lt;=90,"3 61-90",IF(H942&lt;=120,"4 91-120","5 121+")))))</x:f>
        <x:v>3 61-90</x:v>
      </x:c>
      <x:c r="O942" s="9" t="n">
        <x:f>IF(J942&gt;0,1,0)</x:f>
        <x:v>1</x:v>
      </x:c>
    </x:row>
    <x:row r="943">
      <x:c r="A943" s="15" t="str">
        <x:v>939</x:v>
      </x:c>
      <x:c r="B943" s="9" t="str">
        <x:v>Taylor</x:v>
      </x:c>
      <x:c r="C943" s="9" t="str">
        <x:v>Medical</x:v>
      </x:c>
      <x:c r="D943" s="9" t="str">
        <x:v>Midwest</x:v>
      </x:c>
      <x:c r="E943" s="9" t="n">
        <x:v>547</x:v>
      </x:c>
      <x:c r="F943" s="11" t="n">
        <x:v>46054</x:v>
      </x:c>
      <x:c r="G943" s="13" t="n">
        <x:v>23882.91</x:v>
      </x:c>
      <x:c r="H943" s="9" t="n">
        <x:v>128</x:v>
      </x:c>
      <x:c r="I943" s="9" t="n">
        <x:v>0</x:v>
      </x:c>
      <x:c r="J943" s="9" t="n">
        <x:v>0</x:v>
      </x:c>
      <x:c r="K943" s="9" t="n">
        <x:v>0</x:v>
      </x:c>
      <x:c r="L943" s="13" t="n">
        <x:f>SUMIFS('Payments'!$D$5:$D$3014,'Payments'!$B$5:$B$3014,A943)</x:f>
        <x:v>2754.54</x:v>
      </x:c>
      <x:c r="M943" s="13" t="n">
        <x:f>G943-L943</x:f>
        <x:v>21128.37</x:v>
      </x:c>
      <x:c r="N943" s="9" t="str">
        <x:f>IF(H943=0,"0 Current",IF(H943&lt;=30,"1 1-30",IF(H943&lt;=60,"2 31-60",IF(H943&lt;=90,"3 61-90",IF(H943&lt;=120,"4 91-120","5 121+")))))</x:f>
        <x:v>5 121+</x:v>
      </x:c>
      <x:c r="O943" s="9" t="n">
        <x:f>IF(J943&gt;0,1,0)</x:f>
        <x:v>0</x:v>
      </x:c>
    </x:row>
    <x:row r="944">
      <x:c r="A944" s="15" t="str">
        <x:v>940</x:v>
      </x:c>
      <x:c r="B944" s="9" t="str">
        <x:v>Jordan</x:v>
      </x:c>
      <x:c r="C944" s="9" t="str">
        <x:v>Personal Loan</x:v>
      </x:c>
      <x:c r="D944" s="9" t="str">
        <x:v>Northeast</x:v>
      </x:c>
      <x:c r="E944" s="9" t="n">
        <x:v>433</x:v>
      </x:c>
      <x:c r="F944" s="11" t="n">
        <x:v>46132</x:v>
      </x:c>
      <x:c r="G944" s="13" t="n">
        <x:v>11173.02</x:v>
      </x:c>
      <x:c r="H944" s="9" t="n">
        <x:v>73</x:v>
      </x:c>
      <x:c r="I944" s="9" t="n">
        <x:v>3</x:v>
      </x:c>
      <x:c r="J944" s="9" t="n">
        <x:v>2</x:v>
      </x:c>
      <x:c r="K944" s="9" t="n">
        <x:v>1</x:v>
      </x:c>
      <x:c r="L944" s="13" t="n">
        <x:f>SUMIFS('Payments'!$D$5:$D$3014,'Payments'!$B$5:$B$3014,A944)</x:f>
        <x:v>1725.41</x:v>
      </x:c>
      <x:c r="M944" s="13" t="n">
        <x:f>G944-L944</x:f>
        <x:v>9447.61</x:v>
      </x:c>
      <x:c r="N944" s="9" t="str">
        <x:f>IF(H944=0,"0 Current",IF(H944&lt;=30,"1 1-30",IF(H944&lt;=60,"2 31-60",IF(H944&lt;=90,"3 61-90",IF(H944&lt;=120,"4 91-120","5 121+")))))</x:f>
        <x:v>3 61-90</x:v>
      </x:c>
      <x:c r="O944" s="9" t="n">
        <x:f>IF(J944&gt;0,1,0)</x:f>
        <x:v>1</x:v>
      </x:c>
    </x:row>
    <x:row r="945">
      <x:c r="A945" s="15" t="str">
        <x:v>941</x:v>
      </x:c>
      <x:c r="B945" s="9" t="str">
        <x:v>Morgan</x:v>
      </x:c>
      <x:c r="C945" s="9" t="str">
        <x:v>Auto</x:v>
      </x:c>
      <x:c r="D945" s="9" t="str">
        <x:v>South</x:v>
      </x:c>
      <x:c r="E945" s="9" t="n">
        <x:v>675</x:v>
      </x:c>
      <x:c r="F945" s="11" t="n">
        <x:v>46148</x:v>
      </x:c>
      <x:c r="G945" s="13" t="n">
        <x:v>4059.57</x:v>
      </x:c>
      <x:c r="H945" s="9" t="n">
        <x:v>230</x:v>
      </x:c>
      <x:c r="I945" s="9" t="n">
        <x:v>2</x:v>
      </x:c>
      <x:c r="J945" s="9" t="n">
        <x:v>1</x:v>
      </x:c>
      <x:c r="K945" s="9" t="n">
        <x:v>0</x:v>
      </x:c>
      <x:c r="L945" s="13" t="n">
        <x:f>SUMIFS('Payments'!$D$5:$D$3014,'Payments'!$B$5:$B$3014,A945)</x:f>
        <x:v>1023.4000000000001</x:v>
      </x:c>
      <x:c r="M945" s="13" t="n">
        <x:f>G945-L945</x:f>
        <x:v>3036.17</x:v>
      </x:c>
      <x:c r="N945" s="9" t="str">
        <x:f>IF(H945=0,"0 Current",IF(H945&lt;=30,"1 1-30",IF(H945&lt;=60,"2 31-60",IF(H945&lt;=90,"3 61-90",IF(H945&lt;=120,"4 91-120","5 121+")))))</x:f>
        <x:v>5 121+</x:v>
      </x:c>
      <x:c r="O945" s="9" t="n">
        <x:f>IF(J945&gt;0,1,0)</x:f>
        <x:v>1</x:v>
      </x:c>
    </x:row>
    <x:row r="946">
      <x:c r="A946" s="15" t="str">
        <x:v>942</x:v>
      </x:c>
      <x:c r="B946" s="9" t="str">
        <x:v>Morgan</x:v>
      </x:c>
      <x:c r="C946" s="9" t="str">
        <x:v>Medical</x:v>
      </x:c>
      <x:c r="D946" s="9" t="str">
        <x:v>West</x:v>
      </x:c>
      <x:c r="E946" s="9" t="n">
        <x:v>707</x:v>
      </x:c>
      <x:c r="F946" s="11" t="n">
        <x:v>46165</x:v>
      </x:c>
      <x:c r="G946" s="13" t="n">
        <x:v>23102.93</x:v>
      </x:c>
      <x:c r="H946" s="9" t="n">
        <x:v>209</x:v>
      </x:c>
      <x:c r="I946" s="9" t="n">
        <x:v>7</x:v>
      </x:c>
      <x:c r="J946" s="9" t="n">
        <x:v>4</x:v>
      </x:c>
      <x:c r="K946" s="9" t="n">
        <x:v>1</x:v>
      </x:c>
      <x:c r="L946" s="13" t="n">
        <x:f>SUMIFS('Payments'!$D$5:$D$3014,'Payments'!$B$5:$B$3014,A946)</x:f>
        <x:v>0</x:v>
      </x:c>
      <x:c r="M946" s="13" t="n">
        <x:f>G946-L946</x:f>
        <x:v>23102.93</x:v>
      </x:c>
      <x:c r="N946" s="9" t="str">
        <x:f>IF(H946=0,"0 Current",IF(H946&lt;=30,"1 1-30",IF(H946&lt;=60,"2 31-60",IF(H946&lt;=90,"3 61-90",IF(H946&lt;=120,"4 91-120","5 121+")))))</x:f>
        <x:v>5 121+</x:v>
      </x:c>
      <x:c r="O946" s="9" t="n">
        <x:f>IF(J946&gt;0,1,0)</x:f>
        <x:v>1</x:v>
      </x:c>
    </x:row>
    <x:row r="947">
      <x:c r="A947" s="15" t="str">
        <x:v>943</x:v>
      </x:c>
      <x:c r="B947" s="9" t="str">
        <x:v>Taylor</x:v>
      </x:c>
      <x:c r="C947" s="9" t="str">
        <x:v>Medical</x:v>
      </x:c>
      <x:c r="D947" s="9" t="str">
        <x:v>Northeast</x:v>
      </x:c>
      <x:c r="E947" s="9" t="n">
        <x:v>554</x:v>
      </x:c>
      <x:c r="F947" s="11" t="n">
        <x:v>46081</x:v>
      </x:c>
      <x:c r="G947" s="13" t="n">
        <x:v>14131.47</x:v>
      </x:c>
      <x:c r="H947" s="9" t="n">
        <x:v>68</x:v>
      </x:c>
      <x:c r="I947" s="9" t="n">
        <x:v>1</x:v>
      </x:c>
      <x:c r="J947" s="9" t="n">
        <x:v>0</x:v>
      </x:c>
      <x:c r="K947" s="9" t="n">
        <x:v>0</x:v>
      </x:c>
      <x:c r="L947" s="13" t="n">
        <x:f>SUMIFS('Payments'!$D$5:$D$3014,'Payments'!$B$5:$B$3014,A947)</x:f>
        <x:v>2137.92</x:v>
      </x:c>
      <x:c r="M947" s="13" t="n">
        <x:f>G947-L947</x:f>
        <x:v>11993.55</x:v>
      </x:c>
      <x:c r="N947" s="9" t="str">
        <x:f>IF(H947=0,"0 Current",IF(H947&lt;=30,"1 1-30",IF(H947&lt;=60,"2 31-60",IF(H947&lt;=90,"3 61-90",IF(H947&lt;=120,"4 91-120","5 121+")))))</x:f>
        <x:v>3 61-90</x:v>
      </x:c>
      <x:c r="O947" s="9" t="n">
        <x:f>IF(J947&gt;0,1,0)</x:f>
        <x:v>0</x:v>
      </x:c>
    </x:row>
    <x:row r="948">
      <x:c r="A948" s="15" t="str">
        <x:v>944</x:v>
      </x:c>
      <x:c r="B948" s="9" t="str">
        <x:v>Morgan</x:v>
      </x:c>
      <x:c r="C948" s="9" t="str">
        <x:v>Personal Loan</x:v>
      </x:c>
      <x:c r="D948" s="9" t="str">
        <x:v>Midwest</x:v>
      </x:c>
      <x:c r="E948" s="9" t="n">
        <x:v>780</x:v>
      </x:c>
      <x:c r="F948" s="11" t="n">
        <x:v>46124</x:v>
      </x:c>
      <x:c r="G948" s="13" t="n">
        <x:v>18977.65</x:v>
      </x:c>
      <x:c r="H948" s="9" t="n">
        <x:v>131</x:v>
      </x:c>
      <x:c r="I948" s="9" t="n">
        <x:v>6</x:v>
      </x:c>
      <x:c r="J948" s="9" t="n">
        <x:v>2</x:v>
      </x:c>
      <x:c r="K948" s="9" t="n">
        <x:v>1</x:v>
      </x:c>
      <x:c r="L948" s="13" t="n">
        <x:f>SUMIFS('Payments'!$D$5:$D$3014,'Payments'!$B$5:$B$3014,A948)</x:f>
        <x:v>0</x:v>
      </x:c>
      <x:c r="M948" s="13" t="n">
        <x:f>G948-L948</x:f>
        <x:v>18977.65</x:v>
      </x:c>
      <x:c r="N948" s="9" t="str">
        <x:f>IF(H948=0,"0 Current",IF(H948&lt;=30,"1 1-30",IF(H948&lt;=60,"2 31-60",IF(H948&lt;=90,"3 61-90",IF(H948&lt;=120,"4 91-120","5 121+")))))</x:f>
        <x:v>5 121+</x:v>
      </x:c>
      <x:c r="O948" s="9" t="n">
        <x:f>IF(J948&gt;0,1,0)</x:f>
        <x:v>1</x:v>
      </x:c>
    </x:row>
    <x:row r="949">
      <x:c r="A949" s="15" t="str">
        <x:v>945</x:v>
      </x:c>
      <x:c r="B949" s="9" t="str">
        <x:v>Riley</x:v>
      </x:c>
      <x:c r="C949" s="9" t="str">
        <x:v>Medical</x:v>
      </x:c>
      <x:c r="D949" s="9" t="str">
        <x:v>West</x:v>
      </x:c>
      <x:c r="E949" s="9" t="n">
        <x:v>529</x:v>
      </x:c>
      <x:c r="F949" s="11" t="n">
        <x:v>46039</x:v>
      </x:c>
      <x:c r="G949" s="13" t="n">
        <x:v>20427.61</x:v>
      </x:c>
      <x:c r="H949" s="9" t="n">
        <x:v>115</x:v>
      </x:c>
      <x:c r="I949" s="9" t="n">
        <x:v>2</x:v>
      </x:c>
      <x:c r="J949" s="9" t="n">
        <x:v>0</x:v>
      </x:c>
      <x:c r="K949" s="9" t="n">
        <x:v>0</x:v>
      </x:c>
      <x:c r="L949" s="13" t="n">
        <x:f>SUMIFS('Payments'!$D$5:$D$3014,'Payments'!$B$5:$B$3014,A949)</x:f>
        <x:v>4196.58</x:v>
      </x:c>
      <x:c r="M949" s="13" t="n">
        <x:f>G949-L949</x:f>
        <x:v>16231.03</x:v>
      </x:c>
      <x:c r="N949" s="9" t="str">
        <x:f>IF(H949=0,"0 Current",IF(H949&lt;=30,"1 1-30",IF(H949&lt;=60,"2 31-60",IF(H949&lt;=90,"3 61-90",IF(H949&lt;=120,"4 91-120","5 121+")))))</x:f>
        <x:v>4 91-120</x:v>
      </x:c>
      <x:c r="O949" s="9" t="n">
        <x:f>IF(J949&gt;0,1,0)</x:f>
        <x:v>0</x:v>
      </x:c>
    </x:row>
    <x:row r="950">
      <x:c r="A950" s="15" t="str">
        <x:v>946</x:v>
      </x:c>
      <x:c r="B950" s="9" t="str">
        <x:v>Taylor</x:v>
      </x:c>
      <x:c r="C950" s="9" t="str">
        <x:v>Auto</x:v>
      </x:c>
      <x:c r="D950" s="9" t="str">
        <x:v>Midwest</x:v>
      </x:c>
      <x:c r="E950" s="9" t="n">
        <x:v>775</x:v>
      </x:c>
      <x:c r="F950" s="11" t="n">
        <x:v>46088</x:v>
      </x:c>
      <x:c r="G950" s="13" t="n">
        <x:v>23101.7</x:v>
      </x:c>
      <x:c r="H950" s="9" t="n">
        <x:v>205</x:v>
      </x:c>
      <x:c r="I950" s="9" t="n">
        <x:v>5</x:v>
      </x:c>
      <x:c r="J950" s="9" t="n">
        <x:v>2</x:v>
      </x:c>
      <x:c r="K950" s="9" t="n">
        <x:v>0</x:v>
      </x:c>
      <x:c r="L950" s="13" t="n">
        <x:f>SUMIFS('Payments'!$D$5:$D$3014,'Payments'!$B$5:$B$3014,A950)</x:f>
        <x:v>6169.98</x:v>
      </x:c>
      <x:c r="M950" s="13" t="n">
        <x:f>G950-L950</x:f>
        <x:v>16931.72</x:v>
      </x:c>
      <x:c r="N950" s="9" t="str">
        <x:f>IF(H950=0,"0 Current",IF(H950&lt;=30,"1 1-30",IF(H950&lt;=60,"2 31-60",IF(H950&lt;=90,"3 61-90",IF(H950&lt;=120,"4 91-120","5 121+")))))</x:f>
        <x:v>5 121+</x:v>
      </x:c>
      <x:c r="O950" s="9" t="n">
        <x:f>IF(J950&gt;0,1,0)</x:f>
        <x:v>1</x:v>
      </x:c>
    </x:row>
    <x:row r="951">
      <x:c r="A951" s="15" t="str">
        <x:v>947</x:v>
      </x:c>
      <x:c r="B951" s="9" t="str">
        <x:v>Taylor</x:v>
      </x:c>
      <x:c r="C951" s="9" t="str">
        <x:v>Auto</x:v>
      </x:c>
      <x:c r="D951" s="9" t="str">
        <x:v>West</x:v>
      </x:c>
      <x:c r="E951" s="9" t="n">
        <x:v>522</x:v>
      </x:c>
      <x:c r="F951" s="11" t="n">
        <x:v>46032</x:v>
      </x:c>
      <x:c r="G951" s="13" t="n">
        <x:v>4255.65</x:v>
      </x:c>
      <x:c r="H951" s="9" t="n">
        <x:v>181</x:v>
      </x:c>
      <x:c r="I951" s="9" t="n">
        <x:v>8</x:v>
      </x:c>
      <x:c r="J951" s="9" t="n">
        <x:v>2</x:v>
      </x:c>
      <x:c r="K951" s="9" t="n">
        <x:v>1</x:v>
      </x:c>
      <x:c r="L951" s="13" t="n">
        <x:f>SUMIFS('Payments'!$D$5:$D$3014,'Payments'!$B$5:$B$3014,A951)</x:f>
        <x:v>221.32999999999998</x:v>
      </x:c>
      <x:c r="M951" s="13" t="n">
        <x:f>G951-L951</x:f>
        <x:v>4034.3199999999997</x:v>
      </x:c>
      <x:c r="N951" s="9" t="str">
        <x:f>IF(H951=0,"0 Current",IF(H951&lt;=30,"1 1-30",IF(H951&lt;=60,"2 31-60",IF(H951&lt;=90,"3 61-90",IF(H951&lt;=120,"4 91-120","5 121+")))))</x:f>
        <x:v>5 121+</x:v>
      </x:c>
      <x:c r="O951" s="9" t="n">
        <x:f>IF(J951&gt;0,1,0)</x:f>
        <x:v>1</x:v>
      </x:c>
    </x:row>
    <x:row r="952">
      <x:c r="A952" s="15" t="str">
        <x:v>948</x:v>
      </x:c>
      <x:c r="B952" s="9" t="str">
        <x:v>Casey</x:v>
      </x:c>
      <x:c r="C952" s="9" t="str">
        <x:v>Credit Card</x:v>
      </x:c>
      <x:c r="D952" s="9" t="str">
        <x:v>Northeast</x:v>
      </x:c>
      <x:c r="E952" s="9" t="n">
        <x:v>489</x:v>
      </x:c>
      <x:c r="F952" s="11" t="n">
        <x:v>46168</x:v>
      </x:c>
      <x:c r="G952" s="13" t="n">
        <x:v>9311.82</x:v>
      </x:c>
      <x:c r="H952" s="9" t="n">
        <x:v>182</x:v>
      </x:c>
      <x:c r="I952" s="9" t="n">
        <x:v>0</x:v>
      </x:c>
      <x:c r="J952" s="9" t="n">
        <x:v>0</x:v>
      </x:c>
      <x:c r="K952" s="9" t="n">
        <x:v>0</x:v>
      </x:c>
      <x:c r="L952" s="13" t="n">
        <x:f>SUMIFS('Payments'!$D$5:$D$3014,'Payments'!$B$5:$B$3014,A952)</x:f>
        <x:v>2218.62</x:v>
      </x:c>
      <x:c r="M952" s="13" t="n">
        <x:f>G952-L952</x:f>
        <x:v>7093.2</x:v>
      </x:c>
      <x:c r="N952" s="9" t="str">
        <x:f>IF(H952=0,"0 Current",IF(H952&lt;=30,"1 1-30",IF(H952&lt;=60,"2 31-60",IF(H952&lt;=90,"3 61-90",IF(H952&lt;=120,"4 91-120","5 121+")))))</x:f>
        <x:v>5 121+</x:v>
      </x:c>
      <x:c r="O952" s="9" t="n">
        <x:f>IF(J952&gt;0,1,0)</x:f>
        <x:v>0</x:v>
      </x:c>
    </x:row>
    <x:row r="953">
      <x:c r="A953" s="15" t="str">
        <x:v>949</x:v>
      </x:c>
      <x:c r="B953" s="9" t="str">
        <x:v>Casey</x:v>
      </x:c>
      <x:c r="C953" s="9" t="str">
        <x:v>Credit Card</x:v>
      </x:c>
      <x:c r="D953" s="9" t="str">
        <x:v>Northeast</x:v>
      </x:c>
      <x:c r="E953" s="9" t="n">
        <x:v>651</x:v>
      </x:c>
      <x:c r="F953" s="11" t="n">
        <x:v>46070</x:v>
      </x:c>
      <x:c r="G953" s="13" t="n">
        <x:v>10147.71</x:v>
      </x:c>
      <x:c r="H953" s="9" t="n">
        <x:v>4</x:v>
      </x:c>
      <x:c r="I953" s="9" t="n">
        <x:v>8</x:v>
      </x:c>
      <x:c r="J953" s="9" t="n">
        <x:v>2</x:v>
      </x:c>
      <x:c r="K953" s="9" t="n">
        <x:v>0</x:v>
      </x:c>
      <x:c r="L953" s="13" t="n">
        <x:f>SUMIFS('Payments'!$D$5:$D$3014,'Payments'!$B$5:$B$3014,A953)</x:f>
        <x:v>0</x:v>
      </x:c>
      <x:c r="M953" s="13" t="n">
        <x:f>G953-L953</x:f>
        <x:v>10147.71</x:v>
      </x:c>
      <x:c r="N953" s="9" t="str">
        <x:f>IF(H953=0,"0 Current",IF(H953&lt;=30,"1 1-30",IF(H953&lt;=60,"2 31-60",IF(H953&lt;=90,"3 61-90",IF(H953&lt;=120,"4 91-120","5 121+")))))</x:f>
        <x:v>1 1-30</x:v>
      </x:c>
      <x:c r="O953" s="9" t="n">
        <x:f>IF(J953&gt;0,1,0)</x:f>
        <x:v>1</x:v>
      </x:c>
    </x:row>
    <x:row r="954">
      <x:c r="A954" s="15" t="str">
        <x:v>950</x:v>
      </x:c>
      <x:c r="B954" s="9" t="str">
        <x:v>Jordan</x:v>
      </x:c>
      <x:c r="C954" s="9" t="str">
        <x:v>Personal Loan</x:v>
      </x:c>
      <x:c r="D954" s="9" t="str">
        <x:v>South</x:v>
      </x:c>
      <x:c r="E954" s="9" t="n">
        <x:v>785</x:v>
      </x:c>
      <x:c r="F954" s="11" t="n">
        <x:v>46083</x:v>
      </x:c>
      <x:c r="G954" s="13" t="n">
        <x:v>23695.86</x:v>
      </x:c>
      <x:c r="H954" s="9" t="n">
        <x:v>166</x:v>
      </x:c>
      <x:c r="I954" s="9" t="n">
        <x:v>8</x:v>
      </x:c>
      <x:c r="J954" s="9" t="n">
        <x:v>2</x:v>
      </x:c>
      <x:c r="K954" s="9" t="n">
        <x:v>0</x:v>
      </x:c>
      <x:c r="L954" s="13" t="n">
        <x:f>SUMIFS('Payments'!$D$5:$D$3014,'Payments'!$B$5:$B$3014,A954)</x:f>
        <x:v>455.91</x:v>
      </x:c>
      <x:c r="M954" s="13" t="n">
        <x:f>G954-L954</x:f>
        <x:v>23239.95</x:v>
      </x:c>
      <x:c r="N954" s="9" t="str">
        <x:f>IF(H954=0,"0 Current",IF(H954&lt;=30,"1 1-30",IF(H954&lt;=60,"2 31-60",IF(H954&lt;=90,"3 61-90",IF(H954&lt;=120,"4 91-120","5 121+")))))</x:f>
        <x:v>5 121+</x:v>
      </x:c>
      <x:c r="O954" s="9" t="n">
        <x:f>IF(J954&gt;0,1,0)</x:f>
        <x:v>1</x:v>
      </x:c>
    </x:row>
    <x:row r="955">
      <x:c r="A955" s="15" t="str">
        <x:v>951</x:v>
      </x:c>
      <x:c r="B955" s="9" t="str">
        <x:v>Casey</x:v>
      </x:c>
      <x:c r="C955" s="9" t="str">
        <x:v>Credit Card</x:v>
      </x:c>
      <x:c r="D955" s="9" t="str">
        <x:v>West</x:v>
      </x:c>
      <x:c r="E955" s="9" t="n">
        <x:v>464</x:v>
      </x:c>
      <x:c r="F955" s="11" t="n">
        <x:v>46031</x:v>
      </x:c>
      <x:c r="G955" s="13" t="n">
        <x:v>653.08</x:v>
      </x:c>
      <x:c r="H955" s="9" t="n">
        <x:v>117</x:v>
      </x:c>
      <x:c r="I955" s="9" t="n">
        <x:v>6</x:v>
      </x:c>
      <x:c r="J955" s="9" t="n">
        <x:v>2</x:v>
      </x:c>
      <x:c r="K955" s="9" t="n">
        <x:v>1</x:v>
      </x:c>
      <x:c r="L955" s="13" t="n">
        <x:f>SUMIFS('Payments'!$D$5:$D$3014,'Payments'!$B$5:$B$3014,A955)</x:f>
        <x:v>102.22999999999999</x:v>
      </x:c>
      <x:c r="M955" s="13" t="n">
        <x:f>G955-L955</x:f>
        <x:v>550.85</x:v>
      </x:c>
      <x:c r="N955" s="9" t="str">
        <x:f>IF(H955=0,"0 Current",IF(H955&lt;=30,"1 1-30",IF(H955&lt;=60,"2 31-60",IF(H955&lt;=90,"3 61-90",IF(H955&lt;=120,"4 91-120","5 121+")))))</x:f>
        <x:v>4 91-120</x:v>
      </x:c>
      <x:c r="O955" s="9" t="n">
        <x:f>IF(J955&gt;0,1,0)</x:f>
        <x:v>1</x:v>
      </x:c>
    </x:row>
    <x:row r="956">
      <x:c r="A956" s="15" t="str">
        <x:v>952</x:v>
      </x:c>
      <x:c r="B956" s="9" t="str">
        <x:v>Jordan</x:v>
      </x:c>
      <x:c r="C956" s="9" t="str">
        <x:v>Credit Card</x:v>
      </x:c>
      <x:c r="D956" s="9" t="str">
        <x:v>Midwest</x:v>
      </x:c>
      <x:c r="E956" s="9" t="n">
        <x:v>761</x:v>
      </x:c>
      <x:c r="F956" s="11" t="n">
        <x:v>46123</x:v>
      </x:c>
      <x:c r="G956" s="13" t="n">
        <x:v>16059.54</x:v>
      </x:c>
      <x:c r="H956" s="9" t="n">
        <x:v>181</x:v>
      </x:c>
      <x:c r="I956" s="9" t="n">
        <x:v>3</x:v>
      </x:c>
      <x:c r="J956" s="9" t="n">
        <x:v>0</x:v>
      </x:c>
      <x:c r="K956" s="9" t="n">
        <x:v>0</x:v>
      </x:c>
      <x:c r="L956" s="13" t="n">
        <x:f>SUMIFS('Payments'!$D$5:$D$3014,'Payments'!$B$5:$B$3014,A956)</x:f>
        <x:v>0</x:v>
      </x:c>
      <x:c r="M956" s="13" t="n">
        <x:f>G956-L956</x:f>
        <x:v>16059.54</x:v>
      </x:c>
      <x:c r="N956" s="9" t="str">
        <x:f>IF(H956=0,"0 Current",IF(H956&lt;=30,"1 1-30",IF(H956&lt;=60,"2 31-60",IF(H956&lt;=90,"3 61-90",IF(H956&lt;=120,"4 91-120","5 121+")))))</x:f>
        <x:v>5 121+</x:v>
      </x:c>
      <x:c r="O956" s="9" t="n">
        <x:f>IF(J956&gt;0,1,0)</x:f>
        <x:v>0</x:v>
      </x:c>
    </x:row>
    <x:row r="957">
      <x:c r="A957" s="15" t="str">
        <x:v>953</x:v>
      </x:c>
      <x:c r="B957" s="9" t="str">
        <x:v>Alex</x:v>
      </x:c>
      <x:c r="C957" s="9" t="str">
        <x:v>Credit Card</x:v>
      </x:c>
      <x:c r="D957" s="9" t="str">
        <x:v>Midwest</x:v>
      </x:c>
      <x:c r="E957" s="9" t="n">
        <x:v>783</x:v>
      </x:c>
      <x:c r="F957" s="11" t="n">
        <x:v>46091</x:v>
      </x:c>
      <x:c r="G957" s="13" t="n">
        <x:v>20189.47</x:v>
      </x:c>
      <x:c r="H957" s="9" t="n">
        <x:v>94</x:v>
      </x:c>
      <x:c r="I957" s="9" t="n">
        <x:v>2</x:v>
      </x:c>
      <x:c r="J957" s="9" t="n">
        <x:v>0</x:v>
      </x:c>
      <x:c r="K957" s="9" t="n">
        <x:v>0</x:v>
      </x:c>
      <x:c r="L957" s="13" t="n">
        <x:f>SUMIFS('Payments'!$D$5:$D$3014,'Payments'!$B$5:$B$3014,A957)</x:f>
        <x:v>5368.17</x:v>
      </x:c>
      <x:c r="M957" s="13" t="n">
        <x:f>G957-L957</x:f>
        <x:v>14821.300000000001</x:v>
      </x:c>
      <x:c r="N957" s="9" t="str">
        <x:f>IF(H957=0,"0 Current",IF(H957&lt;=30,"1 1-30",IF(H957&lt;=60,"2 31-60",IF(H957&lt;=90,"3 61-90",IF(H957&lt;=120,"4 91-120","5 121+")))))</x:f>
        <x:v>4 91-120</x:v>
      </x:c>
      <x:c r="O957" s="9" t="n">
        <x:f>IF(J957&gt;0,1,0)</x:f>
        <x:v>0</x:v>
      </x:c>
    </x:row>
    <x:row r="958">
      <x:c r="A958" s="15" t="str">
        <x:v>954</x:v>
      </x:c>
      <x:c r="B958" s="9" t="str">
        <x:v>Morgan</x:v>
      </x:c>
      <x:c r="C958" s="9" t="str">
        <x:v>Auto</x:v>
      </x:c>
      <x:c r="D958" s="9" t="str">
        <x:v>Northeast</x:v>
      </x:c>
      <x:c r="E958" s="9" t="n">
        <x:v>701</x:v>
      </x:c>
      <x:c r="F958" s="11" t="n">
        <x:v>46126</x:v>
      </x:c>
      <x:c r="G958" s="13" t="n">
        <x:v>7181.76</x:v>
      </x:c>
      <x:c r="H958" s="9" t="n">
        <x:v>200</x:v>
      </x:c>
      <x:c r="I958" s="9" t="n">
        <x:v>8</x:v>
      </x:c>
      <x:c r="J958" s="9" t="n">
        <x:v>3</x:v>
      </x:c>
      <x:c r="K958" s="9" t="n">
        <x:v>1</x:v>
      </x:c>
      <x:c r="L958" s="13" t="n">
        <x:f>SUMIFS('Payments'!$D$5:$D$3014,'Payments'!$B$5:$B$3014,A958)</x:f>
        <x:v>0</x:v>
      </x:c>
      <x:c r="M958" s="13" t="n">
        <x:f>G958-L958</x:f>
        <x:v>7181.76</x:v>
      </x:c>
      <x:c r="N958" s="9" t="str">
        <x:f>IF(H958=0,"0 Current",IF(H958&lt;=30,"1 1-30",IF(H958&lt;=60,"2 31-60",IF(H958&lt;=90,"3 61-90",IF(H958&lt;=120,"4 91-120","5 121+")))))</x:f>
        <x:v>5 121+</x:v>
      </x:c>
      <x:c r="O958" s="9" t="n">
        <x:f>IF(J958&gt;0,1,0)</x:f>
        <x:v>1</x:v>
      </x:c>
    </x:row>
    <x:row r="959">
      <x:c r="A959" s="15" t="str">
        <x:v>955</x:v>
      </x:c>
      <x:c r="B959" s="9" t="str">
        <x:v>Riley</x:v>
      </x:c>
      <x:c r="C959" s="9" t="str">
        <x:v>Auto</x:v>
      </x:c>
      <x:c r="D959" s="9" t="str">
        <x:v>Midwest</x:v>
      </x:c>
      <x:c r="E959" s="9" t="n">
        <x:v>573</x:v>
      </x:c>
      <x:c r="F959" s="11" t="n">
        <x:v>46139</x:v>
      </x:c>
      <x:c r="G959" s="13" t="n">
        <x:v>3752.02</x:v>
      </x:c>
      <x:c r="H959" s="9" t="n">
        <x:v>229</x:v>
      </x:c>
      <x:c r="I959" s="9" t="n">
        <x:v>6</x:v>
      </x:c>
      <x:c r="J959" s="9" t="n">
        <x:v>4</x:v>
      </x:c>
      <x:c r="K959" s="9" t="n">
        <x:v>1</x:v>
      </x:c>
      <x:c r="L959" s="13" t="n">
        <x:f>SUMIFS('Payments'!$D$5:$D$3014,'Payments'!$B$5:$B$3014,A959)</x:f>
        <x:v>185.21</x:v>
      </x:c>
      <x:c r="M959" s="13" t="n">
        <x:f>G959-L959</x:f>
        <x:v>3566.81</x:v>
      </x:c>
      <x:c r="N959" s="9" t="str">
        <x:f>IF(H959=0,"0 Current",IF(H959&lt;=30,"1 1-30",IF(H959&lt;=60,"2 31-60",IF(H959&lt;=90,"3 61-90",IF(H959&lt;=120,"4 91-120","5 121+")))))</x:f>
        <x:v>5 121+</x:v>
      </x:c>
      <x:c r="O959" s="9" t="n">
        <x:f>IF(J959&gt;0,1,0)</x:f>
        <x:v>1</x:v>
      </x:c>
    </x:row>
    <x:row r="960">
      <x:c r="A960" s="15" t="str">
        <x:v>956</x:v>
      </x:c>
      <x:c r="B960" s="9" t="str">
        <x:v>Riley</x:v>
      </x:c>
      <x:c r="C960" s="9" t="str">
        <x:v>Personal Loan</x:v>
      </x:c>
      <x:c r="D960" s="9" t="str">
        <x:v>South</x:v>
      </x:c>
      <x:c r="E960" s="9" t="n">
        <x:v>784</x:v>
      </x:c>
      <x:c r="F960" s="11" t="n">
        <x:v>46115</x:v>
      </x:c>
      <x:c r="G960" s="13" t="n">
        <x:v>14576.68</x:v>
      </x:c>
      <x:c r="H960" s="9" t="n">
        <x:v>30</x:v>
      </x:c>
      <x:c r="I960" s="9" t="n">
        <x:v>7</x:v>
      </x:c>
      <x:c r="J960" s="9" t="n">
        <x:v>1</x:v>
      </x:c>
      <x:c r="K960" s="9" t="n">
        <x:v>0</x:v>
      </x:c>
      <x:c r="L960" s="13" t="n">
        <x:f>SUMIFS('Payments'!$D$5:$D$3014,'Payments'!$B$5:$B$3014,A960)</x:f>
        <x:v>3826.91</x:v>
      </x:c>
      <x:c r="M960" s="13" t="n">
        <x:f>G960-L960</x:f>
        <x:v>10749.77</x:v>
      </x:c>
      <x:c r="N960" s="9" t="str">
        <x:f>IF(H960=0,"0 Current",IF(H960&lt;=30,"1 1-30",IF(H960&lt;=60,"2 31-60",IF(H960&lt;=90,"3 61-90",IF(H960&lt;=120,"4 91-120","5 121+")))))</x:f>
        <x:v>1 1-30</x:v>
      </x:c>
      <x:c r="O960" s="9" t="n">
        <x:f>IF(J960&gt;0,1,0)</x:f>
        <x:v>1</x:v>
      </x:c>
    </x:row>
    <x:row r="961">
      <x:c r="A961" s="15" t="str">
        <x:v>957</x:v>
      </x:c>
      <x:c r="B961" s="9" t="str">
        <x:v>Casey</x:v>
      </x:c>
      <x:c r="C961" s="9" t="str">
        <x:v>Auto</x:v>
      </x:c>
      <x:c r="D961" s="9" t="str">
        <x:v>South</x:v>
      </x:c>
      <x:c r="E961" s="9" t="n">
        <x:v>605</x:v>
      </x:c>
      <x:c r="F961" s="11" t="n">
        <x:v>46068</x:v>
      </x:c>
      <x:c r="G961" s="13" t="n">
        <x:v>7324.92</x:v>
      </x:c>
      <x:c r="H961" s="9" t="n">
        <x:v>85</x:v>
      </x:c>
      <x:c r="I961" s="9" t="n">
        <x:v>1</x:v>
      </x:c>
      <x:c r="J961" s="9" t="n">
        <x:v>1</x:v>
      </x:c>
      <x:c r="K961" s="9" t="n">
        <x:v>0</x:v>
      </x:c>
      <x:c r="L961" s="13" t="n">
        <x:f>SUMIFS('Payments'!$D$5:$D$3014,'Payments'!$B$5:$B$3014,A961)</x:f>
        <x:v>2094.7200000000003</x:v>
      </x:c>
      <x:c r="M961" s="13" t="n">
        <x:f>G961-L961</x:f>
        <x:v>5230.2</x:v>
      </x:c>
      <x:c r="N961" s="9" t="str">
        <x:f>IF(H961=0,"0 Current",IF(H961&lt;=30,"1 1-30",IF(H961&lt;=60,"2 31-60",IF(H961&lt;=90,"3 61-90",IF(H961&lt;=120,"4 91-120","5 121+")))))</x:f>
        <x:v>3 61-90</x:v>
      </x:c>
      <x:c r="O961" s="9" t="n">
        <x:f>IF(J961&gt;0,1,0)</x:f>
        <x:v>1</x:v>
      </x:c>
    </x:row>
    <x:row r="962">
      <x:c r="A962" s="15" t="str">
        <x:v>958</x:v>
      </x:c>
      <x:c r="B962" s="9" t="str">
        <x:v>Alex</x:v>
      </x:c>
      <x:c r="C962" s="9" t="str">
        <x:v>Personal Loan</x:v>
      </x:c>
      <x:c r="D962" s="9" t="str">
        <x:v>South</x:v>
      </x:c>
      <x:c r="E962" s="9" t="n">
        <x:v>482</x:v>
      </x:c>
      <x:c r="F962" s="11" t="n">
        <x:v>46118</x:v>
      </x:c>
      <x:c r="G962" s="13" t="n">
        <x:v>20888.78</x:v>
      </x:c>
      <x:c r="H962" s="9" t="n">
        <x:v>111</x:v>
      </x:c>
      <x:c r="I962" s="9" t="n">
        <x:v>7</x:v>
      </x:c>
      <x:c r="J962" s="9" t="n">
        <x:v>3</x:v>
      </x:c>
      <x:c r="K962" s="9" t="n">
        <x:v>1</x:v>
      </x:c>
      <x:c r="L962" s="13" t="n">
        <x:f>SUMIFS('Payments'!$D$5:$D$3014,'Payments'!$B$5:$B$3014,A962)</x:f>
        <x:v>5171.289999999999</x:v>
      </x:c>
      <x:c r="M962" s="13" t="n">
        <x:f>G962-L962</x:f>
        <x:v>15717.49</x:v>
      </x:c>
      <x:c r="N962" s="9" t="str">
        <x:f>IF(H962=0,"0 Current",IF(H962&lt;=30,"1 1-30",IF(H962&lt;=60,"2 31-60",IF(H962&lt;=90,"3 61-90",IF(H962&lt;=120,"4 91-120","5 121+")))))</x:f>
        <x:v>4 91-120</x:v>
      </x:c>
      <x:c r="O962" s="9" t="n">
        <x:f>IF(J962&gt;0,1,0)</x:f>
        <x:v>1</x:v>
      </x:c>
    </x:row>
    <x:row r="963">
      <x:c r="A963" s="15" t="str">
        <x:v>959</x:v>
      </x:c>
      <x:c r="B963" s="9" t="str">
        <x:v>Casey</x:v>
      </x:c>
      <x:c r="C963" s="9" t="str">
        <x:v>Medical</x:v>
      </x:c>
      <x:c r="D963" s="9" t="str">
        <x:v>South</x:v>
      </x:c>
      <x:c r="E963" s="9" t="n">
        <x:v>491</x:v>
      </x:c>
      <x:c r="F963" s="11" t="n">
        <x:v>46094</x:v>
      </x:c>
      <x:c r="G963" s="13" t="n">
        <x:v>20213.34</x:v>
      </x:c>
      <x:c r="H963" s="9" t="n">
        <x:v>235</x:v>
      </x:c>
      <x:c r="I963" s="9" t="n">
        <x:v>0</x:v>
      </x:c>
      <x:c r="J963" s="9" t="n">
        <x:v>0</x:v>
      </x:c>
      <x:c r="K963" s="9" t="n">
        <x:v>0</x:v>
      </x:c>
      <x:c r="L963" s="13" t="n">
        <x:f>SUMIFS('Payments'!$D$5:$D$3014,'Payments'!$B$5:$B$3014,A963)</x:f>
        <x:v>7023.289999999999</x:v>
      </x:c>
      <x:c r="M963" s="13" t="n">
        <x:f>G963-L963</x:f>
        <x:v>13190.050000000001</x:v>
      </x:c>
      <x:c r="N963" s="9" t="str">
        <x:f>IF(H963=0,"0 Current",IF(H963&lt;=30,"1 1-30",IF(H963&lt;=60,"2 31-60",IF(H963&lt;=90,"3 61-90",IF(H963&lt;=120,"4 91-120","5 121+")))))</x:f>
        <x:v>5 121+</x:v>
      </x:c>
      <x:c r="O963" s="9" t="n">
        <x:f>IF(J963&gt;0,1,0)</x:f>
        <x:v>0</x:v>
      </x:c>
    </x:row>
    <x:row r="964">
      <x:c r="A964" s="15" t="str">
        <x:v>960</x:v>
      </x:c>
      <x:c r="B964" s="9" t="str">
        <x:v>Riley</x:v>
      </x:c>
      <x:c r="C964" s="9" t="str">
        <x:v>Medical</x:v>
      </x:c>
      <x:c r="D964" s="9" t="str">
        <x:v>South</x:v>
      </x:c>
      <x:c r="E964" s="9" t="n">
        <x:v>672</x:v>
      </x:c>
      <x:c r="F964" s="11" t="n">
        <x:v>46045</x:v>
      </x:c>
      <x:c r="G964" s="13" t="n">
        <x:v>20862.28</x:v>
      </x:c>
      <x:c r="H964" s="9" t="n">
        <x:v>41</x:v>
      </x:c>
      <x:c r="I964" s="9" t="n">
        <x:v>2</x:v>
      </x:c>
      <x:c r="J964" s="9" t="n">
        <x:v>1</x:v>
      </x:c>
      <x:c r="K964" s="9" t="n">
        <x:v>1</x:v>
      </x:c>
      <x:c r="L964" s="13" t="n">
        <x:f>SUMIFS('Payments'!$D$5:$D$3014,'Payments'!$B$5:$B$3014,A964)</x:f>
        <x:v>2529.88</x:v>
      </x:c>
      <x:c r="M964" s="13" t="n">
        <x:f>G964-L964</x:f>
        <x:v>18332.399999999998</x:v>
      </x:c>
      <x:c r="N964" s="9" t="str">
        <x:f>IF(H964=0,"0 Current",IF(H964&lt;=30,"1 1-30",IF(H964&lt;=60,"2 31-60",IF(H964&lt;=90,"3 61-90",IF(H964&lt;=120,"4 91-120","5 121+")))))</x:f>
        <x:v>2 31-60</x:v>
      </x:c>
      <x:c r="O964" s="9" t="n">
        <x:f>IF(J964&gt;0,1,0)</x:f>
        <x:v>1</x:v>
      </x:c>
    </x:row>
    <x:row r="965">
      <x:c r="A965" s="15" t="str">
        <x:v>961</x:v>
      </x:c>
      <x:c r="B965" s="9" t="str">
        <x:v>Morgan</x:v>
      </x:c>
      <x:c r="C965" s="9" t="str">
        <x:v>Credit Card</x:v>
      </x:c>
      <x:c r="D965" s="9" t="str">
        <x:v>Northeast</x:v>
      </x:c>
      <x:c r="E965" s="9" t="n">
        <x:v>604</x:v>
      </x:c>
      <x:c r="F965" s="11" t="n">
        <x:v>46118</x:v>
      </x:c>
      <x:c r="G965" s="13" t="n">
        <x:v>762.01</x:v>
      </x:c>
      <x:c r="H965" s="9" t="n">
        <x:v>15</x:v>
      </x:c>
      <x:c r="I965" s="9" t="n">
        <x:v>5</x:v>
      </x:c>
      <x:c r="J965" s="9" t="n">
        <x:v>3</x:v>
      </x:c>
      <x:c r="K965" s="9" t="n">
        <x:v>1</x:v>
      </x:c>
      <x:c r="L965" s="13" t="n">
        <x:f>SUMIFS('Payments'!$D$5:$D$3014,'Payments'!$B$5:$B$3014,A965)</x:f>
        <x:v>48.69</x:v>
      </x:c>
      <x:c r="M965" s="13" t="n">
        <x:f>G965-L965</x:f>
        <x:v>713.3199999999999</x:v>
      </x:c>
      <x:c r="N965" s="9" t="str">
        <x:f>IF(H965=0,"0 Current",IF(H965&lt;=30,"1 1-30",IF(H965&lt;=60,"2 31-60",IF(H965&lt;=90,"3 61-90",IF(H965&lt;=120,"4 91-120","5 121+")))))</x:f>
        <x:v>1 1-30</x:v>
      </x:c>
      <x:c r="O965" s="9" t="n">
        <x:f>IF(J965&gt;0,1,0)</x:f>
        <x:v>1</x:v>
      </x:c>
    </x:row>
    <x:row r="966">
      <x:c r="A966" s="15" t="str">
        <x:v>962</x:v>
      </x:c>
      <x:c r="B966" s="9" t="str">
        <x:v>Casey</x:v>
      </x:c>
      <x:c r="C966" s="9" t="str">
        <x:v>Auto</x:v>
      </x:c>
      <x:c r="D966" s="9" t="str">
        <x:v>Midwest</x:v>
      </x:c>
      <x:c r="E966" s="9" t="n">
        <x:v>659</x:v>
      </x:c>
      <x:c r="F966" s="11" t="n">
        <x:v>46034</x:v>
      </x:c>
      <x:c r="G966" s="13" t="n">
        <x:v>15713.88</x:v>
      </x:c>
      <x:c r="H966" s="9" t="n">
        <x:v>13</x:v>
      </x:c>
      <x:c r="I966" s="9" t="n">
        <x:v>5</x:v>
      </x:c>
      <x:c r="J966" s="9" t="n">
        <x:v>0</x:v>
      </x:c>
      <x:c r="K966" s="9" t="n">
        <x:v>0</x:v>
      </x:c>
      <x:c r="L966" s="13" t="n">
        <x:f>SUMIFS('Payments'!$D$5:$D$3014,'Payments'!$B$5:$B$3014,A966)</x:f>
        <x:v>2851.68</x:v>
      </x:c>
      <x:c r="M966" s="13" t="n">
        <x:f>G966-L966</x:f>
        <x:v>12862.199999999999</x:v>
      </x:c>
      <x:c r="N966" s="9" t="str">
        <x:f>IF(H966=0,"0 Current",IF(H966&lt;=30,"1 1-30",IF(H966&lt;=60,"2 31-60",IF(H966&lt;=90,"3 61-90",IF(H966&lt;=120,"4 91-120","5 121+")))))</x:f>
        <x:v>1 1-30</x:v>
      </x:c>
      <x:c r="O966" s="9" t="n">
        <x:f>IF(J966&gt;0,1,0)</x:f>
        <x:v>0</x:v>
      </x:c>
    </x:row>
    <x:row r="967">
      <x:c r="A967" s="15" t="str">
        <x:v>963</x:v>
      </x:c>
      <x:c r="B967" s="9" t="str">
        <x:v>Casey</x:v>
      </x:c>
      <x:c r="C967" s="9" t="str">
        <x:v>Medical</x:v>
      </x:c>
      <x:c r="D967" s="9" t="str">
        <x:v>South</x:v>
      </x:c>
      <x:c r="E967" s="9" t="n">
        <x:v>733</x:v>
      </x:c>
      <x:c r="F967" s="11" t="n">
        <x:v>46106</x:v>
      </x:c>
      <x:c r="G967" s="13" t="n">
        <x:v>12790.8</x:v>
      </x:c>
      <x:c r="H967" s="9" t="n">
        <x:v>204</x:v>
      </x:c>
      <x:c r="I967" s="9" t="n">
        <x:v>5</x:v>
      </x:c>
      <x:c r="J967" s="9" t="n">
        <x:v>2</x:v>
      </x:c>
      <x:c r="K967" s="9" t="n">
        <x:v>1</x:v>
      </x:c>
      <x:c r="L967" s="13" t="n">
        <x:f>SUMIFS('Payments'!$D$5:$D$3014,'Payments'!$B$5:$B$3014,A967)</x:f>
        <x:v>4506.34</x:v>
      </x:c>
      <x:c r="M967" s="13" t="n">
        <x:f>G967-L967</x:f>
        <x:v>8284.46</x:v>
      </x:c>
      <x:c r="N967" s="9" t="str">
        <x:f>IF(H967=0,"0 Current",IF(H967&lt;=30,"1 1-30",IF(H967&lt;=60,"2 31-60",IF(H967&lt;=90,"3 61-90",IF(H967&lt;=120,"4 91-120","5 121+")))))</x:f>
        <x:v>5 121+</x:v>
      </x:c>
      <x:c r="O967" s="9" t="n">
        <x:f>IF(J967&gt;0,1,0)</x:f>
        <x:v>1</x:v>
      </x:c>
    </x:row>
    <x:row r="968">
      <x:c r="A968" s="15" t="str">
        <x:v>964</x:v>
      </x:c>
      <x:c r="B968" s="9" t="str">
        <x:v>Morgan</x:v>
      </x:c>
      <x:c r="C968" s="9" t="str">
        <x:v>Medical</x:v>
      </x:c>
      <x:c r="D968" s="9" t="str">
        <x:v>Northeast</x:v>
      </x:c>
      <x:c r="E968" s="9" t="n">
        <x:v>453</x:v>
      </x:c>
      <x:c r="F968" s="11" t="n">
        <x:v>46154</x:v>
      </x:c>
      <x:c r="G968" s="13" t="n">
        <x:v>6424.48</x:v>
      </x:c>
      <x:c r="H968" s="9" t="n">
        <x:v>206</x:v>
      </x:c>
      <x:c r="I968" s="9" t="n">
        <x:v>1</x:v>
      </x:c>
      <x:c r="J968" s="9" t="n">
        <x:v>0</x:v>
      </x:c>
      <x:c r="K968" s="9" t="n">
        <x:v>0</x:v>
      </x:c>
      <x:c r="L968" s="13" t="n">
        <x:f>SUMIFS('Payments'!$D$5:$D$3014,'Payments'!$B$5:$B$3014,A968)</x:f>
        <x:v>1005.1700000000001</x:v>
      </x:c>
      <x:c r="M968" s="13" t="n">
        <x:f>G968-L968</x:f>
        <x:v>5419.3099999999995</x:v>
      </x:c>
      <x:c r="N968" s="9" t="str">
        <x:f>IF(H968=0,"0 Current",IF(H968&lt;=30,"1 1-30",IF(H968&lt;=60,"2 31-60",IF(H968&lt;=90,"3 61-90",IF(H968&lt;=120,"4 91-120","5 121+")))))</x:f>
        <x:v>5 121+</x:v>
      </x:c>
      <x:c r="O968" s="9" t="n">
        <x:f>IF(J968&gt;0,1,0)</x:f>
        <x:v>0</x:v>
      </x:c>
    </x:row>
    <x:row r="969">
      <x:c r="A969" s="15" t="str">
        <x:v>965</x:v>
      </x:c>
      <x:c r="B969" s="9" t="str">
        <x:v>Jordan</x:v>
      </x:c>
      <x:c r="C969" s="9" t="str">
        <x:v>Auto</x:v>
      </x:c>
      <x:c r="D969" s="9" t="str">
        <x:v>Midwest</x:v>
      </x:c>
      <x:c r="E969" s="9" t="n">
        <x:v>623</x:v>
      </x:c>
      <x:c r="F969" s="11" t="n">
        <x:v>46034</x:v>
      </x:c>
      <x:c r="G969" s="13" t="n">
        <x:v>6947.86</x:v>
      </x:c>
      <x:c r="H969" s="9" t="n">
        <x:v>56</x:v>
      </x:c>
      <x:c r="I969" s="9" t="n">
        <x:v>4</x:v>
      </x:c>
      <x:c r="J969" s="9" t="n">
        <x:v>2</x:v>
      </x:c>
      <x:c r="K969" s="9" t="n">
        <x:v>1</x:v>
      </x:c>
      <x:c r="L969" s="13" t="n">
        <x:f>SUMIFS('Payments'!$D$5:$D$3014,'Payments'!$B$5:$B$3014,A969)</x:f>
        <x:v>100.07</x:v>
      </x:c>
      <x:c r="M969" s="13" t="n">
        <x:f>G969-L969</x:f>
        <x:v>6847.79</x:v>
      </x:c>
      <x:c r="N969" s="9" t="str">
        <x:f>IF(H969=0,"0 Current",IF(H969&lt;=30,"1 1-30",IF(H969&lt;=60,"2 31-60",IF(H969&lt;=90,"3 61-90",IF(H969&lt;=120,"4 91-120","5 121+")))))</x:f>
        <x:v>2 31-60</x:v>
      </x:c>
      <x:c r="O969" s="9" t="n">
        <x:f>IF(J969&gt;0,1,0)</x:f>
        <x:v>1</x:v>
      </x:c>
    </x:row>
    <x:row r="970">
      <x:c r="A970" s="15" t="str">
        <x:v>966</x:v>
      </x:c>
      <x:c r="B970" s="9" t="str">
        <x:v>Riley</x:v>
      </x:c>
      <x:c r="C970" s="9" t="str">
        <x:v>Credit Card</x:v>
      </x:c>
      <x:c r="D970" s="9" t="str">
        <x:v>West</x:v>
      </x:c>
      <x:c r="E970" s="9" t="n">
        <x:v>689</x:v>
      </x:c>
      <x:c r="F970" s="11" t="n">
        <x:v>46061</x:v>
      </x:c>
      <x:c r="G970" s="13" t="n">
        <x:v>18144.46</x:v>
      </x:c>
      <x:c r="H970" s="9" t="n">
        <x:v>103</x:v>
      </x:c>
      <x:c r="I970" s="9" t="n">
        <x:v>7</x:v>
      </x:c>
      <x:c r="J970" s="9" t="n">
        <x:v>2</x:v>
      </x:c>
      <x:c r="K970" s="9" t="n">
        <x:v>1</x:v>
      </x:c>
      <x:c r="L970" s="13" t="n">
        <x:f>SUMIFS('Payments'!$D$5:$D$3014,'Payments'!$B$5:$B$3014,A970)</x:f>
        <x:v>1552.46</x:v>
      </x:c>
      <x:c r="M970" s="13" t="n">
        <x:f>G970-L970</x:f>
        <x:v>16592</x:v>
      </x:c>
      <x:c r="N970" s="9" t="str">
        <x:f>IF(H970=0,"0 Current",IF(H970&lt;=30,"1 1-30",IF(H970&lt;=60,"2 31-60",IF(H970&lt;=90,"3 61-90",IF(H970&lt;=120,"4 91-120","5 121+")))))</x:f>
        <x:v>4 91-120</x:v>
      </x:c>
      <x:c r="O970" s="9" t="n">
        <x:f>IF(J970&gt;0,1,0)</x:f>
        <x:v>1</x:v>
      </x:c>
    </x:row>
    <x:row r="971">
      <x:c r="A971" s="15" t="str">
        <x:v>967</x:v>
      </x:c>
      <x:c r="B971" s="9" t="str">
        <x:v>Casey</x:v>
      </x:c>
      <x:c r="C971" s="9" t="str">
        <x:v>Credit Card</x:v>
      </x:c>
      <x:c r="D971" s="9" t="str">
        <x:v>West</x:v>
      </x:c>
      <x:c r="E971" s="9" t="n">
        <x:v>813</x:v>
      </x:c>
      <x:c r="F971" s="11" t="n">
        <x:v>46099</x:v>
      </x:c>
      <x:c r="G971" s="13" t="n">
        <x:v>17524.35</x:v>
      </x:c>
      <x:c r="H971" s="9" t="n">
        <x:v>84</x:v>
      </x:c>
      <x:c r="I971" s="9" t="n">
        <x:v>4</x:v>
      </x:c>
      <x:c r="J971" s="9" t="n">
        <x:v>1</x:v>
      </x:c>
      <x:c r="K971" s="9" t="n">
        <x:v>1</x:v>
      </x:c>
      <x:c r="L971" s="13" t="n">
        <x:f>SUMIFS('Payments'!$D$5:$D$3014,'Payments'!$B$5:$B$3014,A971)</x:f>
        <x:v>2299.0099999999998</x:v>
      </x:c>
      <x:c r="M971" s="13" t="n">
        <x:f>G971-L971</x:f>
        <x:v>15225.339999999998</x:v>
      </x:c>
      <x:c r="N971" s="9" t="str">
        <x:f>IF(H971=0,"0 Current",IF(H971&lt;=30,"1 1-30",IF(H971&lt;=60,"2 31-60",IF(H971&lt;=90,"3 61-90",IF(H971&lt;=120,"4 91-120","5 121+")))))</x:f>
        <x:v>3 61-90</x:v>
      </x:c>
      <x:c r="O971" s="9" t="n">
        <x:f>IF(J971&gt;0,1,0)</x:f>
        <x:v>1</x:v>
      </x:c>
    </x:row>
    <x:row r="972">
      <x:c r="A972" s="15" t="str">
        <x:v>968</x:v>
      </x:c>
      <x:c r="B972" s="9" t="str">
        <x:v>Riley</x:v>
      </x:c>
      <x:c r="C972" s="9" t="str">
        <x:v>Medical</x:v>
      </x:c>
      <x:c r="D972" s="9" t="str">
        <x:v>West</x:v>
      </x:c>
      <x:c r="E972" s="9" t="n">
        <x:v>714</x:v>
      </x:c>
      <x:c r="F972" s="11" t="n">
        <x:v>46063</x:v>
      </x:c>
      <x:c r="G972" s="13" t="n">
        <x:v>9139.84</x:v>
      </x:c>
      <x:c r="H972" s="9" t="n">
        <x:v>186</x:v>
      </x:c>
      <x:c r="I972" s="9" t="n">
        <x:v>0</x:v>
      </x:c>
      <x:c r="J972" s="9" t="n">
        <x:v>0</x:v>
      </x:c>
      <x:c r="K972" s="9" t="n">
        <x:v>0</x:v>
      </x:c>
      <x:c r="L972" s="13" t="n">
        <x:f>SUMIFS('Payments'!$D$5:$D$3014,'Payments'!$B$5:$B$3014,A972)</x:f>
        <x:v>0</x:v>
      </x:c>
      <x:c r="M972" s="13" t="n">
        <x:f>G972-L972</x:f>
        <x:v>9139.84</x:v>
      </x:c>
      <x:c r="N972" s="9" t="str">
        <x:f>IF(H972=0,"0 Current",IF(H972&lt;=30,"1 1-30",IF(H972&lt;=60,"2 31-60",IF(H972&lt;=90,"3 61-90",IF(H972&lt;=120,"4 91-120","5 121+")))))</x:f>
        <x:v>5 121+</x:v>
      </x:c>
      <x:c r="O972" s="9" t="n">
        <x:f>IF(J972&gt;0,1,0)</x:f>
        <x:v>0</x:v>
      </x:c>
    </x:row>
    <x:row r="973">
      <x:c r="A973" s="15" t="str">
        <x:v>969</x:v>
      </x:c>
      <x:c r="B973" s="9" t="str">
        <x:v>Jordan</x:v>
      </x:c>
      <x:c r="C973" s="9" t="str">
        <x:v>Credit Card</x:v>
      </x:c>
      <x:c r="D973" s="9" t="str">
        <x:v>Northeast</x:v>
      </x:c>
      <x:c r="E973" s="9" t="n">
        <x:v>484</x:v>
      </x:c>
      <x:c r="F973" s="11" t="n">
        <x:v>46161</x:v>
      </x:c>
      <x:c r="G973" s="13" t="n">
        <x:v>14479.88</x:v>
      </x:c>
      <x:c r="H973" s="9" t="n">
        <x:v>10</x:v>
      </x:c>
      <x:c r="I973" s="9" t="n">
        <x:v>3</x:v>
      </x:c>
      <x:c r="J973" s="9" t="n">
        <x:v>2</x:v>
      </x:c>
      <x:c r="K973" s="9" t="n">
        <x:v>1</x:v>
      </x:c>
      <x:c r="L973" s="13" t="n">
        <x:f>SUMIFS('Payments'!$D$5:$D$3014,'Payments'!$B$5:$B$3014,A973)</x:f>
        <x:v>3324.05</x:v>
      </x:c>
      <x:c r="M973" s="13" t="n">
        <x:f>G973-L973</x:f>
        <x:v>11155.829999999998</x:v>
      </x:c>
      <x:c r="N973" s="9" t="str">
        <x:f>IF(H973=0,"0 Current",IF(H973&lt;=30,"1 1-30",IF(H973&lt;=60,"2 31-60",IF(H973&lt;=90,"3 61-90",IF(H973&lt;=120,"4 91-120","5 121+")))))</x:f>
        <x:v>1 1-30</x:v>
      </x:c>
      <x:c r="O973" s="9" t="n">
        <x:f>IF(J973&gt;0,1,0)</x:f>
        <x:v>1</x:v>
      </x:c>
    </x:row>
    <x:row r="974">
      <x:c r="A974" s="15" t="str">
        <x:v>970</x:v>
      </x:c>
      <x:c r="B974" s="9" t="str">
        <x:v>Casey</x:v>
      </x:c>
      <x:c r="C974" s="9" t="str">
        <x:v>Personal Loan</x:v>
      </x:c>
      <x:c r="D974" s="9" t="str">
        <x:v>Midwest</x:v>
      </x:c>
      <x:c r="E974" s="9" t="n">
        <x:v>748</x:v>
      </x:c>
      <x:c r="F974" s="11" t="n">
        <x:v>46047</x:v>
      </x:c>
      <x:c r="G974" s="13" t="n">
        <x:v>1300.96</x:v>
      </x:c>
      <x:c r="H974" s="9" t="n">
        <x:v>206</x:v>
      </x:c>
      <x:c r="I974" s="9" t="n">
        <x:v>0</x:v>
      </x:c>
      <x:c r="J974" s="9" t="n">
        <x:v>0</x:v>
      </x:c>
      <x:c r="K974" s="9" t="n">
        <x:v>0</x:v>
      </x:c>
      <x:c r="L974" s="13" t="n">
        <x:f>SUMIFS('Payments'!$D$5:$D$3014,'Payments'!$B$5:$B$3014,A974)</x:f>
        <x:v>247.09</x:v>
      </x:c>
      <x:c r="M974" s="13" t="n">
        <x:f>G974-L974</x:f>
        <x:v>1053.8700000000001</x:v>
      </x:c>
      <x:c r="N974" s="9" t="str">
        <x:f>IF(H974=0,"0 Current",IF(H974&lt;=30,"1 1-30",IF(H974&lt;=60,"2 31-60",IF(H974&lt;=90,"3 61-90",IF(H974&lt;=120,"4 91-120","5 121+")))))</x:f>
        <x:v>5 121+</x:v>
      </x:c>
      <x:c r="O974" s="9" t="n">
        <x:f>IF(J974&gt;0,1,0)</x:f>
        <x:v>0</x:v>
      </x:c>
    </x:row>
    <x:row r="975">
      <x:c r="A975" s="15" t="str">
        <x:v>971</x:v>
      </x:c>
      <x:c r="B975" s="9" t="str">
        <x:v>Taylor</x:v>
      </x:c>
      <x:c r="C975" s="9" t="str">
        <x:v>Credit Card</x:v>
      </x:c>
      <x:c r="D975" s="9" t="str">
        <x:v>Northeast</x:v>
      </x:c>
      <x:c r="E975" s="9" t="n">
        <x:v>650</x:v>
      </x:c>
      <x:c r="F975" s="11" t="n">
        <x:v>46068</x:v>
      </x:c>
      <x:c r="G975" s="13" t="n">
        <x:v>7554.4</x:v>
      </x:c>
      <x:c r="H975" s="9" t="n">
        <x:v>103</x:v>
      </x:c>
      <x:c r="I975" s="9" t="n">
        <x:v>0</x:v>
      </x:c>
      <x:c r="J975" s="9" t="n">
        <x:v>0</x:v>
      </x:c>
      <x:c r="K975" s="9" t="n">
        <x:v>0</x:v>
      </x:c>
      <x:c r="L975" s="13" t="n">
        <x:f>SUMIFS('Payments'!$D$5:$D$3014,'Payments'!$B$5:$B$3014,A975)</x:f>
        <x:v>2749.64</x:v>
      </x:c>
      <x:c r="M975" s="13" t="n">
        <x:f>G975-L975</x:f>
        <x:v>4804.76</x:v>
      </x:c>
      <x:c r="N975" s="9" t="str">
        <x:f>IF(H975=0,"0 Current",IF(H975&lt;=30,"1 1-30",IF(H975&lt;=60,"2 31-60",IF(H975&lt;=90,"3 61-90",IF(H975&lt;=120,"4 91-120","5 121+")))))</x:f>
        <x:v>4 91-120</x:v>
      </x:c>
      <x:c r="O975" s="9" t="n">
        <x:f>IF(J975&gt;0,1,0)</x:f>
        <x:v>0</x:v>
      </x:c>
    </x:row>
    <x:row r="976">
      <x:c r="A976" s="15" t="str">
        <x:v>972</x:v>
      </x:c>
      <x:c r="B976" s="9" t="str">
        <x:v>Casey</x:v>
      </x:c>
      <x:c r="C976" s="9" t="str">
        <x:v>Auto</x:v>
      </x:c>
      <x:c r="D976" s="9" t="str">
        <x:v>West</x:v>
      </x:c>
      <x:c r="E976" s="9" t="n">
        <x:v>768</x:v>
      </x:c>
      <x:c r="F976" s="11" t="n">
        <x:v>46044</x:v>
      </x:c>
      <x:c r="G976" s="13" t="n">
        <x:v>6172.09</x:v>
      </x:c>
      <x:c r="H976" s="9" t="n">
        <x:v>230</x:v>
      </x:c>
      <x:c r="I976" s="9" t="n">
        <x:v>2</x:v>
      </x:c>
      <x:c r="J976" s="9" t="n">
        <x:v>1</x:v>
      </x:c>
      <x:c r="K976" s="9" t="n">
        <x:v>0</x:v>
      </x:c>
      <x:c r="L976" s="13" t="n">
        <x:f>SUMIFS('Payments'!$D$5:$D$3014,'Payments'!$B$5:$B$3014,A976)</x:f>
        <x:v>839.73</x:v>
      </x:c>
      <x:c r="M976" s="13" t="n">
        <x:f>G976-L976</x:f>
        <x:v>5332.360000000001</x:v>
      </x:c>
      <x:c r="N976" s="9" t="str">
        <x:f>IF(H976=0,"0 Current",IF(H976&lt;=30,"1 1-30",IF(H976&lt;=60,"2 31-60",IF(H976&lt;=90,"3 61-90",IF(H976&lt;=120,"4 91-120","5 121+")))))</x:f>
        <x:v>5 121+</x:v>
      </x:c>
      <x:c r="O976" s="9" t="n">
        <x:f>IF(J976&gt;0,1,0)</x:f>
        <x:v>1</x:v>
      </x:c>
    </x:row>
    <x:row r="977">
      <x:c r="A977" s="15" t="str">
        <x:v>973</x:v>
      </x:c>
      <x:c r="B977" s="9" t="str">
        <x:v>Casey</x:v>
      </x:c>
      <x:c r="C977" s="9" t="str">
        <x:v>Medical</x:v>
      </x:c>
      <x:c r="D977" s="9" t="str">
        <x:v>Midwest</x:v>
      </x:c>
      <x:c r="E977" s="9" t="n">
        <x:v>485</x:v>
      </x:c>
      <x:c r="F977" s="11" t="n">
        <x:v>46051</x:v>
      </x:c>
      <x:c r="G977" s="13" t="n">
        <x:v>14645.73</x:v>
      </x:c>
      <x:c r="H977" s="9" t="n">
        <x:v>232</x:v>
      </x:c>
      <x:c r="I977" s="9" t="n">
        <x:v>5</x:v>
      </x:c>
      <x:c r="J977" s="9" t="n">
        <x:v>2</x:v>
      </x:c>
      <x:c r="K977" s="9" t="n">
        <x:v>1</x:v>
      </x:c>
      <x:c r="L977" s="13" t="n">
        <x:f>SUMIFS('Payments'!$D$5:$D$3014,'Payments'!$B$5:$B$3014,A977)</x:f>
        <x:v>2416.79</x:v>
      </x:c>
      <x:c r="M977" s="13" t="n">
        <x:f>G977-L977</x:f>
        <x:v>12228.939999999999</x:v>
      </x:c>
      <x:c r="N977" s="9" t="str">
        <x:f>IF(H977=0,"0 Current",IF(H977&lt;=30,"1 1-30",IF(H977&lt;=60,"2 31-60",IF(H977&lt;=90,"3 61-90",IF(H977&lt;=120,"4 91-120","5 121+")))))</x:f>
        <x:v>5 121+</x:v>
      </x:c>
      <x:c r="O977" s="9" t="n">
        <x:f>IF(J977&gt;0,1,0)</x:f>
        <x:v>1</x:v>
      </x:c>
    </x:row>
    <x:row r="978">
      <x:c r="A978" s="15" t="str">
        <x:v>974</x:v>
      </x:c>
      <x:c r="B978" s="9" t="str">
        <x:v>Jordan</x:v>
      </x:c>
      <x:c r="C978" s="9" t="str">
        <x:v>Personal Loan</x:v>
      </x:c>
      <x:c r="D978" s="9" t="str">
        <x:v>South</x:v>
      </x:c>
      <x:c r="E978" s="9" t="n">
        <x:v>813</x:v>
      </x:c>
      <x:c r="F978" s="11" t="n">
        <x:v>46163</x:v>
      </x:c>
      <x:c r="G978" s="13" t="n">
        <x:v>2576.91</x:v>
      </x:c>
      <x:c r="H978" s="9" t="n">
        <x:v>164</x:v>
      </x:c>
      <x:c r="I978" s="9" t="n">
        <x:v>3</x:v>
      </x:c>
      <x:c r="J978" s="9" t="n">
        <x:v>0</x:v>
      </x:c>
      <x:c r="K978" s="9" t="n">
        <x:v>0</x:v>
      </x:c>
      <x:c r="L978" s="13" t="n">
        <x:f>SUMIFS('Payments'!$D$5:$D$3014,'Payments'!$B$5:$B$3014,A978)</x:f>
        <x:v>0</x:v>
      </x:c>
      <x:c r="M978" s="13" t="n">
        <x:f>G978-L978</x:f>
        <x:v>2576.91</x:v>
      </x:c>
      <x:c r="N978" s="9" t="str">
        <x:f>IF(H978=0,"0 Current",IF(H978&lt;=30,"1 1-30",IF(H978&lt;=60,"2 31-60",IF(H978&lt;=90,"3 61-90",IF(H978&lt;=120,"4 91-120","5 121+")))))</x:f>
        <x:v>5 121+</x:v>
      </x:c>
      <x:c r="O978" s="9" t="n">
        <x:f>IF(J978&gt;0,1,0)</x:f>
        <x:v>0</x:v>
      </x:c>
    </x:row>
    <x:row r="979">
      <x:c r="A979" s="15" t="str">
        <x:v>975</x:v>
      </x:c>
      <x:c r="B979" s="9" t="str">
        <x:v>Casey</x:v>
      </x:c>
      <x:c r="C979" s="9" t="str">
        <x:v>Credit Card</x:v>
      </x:c>
      <x:c r="D979" s="9" t="str">
        <x:v>South</x:v>
      </x:c>
      <x:c r="E979" s="9" t="n">
        <x:v>641</x:v>
      </x:c>
      <x:c r="F979" s="11" t="n">
        <x:v>46100</x:v>
      </x:c>
      <x:c r="G979" s="13" t="n">
        <x:v>1011.9</x:v>
      </x:c>
      <x:c r="H979" s="9" t="n">
        <x:v>0</x:v>
      </x:c>
      <x:c r="I979" s="9" t="n">
        <x:v>6</x:v>
      </x:c>
      <x:c r="J979" s="9" t="n">
        <x:v>3</x:v>
      </x:c>
      <x:c r="K979" s="9" t="n">
        <x:v>1</x:v>
      </x:c>
      <x:c r="L979" s="13" t="n">
        <x:f>SUMIFS('Payments'!$D$5:$D$3014,'Payments'!$B$5:$B$3014,A979)</x:f>
        <x:v>82.19</x:v>
      </x:c>
      <x:c r="M979" s="13" t="n">
        <x:f>G979-L979</x:f>
        <x:v>929.71</x:v>
      </x:c>
      <x:c r="N979" s="9" t="str">
        <x:f>IF(H979=0,"0 Current",IF(H979&lt;=30,"1 1-30",IF(H979&lt;=60,"2 31-60",IF(H979&lt;=90,"3 61-90",IF(H979&lt;=120,"4 91-120","5 121+")))))</x:f>
        <x:v>0 Current</x:v>
      </x:c>
      <x:c r="O979" s="9" t="n">
        <x:f>IF(J979&gt;0,1,0)</x:f>
        <x:v>1</x:v>
      </x:c>
    </x:row>
    <x:row r="980">
      <x:c r="A980" s="15" t="str">
        <x:v>976</x:v>
      </x:c>
      <x:c r="B980" s="9" t="str">
        <x:v>Riley</x:v>
      </x:c>
      <x:c r="C980" s="9" t="str">
        <x:v>Personal Loan</x:v>
      </x:c>
      <x:c r="D980" s="9" t="str">
        <x:v>Northeast</x:v>
      </x:c>
      <x:c r="E980" s="9" t="n">
        <x:v>483</x:v>
      </x:c>
      <x:c r="F980" s="11" t="n">
        <x:v>46109</x:v>
      </x:c>
      <x:c r="G980" s="13" t="n">
        <x:v>7809.09</x:v>
      </x:c>
      <x:c r="H980" s="9" t="n">
        <x:v>88</x:v>
      </x:c>
      <x:c r="I980" s="9" t="n">
        <x:v>5</x:v>
      </x:c>
      <x:c r="J980" s="9" t="n">
        <x:v>0</x:v>
      </x:c>
      <x:c r="K980" s="9" t="n">
        <x:v>0</x:v>
      </x:c>
      <x:c r="L980" s="13" t="n">
        <x:f>SUMIFS('Payments'!$D$5:$D$3014,'Payments'!$B$5:$B$3014,A980)</x:f>
        <x:v>499.94</x:v>
      </x:c>
      <x:c r="M980" s="13" t="n">
        <x:f>G980-L980</x:f>
        <x:v>7309.150000000001</x:v>
      </x:c>
      <x:c r="N980" s="9" t="str">
        <x:f>IF(H980=0,"0 Current",IF(H980&lt;=30,"1 1-30",IF(H980&lt;=60,"2 31-60",IF(H980&lt;=90,"3 61-90",IF(H980&lt;=120,"4 91-120","5 121+")))))</x:f>
        <x:v>3 61-90</x:v>
      </x:c>
      <x:c r="O980" s="9" t="n">
        <x:f>IF(J980&gt;0,1,0)</x:f>
        <x:v>0</x:v>
      </x:c>
    </x:row>
    <x:row r="981">
      <x:c r="A981" s="15" t="str">
        <x:v>977</x:v>
      </x:c>
      <x:c r="B981" s="9" t="str">
        <x:v>Riley</x:v>
      </x:c>
      <x:c r="C981" s="9" t="str">
        <x:v>Auto</x:v>
      </x:c>
      <x:c r="D981" s="9" t="str">
        <x:v>South</x:v>
      </x:c>
      <x:c r="E981" s="9" t="n">
        <x:v>575</x:v>
      </x:c>
      <x:c r="F981" s="11" t="n">
        <x:v>46027</x:v>
      </x:c>
      <x:c r="G981" s="13" t="n">
        <x:v>17184.24</x:v>
      </x:c>
      <x:c r="H981" s="9" t="n">
        <x:v>233</x:v>
      </x:c>
      <x:c r="I981" s="9" t="n">
        <x:v>0</x:v>
      </x:c>
      <x:c r="J981" s="9" t="n">
        <x:v>0</x:v>
      </x:c>
      <x:c r="K981" s="9" t="n">
        <x:v>0</x:v>
      </x:c>
      <x:c r="L981" s="13" t="n">
        <x:f>SUMIFS('Payments'!$D$5:$D$3014,'Payments'!$B$5:$B$3014,A981)</x:f>
        <x:v>4758.98</x:v>
      </x:c>
      <x:c r="M981" s="13" t="n">
        <x:f>G981-L981</x:f>
        <x:v>12425.260000000002</x:v>
      </x:c>
      <x:c r="N981" s="9" t="str">
        <x:f>IF(H981=0,"0 Current",IF(H981&lt;=30,"1 1-30",IF(H981&lt;=60,"2 31-60",IF(H981&lt;=90,"3 61-90",IF(H981&lt;=120,"4 91-120","5 121+")))))</x:f>
        <x:v>5 121+</x:v>
      </x:c>
      <x:c r="O981" s="9" t="n">
        <x:f>IF(J981&gt;0,1,0)</x:f>
        <x:v>0</x:v>
      </x:c>
    </x:row>
    <x:row r="982">
      <x:c r="A982" s="15" t="str">
        <x:v>978</x:v>
      </x:c>
      <x:c r="B982" s="9" t="str">
        <x:v>Riley</x:v>
      </x:c>
      <x:c r="C982" s="9" t="str">
        <x:v>Personal Loan</x:v>
      </x:c>
      <x:c r="D982" s="9" t="str">
        <x:v>South</x:v>
      </x:c>
      <x:c r="E982" s="9" t="n">
        <x:v>502</x:v>
      </x:c>
      <x:c r="F982" s="11" t="n">
        <x:v>46084</x:v>
      </x:c>
      <x:c r="G982" s="13" t="n">
        <x:v>20589.96</x:v>
      </x:c>
      <x:c r="H982" s="9" t="n">
        <x:v>177</x:v>
      </x:c>
      <x:c r="I982" s="9" t="n">
        <x:v>3</x:v>
      </x:c>
      <x:c r="J982" s="9" t="n">
        <x:v>1</x:v>
      </x:c>
      <x:c r="K982" s="9" t="n">
        <x:v>0</x:v>
      </x:c>
      <x:c r="L982" s="13" t="n">
        <x:f>SUMIFS('Payments'!$D$5:$D$3014,'Payments'!$B$5:$B$3014,A982)</x:f>
        <x:v>1888.67</x:v>
      </x:c>
      <x:c r="M982" s="13" t="n">
        <x:f>G982-L982</x:f>
        <x:v>18701.29</x:v>
      </x:c>
      <x:c r="N982" s="9" t="str">
        <x:f>IF(H982=0,"0 Current",IF(H982&lt;=30,"1 1-30",IF(H982&lt;=60,"2 31-60",IF(H982&lt;=90,"3 61-90",IF(H982&lt;=120,"4 91-120","5 121+")))))</x:f>
        <x:v>5 121+</x:v>
      </x:c>
      <x:c r="O982" s="9" t="n">
        <x:f>IF(J982&gt;0,1,0)</x:f>
        <x:v>1</x:v>
      </x:c>
    </x:row>
    <x:row r="983">
      <x:c r="A983" s="15" t="str">
        <x:v>979</x:v>
      </x:c>
      <x:c r="B983" s="9" t="str">
        <x:v>Alex</x:v>
      </x:c>
      <x:c r="C983" s="9" t="str">
        <x:v>Credit Card</x:v>
      </x:c>
      <x:c r="D983" s="9" t="str">
        <x:v>Midwest</x:v>
      </x:c>
      <x:c r="E983" s="9" t="n">
        <x:v>783</x:v>
      </x:c>
      <x:c r="F983" s="11" t="n">
        <x:v>46118</x:v>
      </x:c>
      <x:c r="G983" s="13" t="n">
        <x:v>9938.37</x:v>
      </x:c>
      <x:c r="H983" s="9" t="n">
        <x:v>100</x:v>
      </x:c>
      <x:c r="I983" s="9" t="n">
        <x:v>0</x:v>
      </x:c>
      <x:c r="J983" s="9" t="n">
        <x:v>0</x:v>
      </x:c>
      <x:c r="K983" s="9" t="n">
        <x:v>0</x:v>
      </x:c>
      <x:c r="L983" s="13" t="n">
        <x:f>SUMIFS('Payments'!$D$5:$D$3014,'Payments'!$B$5:$B$3014,A983)</x:f>
        <x:v>2063.45</x:v>
      </x:c>
      <x:c r="M983" s="13" t="n">
        <x:f>G983-L983</x:f>
        <x:v>7874.920000000001</x:v>
      </x:c>
      <x:c r="N983" s="9" t="str">
        <x:f>IF(H983=0,"0 Current",IF(H983&lt;=30,"1 1-30",IF(H983&lt;=60,"2 31-60",IF(H983&lt;=90,"3 61-90",IF(H983&lt;=120,"4 91-120","5 121+")))))</x:f>
        <x:v>4 91-120</x:v>
      </x:c>
      <x:c r="O983" s="9" t="n">
        <x:f>IF(J983&gt;0,1,0)</x:f>
        <x:v>0</x:v>
      </x:c>
    </x:row>
    <x:row r="984">
      <x:c r="A984" s="15" t="str">
        <x:v>980</x:v>
      </x:c>
      <x:c r="B984" s="9" t="str">
        <x:v>Taylor</x:v>
      </x:c>
      <x:c r="C984" s="9" t="str">
        <x:v>Personal Loan</x:v>
      </x:c>
      <x:c r="D984" s="9" t="str">
        <x:v>South</x:v>
      </x:c>
      <x:c r="E984" s="9" t="n">
        <x:v>597</x:v>
      </x:c>
      <x:c r="F984" s="11" t="n">
        <x:v>46078</x:v>
      </x:c>
      <x:c r="G984" s="13" t="n">
        <x:v>7239.41</x:v>
      </x:c>
      <x:c r="H984" s="9" t="n">
        <x:v>212</x:v>
      </x:c>
      <x:c r="I984" s="9" t="n">
        <x:v>1</x:v>
      </x:c>
      <x:c r="J984" s="9" t="n">
        <x:v>0</x:v>
      </x:c>
      <x:c r="K984" s="9" t="n">
        <x:v>0</x:v>
      </x:c>
      <x:c r="L984" s="13" t="n">
        <x:f>SUMIFS('Payments'!$D$5:$D$3014,'Payments'!$B$5:$B$3014,A984)</x:f>
        <x:v>0</x:v>
      </x:c>
      <x:c r="M984" s="13" t="n">
        <x:f>G984-L984</x:f>
        <x:v>7239.41</x:v>
      </x:c>
      <x:c r="N984" s="9" t="str">
        <x:f>IF(H984=0,"0 Current",IF(H984&lt;=30,"1 1-30",IF(H984&lt;=60,"2 31-60",IF(H984&lt;=90,"3 61-90",IF(H984&lt;=120,"4 91-120","5 121+")))))</x:f>
        <x:v>5 121+</x:v>
      </x:c>
      <x:c r="O984" s="9" t="n">
        <x:f>IF(J984&gt;0,1,0)</x:f>
        <x:v>0</x:v>
      </x:c>
    </x:row>
    <x:row r="985">
      <x:c r="A985" s="15" t="str">
        <x:v>981</x:v>
      </x:c>
      <x:c r="B985" s="9" t="str">
        <x:v>Jordan</x:v>
      </x:c>
      <x:c r="C985" s="9" t="str">
        <x:v>Medical</x:v>
      </x:c>
      <x:c r="D985" s="9" t="str">
        <x:v>Midwest</x:v>
      </x:c>
      <x:c r="E985" s="9" t="n">
        <x:v>460</x:v>
      </x:c>
      <x:c r="F985" s="11" t="n">
        <x:v>46120</x:v>
      </x:c>
      <x:c r="G985" s="13" t="n">
        <x:v>13632.51</x:v>
      </x:c>
      <x:c r="H985" s="9" t="n">
        <x:v>230</x:v>
      </x:c>
      <x:c r="I985" s="9" t="n">
        <x:v>2</x:v>
      </x:c>
      <x:c r="J985" s="9" t="n">
        <x:v>1</x:v>
      </x:c>
      <x:c r="K985" s="9" t="n">
        <x:v>0</x:v>
      </x:c>
      <x:c r="L985" s="13" t="n">
        <x:f>SUMIFS('Payments'!$D$5:$D$3014,'Payments'!$B$5:$B$3014,A985)</x:f>
        <x:v>2197</x:v>
      </x:c>
      <x:c r="M985" s="13" t="n">
        <x:f>G985-L985</x:f>
        <x:v>11435.51</x:v>
      </x:c>
      <x:c r="N985" s="9" t="str">
        <x:f>IF(H985=0,"0 Current",IF(H985&lt;=30,"1 1-30",IF(H985&lt;=60,"2 31-60",IF(H985&lt;=90,"3 61-90",IF(H985&lt;=120,"4 91-120","5 121+")))))</x:f>
        <x:v>5 121+</x:v>
      </x:c>
      <x:c r="O985" s="9" t="n">
        <x:f>IF(J985&gt;0,1,0)</x:f>
        <x:v>1</x:v>
      </x:c>
    </x:row>
    <x:row r="986">
      <x:c r="A986" s="15" t="str">
        <x:v>982</x:v>
      </x:c>
      <x:c r="B986" s="9" t="str">
        <x:v>Casey</x:v>
      </x:c>
      <x:c r="C986" s="9" t="str">
        <x:v>Medical</x:v>
      </x:c>
      <x:c r="D986" s="9" t="str">
        <x:v>Midwest</x:v>
      </x:c>
      <x:c r="E986" s="9" t="n">
        <x:v>520</x:v>
      </x:c>
      <x:c r="F986" s="11" t="n">
        <x:v>46169</x:v>
      </x:c>
      <x:c r="G986" s="13" t="n">
        <x:v>6768.45</x:v>
      </x:c>
      <x:c r="H986" s="9" t="n">
        <x:v>78</x:v>
      </x:c>
      <x:c r="I986" s="9" t="n">
        <x:v>0</x:v>
      </x:c>
      <x:c r="J986" s="9" t="n">
        <x:v>0</x:v>
      </x:c>
      <x:c r="K986" s="9" t="n">
        <x:v>0</x:v>
      </x:c>
      <x:c r="L986" s="13" t="n">
        <x:f>SUMIFS('Payments'!$D$5:$D$3014,'Payments'!$B$5:$B$3014,A986)</x:f>
        <x:v>164.8</x:v>
      </x:c>
      <x:c r="M986" s="13" t="n">
        <x:f>G986-L986</x:f>
        <x:v>6603.65</x:v>
      </x:c>
      <x:c r="N986" s="9" t="str">
        <x:f>IF(H986=0,"0 Current",IF(H986&lt;=30,"1 1-30",IF(H986&lt;=60,"2 31-60",IF(H986&lt;=90,"3 61-90",IF(H986&lt;=120,"4 91-120","5 121+")))))</x:f>
        <x:v>3 61-90</x:v>
      </x:c>
      <x:c r="O986" s="9" t="n">
        <x:f>IF(J986&gt;0,1,0)</x:f>
        <x:v>0</x:v>
      </x:c>
    </x:row>
    <x:row r="987">
      <x:c r="A987" s="15" t="str">
        <x:v>983</x:v>
      </x:c>
      <x:c r="B987" s="9" t="str">
        <x:v>Jordan</x:v>
      </x:c>
      <x:c r="C987" s="9" t="str">
        <x:v>Medical</x:v>
      </x:c>
      <x:c r="D987" s="9" t="str">
        <x:v>Midwest</x:v>
      </x:c>
      <x:c r="E987" s="9" t="n">
        <x:v>484</x:v>
      </x:c>
      <x:c r="F987" s="11" t="n">
        <x:v>46130</x:v>
      </x:c>
      <x:c r="G987" s="13" t="n">
        <x:v>2445.94</x:v>
      </x:c>
      <x:c r="H987" s="9" t="n">
        <x:v>1</x:v>
      </x:c>
      <x:c r="I987" s="9" t="n">
        <x:v>1</x:v>
      </x:c>
      <x:c r="J987" s="9" t="n">
        <x:v>0</x:v>
      </x:c>
      <x:c r="K987" s="9" t="n">
        <x:v>0</x:v>
      </x:c>
      <x:c r="L987" s="13" t="n">
        <x:f>SUMIFS('Payments'!$D$5:$D$3014,'Payments'!$B$5:$B$3014,A987)</x:f>
        <x:v>518.6</x:v>
      </x:c>
      <x:c r="M987" s="13" t="n">
        <x:f>G987-L987</x:f>
        <x:v>1927.3400000000001</x:v>
      </x:c>
      <x:c r="N987" s="9" t="str">
        <x:f>IF(H987=0,"0 Current",IF(H987&lt;=30,"1 1-30",IF(H987&lt;=60,"2 31-60",IF(H987&lt;=90,"3 61-90",IF(H987&lt;=120,"4 91-120","5 121+")))))</x:f>
        <x:v>1 1-30</x:v>
      </x:c>
      <x:c r="O987" s="9" t="n">
        <x:f>IF(J987&gt;0,1,0)</x:f>
        <x:v>0</x:v>
      </x:c>
    </x:row>
    <x:row r="988">
      <x:c r="A988" s="15" t="str">
        <x:v>984</x:v>
      </x:c>
      <x:c r="B988" s="9" t="str">
        <x:v>Riley</x:v>
      </x:c>
      <x:c r="C988" s="9" t="str">
        <x:v>Credit Card</x:v>
      </x:c>
      <x:c r="D988" s="9" t="str">
        <x:v>Midwest</x:v>
      </x:c>
      <x:c r="E988" s="9" t="n">
        <x:v>734</x:v>
      </x:c>
      <x:c r="F988" s="11" t="n">
        <x:v>46079</x:v>
      </x:c>
      <x:c r="G988" s="13" t="n">
        <x:v>6207.65</x:v>
      </x:c>
      <x:c r="H988" s="9" t="n">
        <x:v>72</x:v>
      </x:c>
      <x:c r="I988" s="9" t="n">
        <x:v>8</x:v>
      </x:c>
      <x:c r="J988" s="9" t="n">
        <x:v>3</x:v>
      </x:c>
      <x:c r="K988" s="9" t="n">
        <x:v>0</x:v>
      </x:c>
      <x:c r="L988" s="13" t="n">
        <x:f>SUMIFS('Payments'!$D$5:$D$3014,'Payments'!$B$5:$B$3014,A988)</x:f>
        <x:v>1355.76</x:v>
      </x:c>
      <x:c r="M988" s="13" t="n">
        <x:f>G988-L988</x:f>
        <x:v>4851.889999999999</x:v>
      </x:c>
      <x:c r="N988" s="9" t="str">
        <x:f>IF(H988=0,"0 Current",IF(H988&lt;=30,"1 1-30",IF(H988&lt;=60,"2 31-60",IF(H988&lt;=90,"3 61-90",IF(H988&lt;=120,"4 91-120","5 121+")))))</x:f>
        <x:v>3 61-90</x:v>
      </x:c>
      <x:c r="O988" s="9" t="n">
        <x:f>IF(J988&gt;0,1,0)</x:f>
        <x:v>1</x:v>
      </x:c>
    </x:row>
    <x:row r="989">
      <x:c r="A989" s="15" t="str">
        <x:v>985</x:v>
      </x:c>
      <x:c r="B989" s="9" t="str">
        <x:v>Taylor</x:v>
      </x:c>
      <x:c r="C989" s="9" t="str">
        <x:v>Medical</x:v>
      </x:c>
      <x:c r="D989" s="9" t="str">
        <x:v>Northeast</x:v>
      </x:c>
      <x:c r="E989" s="9" t="n">
        <x:v>677</x:v>
      </x:c>
      <x:c r="F989" s="11" t="n">
        <x:v>46068</x:v>
      </x:c>
      <x:c r="G989" s="13" t="n">
        <x:v>855.31</x:v>
      </x:c>
      <x:c r="H989" s="9" t="n">
        <x:v>117</x:v>
      </x:c>
      <x:c r="I989" s="9" t="n">
        <x:v>4</x:v>
      </x:c>
      <x:c r="J989" s="9" t="n">
        <x:v>2</x:v>
      </x:c>
      <x:c r="K989" s="9" t="n">
        <x:v>1</x:v>
      </x:c>
      <x:c r="L989" s="13" t="n">
        <x:f>SUMIFS('Payments'!$D$5:$D$3014,'Payments'!$B$5:$B$3014,A989)</x:f>
        <x:v>108.51</x:v>
      </x:c>
      <x:c r="M989" s="13" t="n">
        <x:f>G989-L989</x:f>
        <x:v>746.8</x:v>
      </x:c>
      <x:c r="N989" s="9" t="str">
        <x:f>IF(H989=0,"0 Current",IF(H989&lt;=30,"1 1-30",IF(H989&lt;=60,"2 31-60",IF(H989&lt;=90,"3 61-90",IF(H989&lt;=120,"4 91-120","5 121+")))))</x:f>
        <x:v>4 91-120</x:v>
      </x:c>
      <x:c r="O989" s="9" t="n">
        <x:f>IF(J989&gt;0,1,0)</x:f>
        <x:v>1</x:v>
      </x:c>
    </x:row>
    <x:row r="990">
      <x:c r="A990" s="15" t="str">
        <x:v>986</x:v>
      </x:c>
      <x:c r="B990" s="9" t="str">
        <x:v>Casey</x:v>
      </x:c>
      <x:c r="C990" s="9" t="str">
        <x:v>Credit Card</x:v>
      </x:c>
      <x:c r="D990" s="9" t="str">
        <x:v>South</x:v>
      </x:c>
      <x:c r="E990" s="9" t="n">
        <x:v>723</x:v>
      </x:c>
      <x:c r="F990" s="11" t="n">
        <x:v>46111</x:v>
      </x:c>
      <x:c r="G990" s="13" t="n">
        <x:v>7299.07</x:v>
      </x:c>
      <x:c r="H990" s="9" t="n">
        <x:v>46</x:v>
      </x:c>
      <x:c r="I990" s="9" t="n">
        <x:v>2</x:v>
      </x:c>
      <x:c r="J990" s="9" t="n">
        <x:v>2</x:v>
      </x:c>
      <x:c r="K990" s="9" t="n">
        <x:v>0</x:v>
      </x:c>
      <x:c r="L990" s="13" t="n">
        <x:f>SUMIFS('Payments'!$D$5:$D$3014,'Payments'!$B$5:$B$3014,A990)</x:f>
        <x:v>575.5</x:v>
      </x:c>
      <x:c r="M990" s="13" t="n">
        <x:f>G990-L990</x:f>
        <x:v>6723.57</x:v>
      </x:c>
      <x:c r="N990" s="9" t="str">
        <x:f>IF(H990=0,"0 Current",IF(H990&lt;=30,"1 1-30",IF(H990&lt;=60,"2 31-60",IF(H990&lt;=90,"3 61-90",IF(H990&lt;=120,"4 91-120","5 121+")))))</x:f>
        <x:v>2 31-60</x:v>
      </x:c>
      <x:c r="O990" s="9" t="n">
        <x:f>IF(J990&gt;0,1,0)</x:f>
        <x:v>1</x:v>
      </x:c>
    </x:row>
    <x:row r="991">
      <x:c r="A991" s="15" t="str">
        <x:v>987</x:v>
      </x:c>
      <x:c r="B991" s="9" t="str">
        <x:v>Jordan</x:v>
      </x:c>
      <x:c r="C991" s="9" t="str">
        <x:v>Credit Card</x:v>
      </x:c>
      <x:c r="D991" s="9" t="str">
        <x:v>South</x:v>
      </x:c>
      <x:c r="E991" s="9" t="n">
        <x:v>507</x:v>
      </x:c>
      <x:c r="F991" s="11" t="n">
        <x:v>46066</x:v>
      </x:c>
      <x:c r="G991" s="13" t="n">
        <x:v>3332.21</x:v>
      </x:c>
      <x:c r="H991" s="9" t="n">
        <x:v>133</x:v>
      </x:c>
      <x:c r="I991" s="9" t="n">
        <x:v>6</x:v>
      </x:c>
      <x:c r="J991" s="9" t="n">
        <x:v>2</x:v>
      </x:c>
      <x:c r="K991" s="9" t="n">
        <x:v>0</x:v>
      </x:c>
      <x:c r="L991" s="13" t="n">
        <x:f>SUMIFS('Payments'!$D$5:$D$3014,'Payments'!$B$5:$B$3014,A991)</x:f>
        <x:v>957.9300000000001</x:v>
      </x:c>
      <x:c r="M991" s="13" t="n">
        <x:f>G991-L991</x:f>
        <x:v>2374.2799999999997</x:v>
      </x:c>
      <x:c r="N991" s="9" t="str">
        <x:f>IF(H991=0,"0 Current",IF(H991&lt;=30,"1 1-30",IF(H991&lt;=60,"2 31-60",IF(H991&lt;=90,"3 61-90",IF(H991&lt;=120,"4 91-120","5 121+")))))</x:f>
        <x:v>5 121+</x:v>
      </x:c>
      <x:c r="O991" s="9" t="n">
        <x:f>IF(J991&gt;0,1,0)</x:f>
        <x:v>1</x:v>
      </x:c>
    </x:row>
    <x:row r="992">
      <x:c r="A992" s="15" t="str">
        <x:v>988</x:v>
      </x:c>
      <x:c r="B992" s="9" t="str">
        <x:v>Riley</x:v>
      </x:c>
      <x:c r="C992" s="9" t="str">
        <x:v>Credit Card</x:v>
      </x:c>
      <x:c r="D992" s="9" t="str">
        <x:v>Midwest</x:v>
      </x:c>
      <x:c r="E992" s="9" t="n">
        <x:v>708</x:v>
      </x:c>
      <x:c r="F992" s="11" t="n">
        <x:v>46047</x:v>
      </x:c>
      <x:c r="G992" s="13" t="n">
        <x:v>16510.48</x:v>
      </x:c>
      <x:c r="H992" s="9" t="n">
        <x:v>181</x:v>
      </x:c>
      <x:c r="I992" s="9" t="n">
        <x:v>5</x:v>
      </x:c>
      <x:c r="J992" s="9" t="n">
        <x:v>2</x:v>
      </x:c>
      <x:c r="K992" s="9" t="n">
        <x:v>0</x:v>
      </x:c>
      <x:c r="L992" s="13" t="n">
        <x:f>SUMIFS('Payments'!$D$5:$D$3014,'Payments'!$B$5:$B$3014,A992)</x:f>
        <x:v>0</x:v>
      </x:c>
      <x:c r="M992" s="13" t="n">
        <x:f>G992-L992</x:f>
        <x:v>16510.48</x:v>
      </x:c>
      <x:c r="N992" s="9" t="str">
        <x:f>IF(H992=0,"0 Current",IF(H992&lt;=30,"1 1-30",IF(H992&lt;=60,"2 31-60",IF(H992&lt;=90,"3 61-90",IF(H992&lt;=120,"4 91-120","5 121+")))))</x:f>
        <x:v>5 121+</x:v>
      </x:c>
      <x:c r="O992" s="9" t="n">
        <x:f>IF(J992&gt;0,1,0)</x:f>
        <x:v>1</x:v>
      </x:c>
    </x:row>
    <x:row r="993">
      <x:c r="A993" s="15" t="str">
        <x:v>989</x:v>
      </x:c>
      <x:c r="B993" s="9" t="str">
        <x:v>Casey</x:v>
      </x:c>
      <x:c r="C993" s="9" t="str">
        <x:v>Personal Loan</x:v>
      </x:c>
      <x:c r="D993" s="9" t="str">
        <x:v>Northeast</x:v>
      </x:c>
      <x:c r="E993" s="9" t="n">
        <x:v>434</x:v>
      </x:c>
      <x:c r="F993" s="11" t="n">
        <x:v>46171</x:v>
      </x:c>
      <x:c r="G993" s="13" t="n">
        <x:v>20615.54</x:v>
      </x:c>
      <x:c r="H993" s="9" t="n">
        <x:v>84</x:v>
      </x:c>
      <x:c r="I993" s="9" t="n">
        <x:v>8</x:v>
      </x:c>
      <x:c r="J993" s="9" t="n">
        <x:v>2</x:v>
      </x:c>
      <x:c r="K993" s="9" t="n">
        <x:v>0</x:v>
      </x:c>
      <x:c r="L993" s="13" t="n">
        <x:f>SUMIFS('Payments'!$D$5:$D$3014,'Payments'!$B$5:$B$3014,A993)</x:f>
        <x:v>4013.99</x:v>
      </x:c>
      <x:c r="M993" s="13" t="n">
        <x:f>G993-L993</x:f>
        <x:v>16601.550000000003</x:v>
      </x:c>
      <x:c r="N993" s="9" t="str">
        <x:f>IF(H993=0,"0 Current",IF(H993&lt;=30,"1 1-30",IF(H993&lt;=60,"2 31-60",IF(H993&lt;=90,"3 61-90",IF(H993&lt;=120,"4 91-120","5 121+")))))</x:f>
        <x:v>3 61-90</x:v>
      </x:c>
      <x:c r="O993" s="9" t="n">
        <x:f>IF(J993&gt;0,1,0)</x:f>
        <x:v>1</x:v>
      </x:c>
    </x:row>
    <x:row r="994">
      <x:c r="A994" s="15" t="str">
        <x:v>990</x:v>
      </x:c>
      <x:c r="B994" s="9" t="str">
        <x:v>Taylor</x:v>
      </x:c>
      <x:c r="C994" s="9" t="str">
        <x:v>Medical</x:v>
      </x:c>
      <x:c r="D994" s="9" t="str">
        <x:v>Northeast</x:v>
      </x:c>
      <x:c r="E994" s="9" t="n">
        <x:v>443</x:v>
      </x:c>
      <x:c r="F994" s="11" t="n">
        <x:v>46147</x:v>
      </x:c>
      <x:c r="G994" s="13" t="n">
        <x:v>12192.08</x:v>
      </x:c>
      <x:c r="H994" s="9" t="n">
        <x:v>187</x:v>
      </x:c>
      <x:c r="I994" s="9" t="n">
        <x:v>1</x:v>
      </x:c>
      <x:c r="J994" s="9" t="n">
        <x:v>0</x:v>
      </x:c>
      <x:c r="K994" s="9" t="n">
        <x:v>0</x:v>
      </x:c>
      <x:c r="L994" s="13" t="n">
        <x:f>SUMIFS('Payments'!$D$5:$D$3014,'Payments'!$B$5:$B$3014,A994)</x:f>
        <x:v>1385.99</x:v>
      </x:c>
      <x:c r="M994" s="13" t="n">
        <x:f>G994-L994</x:f>
        <x:v>10806.09</x:v>
      </x:c>
      <x:c r="N994" s="9" t="str">
        <x:f>IF(H994=0,"0 Current",IF(H994&lt;=30,"1 1-30",IF(H994&lt;=60,"2 31-60",IF(H994&lt;=90,"3 61-90",IF(H994&lt;=120,"4 91-120","5 121+")))))</x:f>
        <x:v>5 121+</x:v>
      </x:c>
      <x:c r="O994" s="9" t="n">
        <x:f>IF(J994&gt;0,1,0)</x:f>
        <x:v>0</x:v>
      </x:c>
    </x:row>
    <x:row r="995">
      <x:c r="A995" s="15" t="str">
        <x:v>991</x:v>
      </x:c>
      <x:c r="B995" s="9" t="str">
        <x:v>Riley</x:v>
      </x:c>
      <x:c r="C995" s="9" t="str">
        <x:v>Medical</x:v>
      </x:c>
      <x:c r="D995" s="9" t="str">
        <x:v>Midwest</x:v>
      </x:c>
      <x:c r="E995" s="9" t="n">
        <x:v>753</x:v>
      </x:c>
      <x:c r="F995" s="11" t="n">
        <x:v>46115</x:v>
      </x:c>
      <x:c r="G995" s="13" t="n">
        <x:v>24712.64</x:v>
      </x:c>
      <x:c r="H995" s="9" t="n">
        <x:v>179</x:v>
      </x:c>
      <x:c r="I995" s="9" t="n">
        <x:v>2</x:v>
      </x:c>
      <x:c r="J995" s="9" t="n">
        <x:v>1</x:v>
      </x:c>
      <x:c r="K995" s="9" t="n">
        <x:v>0</x:v>
      </x:c>
      <x:c r="L995" s="13" t="n">
        <x:f>SUMIFS('Payments'!$D$5:$D$3014,'Payments'!$B$5:$B$3014,A995)</x:f>
        <x:v>0</x:v>
      </x:c>
      <x:c r="M995" s="13" t="n">
        <x:f>G995-L995</x:f>
        <x:v>24712.64</x:v>
      </x:c>
      <x:c r="N995" s="9" t="str">
        <x:f>IF(H995=0,"0 Current",IF(H995&lt;=30,"1 1-30",IF(H995&lt;=60,"2 31-60",IF(H995&lt;=90,"3 61-90",IF(H995&lt;=120,"4 91-120","5 121+")))))</x:f>
        <x:v>5 121+</x:v>
      </x:c>
      <x:c r="O995" s="9" t="n">
        <x:f>IF(J995&gt;0,1,0)</x:f>
        <x:v>1</x:v>
      </x:c>
    </x:row>
    <x:row r="996">
      <x:c r="A996" s="15" t="str">
        <x:v>992</x:v>
      </x:c>
      <x:c r="B996" s="9" t="str">
        <x:v>Jordan</x:v>
      </x:c>
      <x:c r="C996" s="9" t="str">
        <x:v>Medical</x:v>
      </x:c>
      <x:c r="D996" s="9" t="str">
        <x:v>South</x:v>
      </x:c>
      <x:c r="E996" s="9" t="n">
        <x:v>812</x:v>
      </x:c>
      <x:c r="F996" s="11" t="n">
        <x:v>46076</x:v>
      </x:c>
      <x:c r="G996" s="13" t="n">
        <x:v>2626.83</x:v>
      </x:c>
      <x:c r="H996" s="9" t="n">
        <x:v>56</x:v>
      </x:c>
      <x:c r="I996" s="9" t="n">
        <x:v>7</x:v>
      </x:c>
      <x:c r="J996" s="9" t="n">
        <x:v>2</x:v>
      </x:c>
      <x:c r="K996" s="9" t="n">
        <x:v>0</x:v>
      </x:c>
      <x:c r="L996" s="13" t="n">
        <x:f>SUMIFS('Payments'!$D$5:$D$3014,'Payments'!$B$5:$B$3014,A996)</x:f>
        <x:v>52.78</x:v>
      </x:c>
      <x:c r="M996" s="13" t="n">
        <x:f>G996-L996</x:f>
        <x:v>2574.0499999999997</x:v>
      </x:c>
      <x:c r="N996" s="9" t="str">
        <x:f>IF(H996=0,"0 Current",IF(H996&lt;=30,"1 1-30",IF(H996&lt;=60,"2 31-60",IF(H996&lt;=90,"3 61-90",IF(H996&lt;=120,"4 91-120","5 121+")))))</x:f>
        <x:v>2 31-60</x:v>
      </x:c>
      <x:c r="O996" s="9" t="n">
        <x:f>IF(J996&gt;0,1,0)</x:f>
        <x:v>1</x:v>
      </x:c>
    </x:row>
    <x:row r="997">
      <x:c r="A997" s="15" t="str">
        <x:v>993</x:v>
      </x:c>
      <x:c r="B997" s="9" t="str">
        <x:v>Alex</x:v>
      </x:c>
      <x:c r="C997" s="9" t="str">
        <x:v>Credit Card</x:v>
      </x:c>
      <x:c r="D997" s="9" t="str">
        <x:v>West</x:v>
      </x:c>
      <x:c r="E997" s="9" t="n">
        <x:v>736</x:v>
      </x:c>
      <x:c r="F997" s="11" t="n">
        <x:v>46124</x:v>
      </x:c>
      <x:c r="G997" s="13" t="n">
        <x:v>8764.51</x:v>
      </x:c>
      <x:c r="H997" s="9" t="n">
        <x:v>88</x:v>
      </x:c>
      <x:c r="I997" s="9" t="n">
        <x:v>8</x:v>
      </x:c>
      <x:c r="J997" s="9" t="n">
        <x:v>4</x:v>
      </x:c>
      <x:c r="K997" s="9" t="n">
        <x:v>1</x:v>
      </x:c>
      <x:c r="L997" s="13" t="n">
        <x:f>SUMIFS('Payments'!$D$5:$D$3014,'Payments'!$B$5:$B$3014,A997)</x:f>
        <x:v>2174.0299999999997</x:v>
      </x:c>
      <x:c r="M997" s="13" t="n">
        <x:f>G997-L997</x:f>
        <x:v>6590.4800000000005</x:v>
      </x:c>
      <x:c r="N997" s="9" t="str">
        <x:f>IF(H997=0,"0 Current",IF(H997&lt;=30,"1 1-30",IF(H997&lt;=60,"2 31-60",IF(H997&lt;=90,"3 61-90",IF(H997&lt;=120,"4 91-120","5 121+")))))</x:f>
        <x:v>3 61-90</x:v>
      </x:c>
      <x:c r="O997" s="9" t="n">
        <x:f>IF(J997&gt;0,1,0)</x:f>
        <x:v>1</x:v>
      </x:c>
    </x:row>
    <x:row r="998">
      <x:c r="A998" s="15" t="str">
        <x:v>994</x:v>
      </x:c>
      <x:c r="B998" s="9" t="str">
        <x:v>Alex</x:v>
      </x:c>
      <x:c r="C998" s="9" t="str">
        <x:v>Credit Card</x:v>
      </x:c>
      <x:c r="D998" s="9" t="str">
        <x:v>Northeast</x:v>
      </x:c>
      <x:c r="E998" s="9" t="n">
        <x:v>674</x:v>
      </x:c>
      <x:c r="F998" s="11" t="n">
        <x:v>46158</x:v>
      </x:c>
      <x:c r="G998" s="13" t="n">
        <x:v>9650.7</x:v>
      </x:c>
      <x:c r="H998" s="9" t="n">
        <x:v>67</x:v>
      </x:c>
      <x:c r="I998" s="9" t="n">
        <x:v>4</x:v>
      </x:c>
      <x:c r="J998" s="9" t="n">
        <x:v>2</x:v>
      </x:c>
      <x:c r="K998" s="9" t="n">
        <x:v>1</x:v>
      </x:c>
      <x:c r="L998" s="13" t="n">
        <x:f>SUMIFS('Payments'!$D$5:$D$3014,'Payments'!$B$5:$B$3014,A998)</x:f>
        <x:v>1113.81</x:v>
      </x:c>
      <x:c r="M998" s="13" t="n">
        <x:f>G998-L998</x:f>
        <x:v>8536.890000000001</x:v>
      </x:c>
      <x:c r="N998" s="9" t="str">
        <x:f>IF(H998=0,"0 Current",IF(H998&lt;=30,"1 1-30",IF(H998&lt;=60,"2 31-60",IF(H998&lt;=90,"3 61-90",IF(H998&lt;=120,"4 91-120","5 121+")))))</x:f>
        <x:v>3 61-90</x:v>
      </x:c>
      <x:c r="O998" s="9" t="n">
        <x:f>IF(J998&gt;0,1,0)</x:f>
        <x:v>1</x:v>
      </x:c>
    </x:row>
    <x:row r="999">
      <x:c r="A999" s="15" t="str">
        <x:v>995</x:v>
      </x:c>
      <x:c r="B999" s="9" t="str">
        <x:v>Alex</x:v>
      </x:c>
      <x:c r="C999" s="9" t="str">
        <x:v>Credit Card</x:v>
      </x:c>
      <x:c r="D999" s="9" t="str">
        <x:v>Midwest</x:v>
      </x:c>
      <x:c r="E999" s="9" t="n">
        <x:v>748</x:v>
      </x:c>
      <x:c r="F999" s="11" t="n">
        <x:v>46130</x:v>
      </x:c>
      <x:c r="G999" s="13" t="n">
        <x:v>20919.88</x:v>
      </x:c>
      <x:c r="H999" s="9" t="n">
        <x:v>93</x:v>
      </x:c>
      <x:c r="I999" s="9" t="n">
        <x:v>7</x:v>
      </x:c>
      <x:c r="J999" s="9" t="n">
        <x:v>2</x:v>
      </x:c>
      <x:c r="K999" s="9" t="n">
        <x:v>1</x:v>
      </x:c>
      <x:c r="L999" s="13" t="n">
        <x:f>SUMIFS('Payments'!$D$5:$D$3014,'Payments'!$B$5:$B$3014,A999)</x:f>
        <x:v>6236.129999999999</x:v>
      </x:c>
      <x:c r="M999" s="13" t="n">
        <x:f>G999-L999</x:f>
        <x:v>14683.750000000002</x:v>
      </x:c>
      <x:c r="N999" s="9" t="str">
        <x:f>IF(H999=0,"0 Current",IF(H999&lt;=30,"1 1-30",IF(H999&lt;=60,"2 31-60",IF(H999&lt;=90,"3 61-90",IF(H999&lt;=120,"4 91-120","5 121+")))))</x:f>
        <x:v>4 91-120</x:v>
      </x:c>
      <x:c r="O999" s="9" t="n">
        <x:f>IF(J999&gt;0,1,0)</x:f>
        <x:v>1</x:v>
      </x:c>
    </x:row>
    <x:row r="1000">
      <x:c r="A1000" s="15" t="str">
        <x:v>996</x:v>
      </x:c>
      <x:c r="B1000" s="9" t="str">
        <x:v>Morgan</x:v>
      </x:c>
      <x:c r="C1000" s="9" t="str">
        <x:v>Auto</x:v>
      </x:c>
      <x:c r="D1000" s="9" t="str">
        <x:v>Midwest</x:v>
      </x:c>
      <x:c r="E1000" s="9" t="n">
        <x:v>667</x:v>
      </x:c>
      <x:c r="F1000" s="11" t="n">
        <x:v>46032</x:v>
      </x:c>
      <x:c r="G1000" s="13" t="n">
        <x:v>18995.84</x:v>
      </x:c>
      <x:c r="H1000" s="9" t="n">
        <x:v>50</x:v>
      </x:c>
      <x:c r="I1000" s="9" t="n">
        <x:v>6</x:v>
      </x:c>
      <x:c r="J1000" s="9" t="n">
        <x:v>2</x:v>
      </x:c>
      <x:c r="K1000" s="9" t="n">
        <x:v>0</x:v>
      </x:c>
      <x:c r="L1000" s="13" t="n">
        <x:f>SUMIFS('Payments'!$D$5:$D$3014,'Payments'!$B$5:$B$3014,A1000)</x:f>
        <x:v>3485.37</x:v>
      </x:c>
      <x:c r="M1000" s="13" t="n">
        <x:f>G1000-L1000</x:f>
        <x:v>15510.470000000001</x:v>
      </x:c>
      <x:c r="N1000" s="9" t="str">
        <x:f>IF(H1000=0,"0 Current",IF(H1000&lt;=30,"1 1-30",IF(H1000&lt;=60,"2 31-60",IF(H1000&lt;=90,"3 61-90",IF(H1000&lt;=120,"4 91-120","5 121+")))))</x:f>
        <x:v>2 31-60</x:v>
      </x:c>
      <x:c r="O1000" s="9" t="n">
        <x:f>IF(J1000&gt;0,1,0)</x:f>
        <x:v>1</x:v>
      </x:c>
    </x:row>
    <x:row r="1001">
      <x:c r="A1001" s="15" t="str">
        <x:v>997</x:v>
      </x:c>
      <x:c r="B1001" s="9" t="str">
        <x:v>Casey</x:v>
      </x:c>
      <x:c r="C1001" s="9" t="str">
        <x:v>Auto</x:v>
      </x:c>
      <x:c r="D1001" s="9" t="str">
        <x:v>South</x:v>
      </x:c>
      <x:c r="E1001" s="9" t="n">
        <x:v>770</x:v>
      </x:c>
      <x:c r="F1001" s="11" t="n">
        <x:v>46060</x:v>
      </x:c>
      <x:c r="G1001" s="13" t="n">
        <x:v>11225.94</x:v>
      </x:c>
      <x:c r="H1001" s="9" t="n">
        <x:v>170</x:v>
      </x:c>
      <x:c r="I1001" s="9" t="n">
        <x:v>5</x:v>
      </x:c>
      <x:c r="J1001" s="9" t="n">
        <x:v>4</x:v>
      </x:c>
      <x:c r="K1001" s="9" t="n">
        <x:v>1</x:v>
      </x:c>
      <x:c r="L1001" s="13" t="n">
        <x:f>SUMIFS('Payments'!$D$5:$D$3014,'Payments'!$B$5:$B$3014,A1001)</x:f>
        <x:v>910.52</x:v>
      </x:c>
      <x:c r="M1001" s="13" t="n">
        <x:f>G1001-L1001</x:f>
        <x:v>10315.42</x:v>
      </x:c>
      <x:c r="N1001" s="9" t="str">
        <x:f>IF(H1001=0,"0 Current",IF(H1001&lt;=30,"1 1-30",IF(H1001&lt;=60,"2 31-60",IF(H1001&lt;=90,"3 61-90",IF(H1001&lt;=120,"4 91-120","5 121+")))))</x:f>
        <x:v>5 121+</x:v>
      </x:c>
      <x:c r="O1001" s="9" t="n">
        <x:f>IF(J1001&gt;0,1,0)</x:f>
        <x:v>1</x:v>
      </x:c>
    </x:row>
    <x:row r="1002">
      <x:c r="A1002" s="15" t="str">
        <x:v>998</x:v>
      </x:c>
      <x:c r="B1002" s="9" t="str">
        <x:v>Casey</x:v>
      </x:c>
      <x:c r="C1002" s="9" t="str">
        <x:v>Medical</x:v>
      </x:c>
      <x:c r="D1002" s="9" t="str">
        <x:v>West</x:v>
      </x:c>
      <x:c r="E1002" s="9" t="n">
        <x:v>572</x:v>
      </x:c>
      <x:c r="F1002" s="11" t="n">
        <x:v>46048</x:v>
      </x:c>
      <x:c r="G1002" s="13" t="n">
        <x:v>17594.46</x:v>
      </x:c>
      <x:c r="H1002" s="9" t="n">
        <x:v>185</x:v>
      </x:c>
      <x:c r="I1002" s="9" t="n">
        <x:v>6</x:v>
      </x:c>
      <x:c r="J1002" s="9" t="n">
        <x:v>3</x:v>
      </x:c>
      <x:c r="K1002" s="9" t="n">
        <x:v>1</x:v>
      </x:c>
      <x:c r="L1002" s="13" t="n">
        <x:f>SUMIFS('Payments'!$D$5:$D$3014,'Payments'!$B$5:$B$3014,A1002)</x:f>
        <x:v>3896.25</x:v>
      </x:c>
      <x:c r="M1002" s="13" t="n">
        <x:f>G1002-L1002</x:f>
        <x:v>13698.21</x:v>
      </x:c>
      <x:c r="N1002" s="9" t="str">
        <x:f>IF(H1002=0,"0 Current",IF(H1002&lt;=30,"1 1-30",IF(H1002&lt;=60,"2 31-60",IF(H1002&lt;=90,"3 61-90",IF(H1002&lt;=120,"4 91-120","5 121+")))))</x:f>
        <x:v>5 121+</x:v>
      </x:c>
      <x:c r="O1002" s="9" t="n">
        <x:f>IF(J1002&gt;0,1,0)</x:f>
        <x:v>1</x:v>
      </x:c>
    </x:row>
    <x:row r="1003">
      <x:c r="A1003" s="15" t="str">
        <x:v>999</x:v>
      </x:c>
      <x:c r="B1003" s="9" t="str">
        <x:v>Casey</x:v>
      </x:c>
      <x:c r="C1003" s="9" t="str">
        <x:v>Personal Loan</x:v>
      </x:c>
      <x:c r="D1003" s="9" t="str">
        <x:v>West</x:v>
      </x:c>
      <x:c r="E1003" s="9" t="n">
        <x:v>457</x:v>
      </x:c>
      <x:c r="F1003" s="11" t="n">
        <x:v>46083</x:v>
      </x:c>
      <x:c r="G1003" s="13" t="n">
        <x:v>9933.52</x:v>
      </x:c>
      <x:c r="H1003" s="9" t="n">
        <x:v>51</x:v>
      </x:c>
      <x:c r="I1003" s="9" t="n">
        <x:v>3</x:v>
      </x:c>
      <x:c r="J1003" s="9" t="n">
        <x:v>0</x:v>
      </x:c>
      <x:c r="K1003" s="9" t="n">
        <x:v>0</x:v>
      </x:c>
      <x:c r="L1003" s="13" t="n">
        <x:f>SUMIFS('Payments'!$D$5:$D$3014,'Payments'!$B$5:$B$3014,A1003)</x:f>
        <x:v>0</x:v>
      </x:c>
      <x:c r="M1003" s="13" t="n">
        <x:f>G1003-L1003</x:f>
        <x:v>9933.52</x:v>
      </x:c>
      <x:c r="N1003" s="9" t="str">
        <x:f>IF(H1003=0,"0 Current",IF(H1003&lt;=30,"1 1-30",IF(H1003&lt;=60,"2 31-60",IF(H1003&lt;=90,"3 61-90",IF(H1003&lt;=120,"4 91-120","5 121+")))))</x:f>
        <x:v>2 31-60</x:v>
      </x:c>
      <x:c r="O1003" s="9" t="n">
        <x:f>IF(J1003&gt;0,1,0)</x:f>
        <x:v>0</x:v>
      </x:c>
    </x:row>
    <x:row r="1004">
      <x:c r="A1004" s="15" t="str">
        <x:v>1000</x:v>
      </x:c>
      <x:c r="B1004" s="9" t="str">
        <x:v>Jordan</x:v>
      </x:c>
      <x:c r="C1004" s="9" t="str">
        <x:v>Personal Loan</x:v>
      </x:c>
      <x:c r="D1004" s="9" t="str">
        <x:v>Northeast</x:v>
      </x:c>
      <x:c r="E1004" s="9" t="n">
        <x:v>500</x:v>
      </x:c>
      <x:c r="F1004" s="11" t="n">
        <x:v>46126</x:v>
      </x:c>
      <x:c r="G1004" s="13" t="n">
        <x:v>1673.96</x:v>
      </x:c>
      <x:c r="H1004" s="9" t="n">
        <x:v>94</x:v>
      </x:c>
      <x:c r="I1004" s="9" t="n">
        <x:v>6</x:v>
      </x:c>
      <x:c r="J1004" s="9" t="n">
        <x:v>5</x:v>
      </x:c>
      <x:c r="K1004" s="9" t="n">
        <x:v>1</x:v>
      </x:c>
      <x:c r="L1004" s="13" t="n">
        <x:f>SUMIFS('Payments'!$D$5:$D$3014,'Payments'!$B$5:$B$3014,A1004)</x:f>
        <x:v>354.32</x:v>
      </x:c>
      <x:c r="M1004" s="13" t="n">
        <x:f>G1004-L1004</x:f>
        <x:v>1319.64</x:v>
      </x:c>
      <x:c r="N1004" s="9" t="str">
        <x:f>IF(H1004=0,"0 Current",IF(H1004&lt;=30,"1 1-30",IF(H1004&lt;=60,"2 31-60",IF(H1004&lt;=90,"3 61-90",IF(H1004&lt;=120,"4 91-120","5 121+")))))</x:f>
        <x:v>4 91-120</x:v>
      </x:c>
      <x:c r="O1004" s="9" t="n">
        <x:f>IF(J1004&gt;0,1,0)</x:f>
        <x:v>1</x:v>
      </x:c>
    </x:row>
    <x:row r="1005">
      <x:c r="A1005" s="15" t="str">
        <x:v>1001</x:v>
      </x:c>
      <x:c r="B1005" s="9" t="str">
        <x:v>Morgan</x:v>
      </x:c>
      <x:c r="C1005" s="9" t="str">
        <x:v>Auto</x:v>
      </x:c>
      <x:c r="D1005" s="9" t="str">
        <x:v>West</x:v>
      </x:c>
      <x:c r="E1005" s="9" t="n">
        <x:v>632</x:v>
      </x:c>
      <x:c r="F1005" s="11" t="n">
        <x:v>46092</x:v>
      </x:c>
      <x:c r="G1005" s="13" t="n">
        <x:v>16984.76</x:v>
      </x:c>
      <x:c r="H1005" s="9" t="n">
        <x:v>206</x:v>
      </x:c>
      <x:c r="I1005" s="9" t="n">
        <x:v>6</x:v>
      </x:c>
      <x:c r="J1005" s="9" t="n">
        <x:v>2</x:v>
      </x:c>
      <x:c r="K1005" s="9" t="n">
        <x:v>1</x:v>
      </x:c>
      <x:c r="L1005" s="13" t="n">
        <x:f>SUMIFS('Payments'!$D$5:$D$3014,'Payments'!$B$5:$B$3014,A1005)</x:f>
        <x:v>0</x:v>
      </x:c>
      <x:c r="M1005" s="13" t="n">
        <x:f>G1005-L1005</x:f>
        <x:v>16984.76</x:v>
      </x:c>
      <x:c r="N1005" s="9" t="str">
        <x:f>IF(H1005=0,"0 Current",IF(H1005&lt;=30,"1 1-30",IF(H1005&lt;=60,"2 31-60",IF(H1005&lt;=90,"3 61-90",IF(H1005&lt;=120,"4 91-120","5 121+")))))</x:f>
        <x:v>5 121+</x:v>
      </x:c>
      <x:c r="O1005" s="9" t="n">
        <x:f>IF(J1005&gt;0,1,0)</x:f>
        <x:v>1</x:v>
      </x:c>
    </x:row>
    <x:row r="1006">
      <x:c r="A1006" s="15" t="str">
        <x:v>1002</x:v>
      </x:c>
      <x:c r="B1006" s="9" t="str">
        <x:v>Alex</x:v>
      </x:c>
      <x:c r="C1006" s="9" t="str">
        <x:v>Personal Loan</x:v>
      </x:c>
      <x:c r="D1006" s="9" t="str">
        <x:v>West</x:v>
      </x:c>
      <x:c r="E1006" s="9" t="n">
        <x:v>657</x:v>
      </x:c>
      <x:c r="F1006" s="11" t="n">
        <x:v>46101</x:v>
      </x:c>
      <x:c r="G1006" s="13" t="n">
        <x:v>21808.97</x:v>
      </x:c>
      <x:c r="H1006" s="9" t="n">
        <x:v>47</x:v>
      </x:c>
      <x:c r="I1006" s="9" t="n">
        <x:v>4</x:v>
      </x:c>
      <x:c r="J1006" s="9" t="n">
        <x:v>1</x:v>
      </x:c>
      <x:c r="K1006" s="9" t="n">
        <x:v>0</x:v>
      </x:c>
      <x:c r="L1006" s="13" t="n">
        <x:f>SUMIFS('Payments'!$D$5:$D$3014,'Payments'!$B$5:$B$3014,A1006)</x:f>
        <x:v>4722.88</x:v>
      </x:c>
      <x:c r="M1006" s="13" t="n">
        <x:f>G1006-L1006</x:f>
        <x:v>17086.09</x:v>
      </x:c>
      <x:c r="N1006" s="9" t="str">
        <x:f>IF(H1006=0,"0 Current",IF(H1006&lt;=30,"1 1-30",IF(H1006&lt;=60,"2 31-60",IF(H1006&lt;=90,"3 61-90",IF(H1006&lt;=120,"4 91-120","5 121+")))))</x:f>
        <x:v>2 31-60</x:v>
      </x:c>
      <x:c r="O1006" s="9" t="n">
        <x:f>IF(J1006&gt;0,1,0)</x:f>
        <x:v>1</x:v>
      </x:c>
    </x:row>
    <x:row r="1007">
      <x:c r="A1007" s="15" t="str">
        <x:v>1003</x:v>
      </x:c>
      <x:c r="B1007" s="9" t="str">
        <x:v>Casey</x:v>
      </x:c>
      <x:c r="C1007" s="9" t="str">
        <x:v>Auto</x:v>
      </x:c>
      <x:c r="D1007" s="9" t="str">
        <x:v>South</x:v>
      </x:c>
      <x:c r="E1007" s="9" t="n">
        <x:v>594</x:v>
      </x:c>
      <x:c r="F1007" s="11" t="n">
        <x:v>46053</x:v>
      </x:c>
      <x:c r="G1007" s="13" t="n">
        <x:v>11644.05</x:v>
      </x:c>
      <x:c r="H1007" s="9" t="n">
        <x:v>31</x:v>
      </x:c>
      <x:c r="I1007" s="9" t="n">
        <x:v>3</x:v>
      </x:c>
      <x:c r="J1007" s="9" t="n">
        <x:v>2</x:v>
      </x:c>
      <x:c r="K1007" s="9" t="n">
        <x:v>1</x:v>
      </x:c>
      <x:c r="L1007" s="13" t="n">
        <x:f>SUMIFS('Payments'!$D$5:$D$3014,'Payments'!$B$5:$B$3014,A1007)</x:f>
        <x:v>1585.26</x:v>
      </x:c>
      <x:c r="M1007" s="13" t="n">
        <x:f>G1007-L1007</x:f>
        <x:v>10058.789999999999</x:v>
      </x:c>
      <x:c r="N1007" s="9" t="str">
        <x:f>IF(H1007=0,"0 Current",IF(H1007&lt;=30,"1 1-30",IF(H1007&lt;=60,"2 31-60",IF(H1007&lt;=90,"3 61-90",IF(H1007&lt;=120,"4 91-120","5 121+")))))</x:f>
        <x:v>2 31-60</x:v>
      </x:c>
      <x:c r="O1007" s="9" t="n">
        <x:f>IF(J1007&gt;0,1,0)</x:f>
        <x:v>1</x:v>
      </x:c>
    </x:row>
    <x:row r="1008">
      <x:c r="A1008" s="15" t="str">
        <x:v>1004</x:v>
      </x:c>
      <x:c r="B1008" s="9" t="str">
        <x:v>Casey</x:v>
      </x:c>
      <x:c r="C1008" s="9" t="str">
        <x:v>Credit Card</x:v>
      </x:c>
      <x:c r="D1008" s="9" t="str">
        <x:v>South</x:v>
      </x:c>
      <x:c r="E1008" s="9" t="n">
        <x:v>580</x:v>
      </x:c>
      <x:c r="F1008" s="11" t="n">
        <x:v>46104</x:v>
      </x:c>
      <x:c r="G1008" s="13" t="n">
        <x:v>13458.14</x:v>
      </x:c>
      <x:c r="H1008" s="9" t="n">
        <x:v>115</x:v>
      </x:c>
      <x:c r="I1008" s="9" t="n">
        <x:v>8</x:v>
      </x:c>
      <x:c r="J1008" s="9" t="n">
        <x:v>3</x:v>
      </x:c>
      <x:c r="K1008" s="9" t="n">
        <x:v>1</x:v>
      </x:c>
      <x:c r="L1008" s="13" t="n">
        <x:f>SUMIFS('Payments'!$D$5:$D$3014,'Payments'!$B$5:$B$3014,A1008)</x:f>
        <x:v>2642.7299999999996</x:v>
      </x:c>
      <x:c r="M1008" s="13" t="n">
        <x:f>G1008-L1008</x:f>
        <x:v>10815.41</x:v>
      </x:c>
      <x:c r="N1008" s="9" t="str">
        <x:f>IF(H1008=0,"0 Current",IF(H1008&lt;=30,"1 1-30",IF(H1008&lt;=60,"2 31-60",IF(H1008&lt;=90,"3 61-90",IF(H1008&lt;=120,"4 91-120","5 121+")))))</x:f>
        <x:v>4 91-120</x:v>
      </x:c>
      <x:c r="O1008" s="9" t="n">
        <x:f>IF(J1008&gt;0,1,0)</x:f>
        <x:v>1</x:v>
      </x:c>
    </x:row>
    <x:row r="1009">
      <x:c r="A1009" s="15" t="str">
        <x:v>1005</x:v>
      </x:c>
      <x:c r="B1009" s="9" t="str">
        <x:v>Jordan</x:v>
      </x:c>
      <x:c r="C1009" s="9" t="str">
        <x:v>Personal Loan</x:v>
      </x:c>
      <x:c r="D1009" s="9" t="str">
        <x:v>Midwest</x:v>
      </x:c>
      <x:c r="E1009" s="9" t="n">
        <x:v>795</x:v>
      </x:c>
      <x:c r="F1009" s="11" t="n">
        <x:v>46063</x:v>
      </x:c>
      <x:c r="G1009" s="13" t="n">
        <x:v>9270.92</x:v>
      </x:c>
      <x:c r="H1009" s="9" t="n">
        <x:v>189</x:v>
      </x:c>
      <x:c r="I1009" s="9" t="n">
        <x:v>7</x:v>
      </x:c>
      <x:c r="J1009" s="9" t="n">
        <x:v>3</x:v>
      </x:c>
      <x:c r="K1009" s="9" t="n">
        <x:v>0</x:v>
      </x:c>
      <x:c r="L1009" s="13" t="n">
        <x:f>SUMIFS('Payments'!$D$5:$D$3014,'Payments'!$B$5:$B$3014,A1009)</x:f>
        <x:v>577.47</x:v>
      </x:c>
      <x:c r="M1009" s="13" t="n">
        <x:f>G1009-L1009</x:f>
        <x:v>8693.45</x:v>
      </x:c>
      <x:c r="N1009" s="9" t="str">
        <x:f>IF(H1009=0,"0 Current",IF(H1009&lt;=30,"1 1-30",IF(H1009&lt;=60,"2 31-60",IF(H1009&lt;=90,"3 61-90",IF(H1009&lt;=120,"4 91-120","5 121+")))))</x:f>
        <x:v>5 121+</x:v>
      </x:c>
      <x:c r="O1009" s="9" t="n">
        <x:f>IF(J1009&gt;0,1,0)</x:f>
        <x:v>1</x:v>
      </x:c>
    </x:row>
    <x:row r="1010">
      <x:c r="A1010" s="15" t="str">
        <x:v>1006</x:v>
      </x:c>
      <x:c r="B1010" s="9" t="str">
        <x:v>Morgan</x:v>
      </x:c>
      <x:c r="C1010" s="9" t="str">
        <x:v>Medical</x:v>
      </x:c>
      <x:c r="D1010" s="9" t="str">
        <x:v>Midwest</x:v>
      </x:c>
      <x:c r="E1010" s="9" t="n">
        <x:v>624</x:v>
      </x:c>
      <x:c r="F1010" s="11" t="n">
        <x:v>46136</x:v>
      </x:c>
      <x:c r="G1010" s="13" t="n">
        <x:v>19911.2</x:v>
      </x:c>
      <x:c r="H1010" s="9" t="n">
        <x:v>147</x:v>
      </x:c>
      <x:c r="I1010" s="9" t="n">
        <x:v>0</x:v>
      </x:c>
      <x:c r="J1010" s="9" t="n">
        <x:v>0</x:v>
      </x:c>
      <x:c r="K1010" s="9" t="n">
        <x:v>0</x:v>
      </x:c>
      <x:c r="L1010" s="13" t="n">
        <x:f>SUMIFS('Payments'!$D$5:$D$3014,'Payments'!$B$5:$B$3014,A1010)</x:f>
        <x:v>2656.72</x:v>
      </x:c>
      <x:c r="M1010" s="13" t="n">
        <x:f>G1010-L1010</x:f>
        <x:v>17254.48</x:v>
      </x:c>
      <x:c r="N1010" s="9" t="str">
        <x:f>IF(H1010=0,"0 Current",IF(H1010&lt;=30,"1 1-30",IF(H1010&lt;=60,"2 31-60",IF(H1010&lt;=90,"3 61-90",IF(H1010&lt;=120,"4 91-120","5 121+")))))</x:f>
        <x:v>5 121+</x:v>
      </x:c>
      <x:c r="O1010" s="9" t="n">
        <x:f>IF(J1010&gt;0,1,0)</x:f>
        <x:v>0</x:v>
      </x:c>
    </x:row>
    <x:row r="1011">
      <x:c r="A1011" s="15" t="str">
        <x:v>1007</x:v>
      </x:c>
      <x:c r="B1011" s="9" t="str">
        <x:v>Alex</x:v>
      </x:c>
      <x:c r="C1011" s="9" t="str">
        <x:v>Credit Card</x:v>
      </x:c>
      <x:c r="D1011" s="9" t="str">
        <x:v>South</x:v>
      </x:c>
      <x:c r="E1011" s="9" t="n">
        <x:v>809</x:v>
      </x:c>
      <x:c r="F1011" s="11" t="n">
        <x:v>46051</x:v>
      </x:c>
      <x:c r="G1011" s="13" t="n">
        <x:v>12187.73</x:v>
      </x:c>
      <x:c r="H1011" s="9" t="n">
        <x:v>236</x:v>
      </x:c>
      <x:c r="I1011" s="9" t="n">
        <x:v>0</x:v>
      </x:c>
      <x:c r="J1011" s="9" t="n">
        <x:v>0</x:v>
      </x:c>
      <x:c r="K1011" s="9" t="n">
        <x:v>0</x:v>
      </x:c>
      <x:c r="L1011" s="13" t="n">
        <x:f>SUMIFS('Payments'!$D$5:$D$3014,'Payments'!$B$5:$B$3014,A1011)</x:f>
        <x:v>1827.5</x:v>
      </x:c>
      <x:c r="M1011" s="13" t="n">
        <x:f>G1011-L1011</x:f>
        <x:v>10360.23</x:v>
      </x:c>
      <x:c r="N1011" s="9" t="str">
        <x:f>IF(H1011=0,"0 Current",IF(H1011&lt;=30,"1 1-30",IF(H1011&lt;=60,"2 31-60",IF(H1011&lt;=90,"3 61-90",IF(H1011&lt;=120,"4 91-120","5 121+")))))</x:f>
        <x:v>5 121+</x:v>
      </x:c>
      <x:c r="O1011" s="9" t="n">
        <x:f>IF(J1011&gt;0,1,0)</x:f>
        <x:v>0</x:v>
      </x:c>
    </x:row>
    <x:row r="1012">
      <x:c r="A1012" s="15" t="str">
        <x:v>1008</x:v>
      </x:c>
      <x:c r="B1012" s="9" t="str">
        <x:v>Taylor</x:v>
      </x:c>
      <x:c r="C1012" s="9" t="str">
        <x:v>Credit Card</x:v>
      </x:c>
      <x:c r="D1012" s="9" t="str">
        <x:v>Midwest</x:v>
      </x:c>
      <x:c r="E1012" s="9" t="n">
        <x:v>683</x:v>
      </x:c>
      <x:c r="F1012" s="11" t="n">
        <x:v>46117</x:v>
      </x:c>
      <x:c r="G1012" s="13" t="n">
        <x:v>14151.77</x:v>
      </x:c>
      <x:c r="H1012" s="9" t="n">
        <x:v>9</x:v>
      </x:c>
      <x:c r="I1012" s="9" t="n">
        <x:v>2</x:v>
      </x:c>
      <x:c r="J1012" s="9" t="n">
        <x:v>2</x:v>
      </x:c>
      <x:c r="K1012" s="9" t="n">
        <x:v>0</x:v>
      </x:c>
      <x:c r="L1012" s="13" t="n">
        <x:f>SUMIFS('Payments'!$D$5:$D$3014,'Payments'!$B$5:$B$3014,A1012)</x:f>
        <x:v>0</x:v>
      </x:c>
      <x:c r="M1012" s="13" t="n">
        <x:f>G1012-L1012</x:f>
        <x:v>14151.77</x:v>
      </x:c>
      <x:c r="N1012" s="9" t="str">
        <x:f>IF(H1012=0,"0 Current",IF(H1012&lt;=30,"1 1-30",IF(H1012&lt;=60,"2 31-60",IF(H1012&lt;=90,"3 61-90",IF(H1012&lt;=120,"4 91-120","5 121+")))))</x:f>
        <x:v>1 1-30</x:v>
      </x:c>
      <x:c r="O1012" s="9" t="n">
        <x:f>IF(J1012&gt;0,1,0)</x:f>
        <x:v>1</x:v>
      </x:c>
    </x:row>
    <x:row r="1013">
      <x:c r="A1013" s="15" t="str">
        <x:v>1009</x:v>
      </x:c>
      <x:c r="B1013" s="9" t="str">
        <x:v>Casey</x:v>
      </x:c>
      <x:c r="C1013" s="9" t="str">
        <x:v>Personal Loan</x:v>
      </x:c>
      <x:c r="D1013" s="9" t="str">
        <x:v>Northeast</x:v>
      </x:c>
      <x:c r="E1013" s="9" t="n">
        <x:v>583</x:v>
      </x:c>
      <x:c r="F1013" s="11" t="n">
        <x:v>46039</x:v>
      </x:c>
      <x:c r="G1013" s="13" t="n">
        <x:v>13468.31</x:v>
      </x:c>
      <x:c r="H1013" s="9" t="n">
        <x:v>118</x:v>
      </x:c>
      <x:c r="I1013" s="9" t="n">
        <x:v>0</x:v>
      </x:c>
      <x:c r="J1013" s="9" t="n">
        <x:v>0</x:v>
      </x:c>
      <x:c r="K1013" s="9" t="n">
        <x:v>0</x:v>
      </x:c>
      <x:c r="L1013" s="13" t="n">
        <x:f>SUMIFS('Payments'!$D$5:$D$3014,'Payments'!$B$5:$B$3014,A1013)</x:f>
        <x:v>324.35</x:v>
      </x:c>
      <x:c r="M1013" s="13" t="n">
        <x:f>G1013-L1013</x:f>
        <x:v>13143.96</x:v>
      </x:c>
      <x:c r="N1013" s="9" t="str">
        <x:f>IF(H1013=0,"0 Current",IF(H1013&lt;=30,"1 1-30",IF(H1013&lt;=60,"2 31-60",IF(H1013&lt;=90,"3 61-90",IF(H1013&lt;=120,"4 91-120","5 121+")))))</x:f>
        <x:v>4 91-120</x:v>
      </x:c>
      <x:c r="O1013" s="9" t="n">
        <x:f>IF(J1013&gt;0,1,0)</x:f>
        <x:v>0</x:v>
      </x:c>
    </x:row>
    <x:row r="1014">
      <x:c r="A1014" s="15" t="str">
        <x:v>1010</x:v>
      </x:c>
      <x:c r="B1014" s="9" t="str">
        <x:v>Riley</x:v>
      </x:c>
      <x:c r="C1014" s="9" t="str">
        <x:v>Credit Card</x:v>
      </x:c>
      <x:c r="D1014" s="9" t="str">
        <x:v>South</x:v>
      </x:c>
      <x:c r="E1014" s="9" t="n">
        <x:v>658</x:v>
      </x:c>
      <x:c r="F1014" s="11" t="n">
        <x:v>46100</x:v>
      </x:c>
      <x:c r="G1014" s="13" t="n">
        <x:v>10008.87</x:v>
      </x:c>
      <x:c r="H1014" s="9" t="n">
        <x:v>196</x:v>
      </x:c>
      <x:c r="I1014" s="9" t="n">
        <x:v>8</x:v>
      </x:c>
      <x:c r="J1014" s="9" t="n">
        <x:v>6</x:v>
      </x:c>
      <x:c r="K1014" s="9" t="n">
        <x:v>1</x:v>
      </x:c>
      <x:c r="L1014" s="13" t="n">
        <x:f>SUMIFS('Payments'!$D$5:$D$3014,'Payments'!$B$5:$B$3014,A1014)</x:f>
        <x:v>1010.16</x:v>
      </x:c>
      <x:c r="M1014" s="13" t="n">
        <x:f>G1014-L1014</x:f>
        <x:v>8998.710000000001</x:v>
      </x:c>
      <x:c r="N1014" s="9" t="str">
        <x:f>IF(H1014=0,"0 Current",IF(H1014&lt;=30,"1 1-30",IF(H1014&lt;=60,"2 31-60",IF(H1014&lt;=90,"3 61-90",IF(H1014&lt;=120,"4 91-120","5 121+")))))</x:f>
        <x:v>5 121+</x:v>
      </x:c>
      <x:c r="O1014" s="9" t="n">
        <x:f>IF(J1014&gt;0,1,0)</x:f>
        <x:v>1</x:v>
      </x:c>
    </x:row>
    <x:row r="1015">
      <x:c r="A1015" s="15" t="str">
        <x:v>1011</x:v>
      </x:c>
      <x:c r="B1015" s="9" t="str">
        <x:v>Riley</x:v>
      </x:c>
      <x:c r="C1015" s="9" t="str">
        <x:v>Auto</x:v>
      </x:c>
      <x:c r="D1015" s="9" t="str">
        <x:v>Northeast</x:v>
      </x:c>
      <x:c r="E1015" s="9" t="n">
        <x:v>556</x:v>
      </x:c>
      <x:c r="F1015" s="11" t="n">
        <x:v>46029</x:v>
      </x:c>
      <x:c r="G1015" s="13" t="n">
        <x:v>8321.83</x:v>
      </x:c>
      <x:c r="H1015" s="9" t="n">
        <x:v>200</x:v>
      </x:c>
      <x:c r="I1015" s="9" t="n">
        <x:v>5</x:v>
      </x:c>
      <x:c r="J1015" s="9" t="n">
        <x:v>2</x:v>
      </x:c>
      <x:c r="K1015" s="9" t="n">
        <x:v>0</x:v>
      </x:c>
      <x:c r="L1015" s="13" t="n">
        <x:f>SUMIFS('Payments'!$D$5:$D$3014,'Payments'!$B$5:$B$3014,A1015)</x:f>
        <x:v>460.84</x:v>
      </x:c>
      <x:c r="M1015" s="13" t="n">
        <x:f>G1015-L1015</x:f>
        <x:v>7860.99</x:v>
      </x:c>
      <x:c r="N1015" s="9" t="str">
        <x:f>IF(H1015=0,"0 Current",IF(H1015&lt;=30,"1 1-30",IF(H1015&lt;=60,"2 31-60",IF(H1015&lt;=90,"3 61-90",IF(H1015&lt;=120,"4 91-120","5 121+")))))</x:f>
        <x:v>5 121+</x:v>
      </x:c>
      <x:c r="O1015" s="9" t="n">
        <x:f>IF(J1015&gt;0,1,0)</x:f>
        <x:v>1</x:v>
      </x:c>
    </x:row>
    <x:row r="1016">
      <x:c r="A1016" s="15" t="str">
        <x:v>1012</x:v>
      </x:c>
      <x:c r="B1016" s="9" t="str">
        <x:v>Riley</x:v>
      </x:c>
      <x:c r="C1016" s="9" t="str">
        <x:v>Medical</x:v>
      </x:c>
      <x:c r="D1016" s="9" t="str">
        <x:v>West</x:v>
      </x:c>
      <x:c r="E1016" s="9" t="n">
        <x:v>546</x:v>
      </x:c>
      <x:c r="F1016" s="11" t="n">
        <x:v>46071</x:v>
      </x:c>
      <x:c r="G1016" s="13" t="n">
        <x:v>22403.17</x:v>
      </x:c>
      <x:c r="H1016" s="9" t="n">
        <x:v>0</x:v>
      </x:c>
      <x:c r="I1016" s="9" t="n">
        <x:v>3</x:v>
      </x:c>
      <x:c r="J1016" s="9" t="n">
        <x:v>1</x:v>
      </x:c>
      <x:c r="K1016" s="9" t="n">
        <x:v>1</x:v>
      </x:c>
      <x:c r="L1016" s="13" t="n">
        <x:f>SUMIFS('Payments'!$D$5:$D$3014,'Payments'!$B$5:$B$3014,A1016)</x:f>
        <x:v>3090.49</x:v>
      </x:c>
      <x:c r="M1016" s="13" t="n">
        <x:f>G1016-L1016</x:f>
        <x:v>19312.68</x:v>
      </x:c>
      <x:c r="N1016" s="9" t="str">
        <x:f>IF(H1016=0,"0 Current",IF(H1016&lt;=30,"1 1-30",IF(H1016&lt;=60,"2 31-60",IF(H1016&lt;=90,"3 61-90",IF(H1016&lt;=120,"4 91-120","5 121+")))))</x:f>
        <x:v>0 Current</x:v>
      </x:c>
      <x:c r="O1016" s="9" t="n">
        <x:f>IF(J1016&gt;0,1,0)</x:f>
        <x:v>1</x:v>
      </x:c>
    </x:row>
    <x:row r="1017">
      <x:c r="A1017" s="15" t="str">
        <x:v>1013</x:v>
      </x:c>
      <x:c r="B1017" s="9" t="str">
        <x:v>Alex</x:v>
      </x:c>
      <x:c r="C1017" s="9" t="str">
        <x:v>Credit Card</x:v>
      </x:c>
      <x:c r="D1017" s="9" t="str">
        <x:v>South</x:v>
      </x:c>
      <x:c r="E1017" s="9" t="n">
        <x:v>469</x:v>
      </x:c>
      <x:c r="F1017" s="11" t="n">
        <x:v>46143</x:v>
      </x:c>
      <x:c r="G1017" s="13" t="n">
        <x:v>17155.41</x:v>
      </x:c>
      <x:c r="H1017" s="9" t="n">
        <x:v>141</x:v>
      </x:c>
      <x:c r="I1017" s="9" t="n">
        <x:v>1</x:v>
      </x:c>
      <x:c r="J1017" s="9" t="n">
        <x:v>0</x:v>
      </x:c>
      <x:c r="K1017" s="9" t="n">
        <x:v>0</x:v>
      </x:c>
      <x:c r="L1017" s="13" t="n">
        <x:f>SUMIFS('Payments'!$D$5:$D$3014,'Payments'!$B$5:$B$3014,A1017)</x:f>
        <x:v>2232.34</x:v>
      </x:c>
      <x:c r="M1017" s="13" t="n">
        <x:f>G1017-L1017</x:f>
        <x:v>14923.07</x:v>
      </x:c>
      <x:c r="N1017" s="9" t="str">
        <x:f>IF(H1017=0,"0 Current",IF(H1017&lt;=30,"1 1-30",IF(H1017&lt;=60,"2 31-60",IF(H1017&lt;=90,"3 61-90",IF(H1017&lt;=120,"4 91-120","5 121+")))))</x:f>
        <x:v>5 121+</x:v>
      </x:c>
      <x:c r="O1017" s="9" t="n">
        <x:f>IF(J1017&gt;0,1,0)</x:f>
        <x:v>0</x:v>
      </x:c>
    </x:row>
    <x:row r="1018">
      <x:c r="A1018" s="15" t="str">
        <x:v>1014</x:v>
      </x:c>
      <x:c r="B1018" s="9" t="str">
        <x:v>Morgan</x:v>
      </x:c>
      <x:c r="C1018" s="9" t="str">
        <x:v>Credit Card</x:v>
      </x:c>
      <x:c r="D1018" s="9" t="str">
        <x:v>Northeast</x:v>
      </x:c>
      <x:c r="E1018" s="9" t="n">
        <x:v>568</x:v>
      </x:c>
      <x:c r="F1018" s="11" t="n">
        <x:v>46063</x:v>
      </x:c>
      <x:c r="G1018" s="13" t="n">
        <x:v>8884.55</x:v>
      </x:c>
      <x:c r="H1018" s="9" t="n">
        <x:v>25</x:v>
      </x:c>
      <x:c r="I1018" s="9" t="n">
        <x:v>7</x:v>
      </x:c>
      <x:c r="J1018" s="9" t="n">
        <x:v>4</x:v>
      </x:c>
      <x:c r="K1018" s="9" t="n">
        <x:v>1</x:v>
      </x:c>
      <x:c r="L1018" s="13" t="n">
        <x:f>SUMIFS('Payments'!$D$5:$D$3014,'Payments'!$B$5:$B$3014,A1018)</x:f>
        <x:v>0</x:v>
      </x:c>
      <x:c r="M1018" s="13" t="n">
        <x:f>G1018-L1018</x:f>
        <x:v>8884.55</x:v>
      </x:c>
      <x:c r="N1018" s="9" t="str">
        <x:f>IF(H1018=0,"0 Current",IF(H1018&lt;=30,"1 1-30",IF(H1018&lt;=60,"2 31-60",IF(H1018&lt;=90,"3 61-90",IF(H1018&lt;=120,"4 91-120","5 121+")))))</x:f>
        <x:v>1 1-30</x:v>
      </x:c>
      <x:c r="O1018" s="9" t="n">
        <x:f>IF(J1018&gt;0,1,0)</x:f>
        <x:v>1</x:v>
      </x:c>
    </x:row>
    <x:row r="1019">
      <x:c r="A1019" s="15" t="str">
        <x:v>1015</x:v>
      </x:c>
      <x:c r="B1019" s="9" t="str">
        <x:v>Morgan</x:v>
      </x:c>
      <x:c r="C1019" s="9" t="str">
        <x:v>Medical</x:v>
      </x:c>
      <x:c r="D1019" s="9" t="str">
        <x:v>West</x:v>
      </x:c>
      <x:c r="E1019" s="9" t="n">
        <x:v>735</x:v>
      </x:c>
      <x:c r="F1019" s="11" t="n">
        <x:v>46089</x:v>
      </x:c>
      <x:c r="G1019" s="13" t="n">
        <x:v>17383.63</x:v>
      </x:c>
      <x:c r="H1019" s="9" t="n">
        <x:v>83</x:v>
      </x:c>
      <x:c r="I1019" s="9" t="n">
        <x:v>2</x:v>
      </x:c>
      <x:c r="J1019" s="9" t="n">
        <x:v>1</x:v>
      </x:c>
      <x:c r="K1019" s="9" t="n">
        <x:v>1</x:v>
      </x:c>
      <x:c r="L1019" s="13" t="n">
        <x:f>SUMIFS('Payments'!$D$5:$D$3014,'Payments'!$B$5:$B$3014,A1019)</x:f>
        <x:v>2899.41</x:v>
      </x:c>
      <x:c r="M1019" s="13" t="n">
        <x:f>G1019-L1019</x:f>
        <x:v>14484.220000000001</x:v>
      </x:c>
      <x:c r="N1019" s="9" t="str">
        <x:f>IF(H1019=0,"0 Current",IF(H1019&lt;=30,"1 1-30",IF(H1019&lt;=60,"2 31-60",IF(H1019&lt;=90,"3 61-90",IF(H1019&lt;=120,"4 91-120","5 121+")))))</x:f>
        <x:v>3 61-90</x:v>
      </x:c>
      <x:c r="O1019" s="9" t="n">
        <x:f>IF(J1019&gt;0,1,0)</x:f>
        <x:v>1</x:v>
      </x:c>
    </x:row>
    <x:row r="1020">
      <x:c r="A1020" s="15" t="str">
        <x:v>1016</x:v>
      </x:c>
      <x:c r="B1020" s="9" t="str">
        <x:v>Jordan</x:v>
      </x:c>
      <x:c r="C1020" s="9" t="str">
        <x:v>Medical</x:v>
      </x:c>
      <x:c r="D1020" s="9" t="str">
        <x:v>West</x:v>
      </x:c>
      <x:c r="E1020" s="9" t="n">
        <x:v>547</x:v>
      </x:c>
      <x:c r="F1020" s="11" t="n">
        <x:v>46050</x:v>
      </x:c>
      <x:c r="G1020" s="13" t="n">
        <x:v>12748.91</x:v>
      </x:c>
      <x:c r="H1020" s="9" t="n">
        <x:v>88</x:v>
      </x:c>
      <x:c r="I1020" s="9" t="n">
        <x:v>2</x:v>
      </x:c>
      <x:c r="J1020" s="9" t="n">
        <x:v>1</x:v>
      </x:c>
      <x:c r="K1020" s="9" t="n">
        <x:v>1</x:v>
      </x:c>
      <x:c r="L1020" s="13" t="n">
        <x:f>SUMIFS('Payments'!$D$5:$D$3014,'Payments'!$B$5:$B$3014,A1020)</x:f>
        <x:v>3083.75</x:v>
      </x:c>
      <x:c r="M1020" s="13" t="n">
        <x:f>G1020-L1020</x:f>
        <x:v>9665.16</x:v>
      </x:c>
      <x:c r="N1020" s="9" t="str">
        <x:f>IF(H1020=0,"0 Current",IF(H1020&lt;=30,"1 1-30",IF(H1020&lt;=60,"2 31-60",IF(H1020&lt;=90,"3 61-90",IF(H1020&lt;=120,"4 91-120","5 121+")))))</x:f>
        <x:v>3 61-90</x:v>
      </x:c>
      <x:c r="O1020" s="9" t="n">
        <x:f>IF(J1020&gt;0,1,0)</x:f>
        <x:v>1</x:v>
      </x:c>
    </x:row>
    <x:row r="1021">
      <x:c r="A1021" s="15" t="str">
        <x:v>1017</x:v>
      </x:c>
      <x:c r="B1021" s="9" t="str">
        <x:v>Casey</x:v>
      </x:c>
      <x:c r="C1021" s="9" t="str">
        <x:v>Credit Card</x:v>
      </x:c>
      <x:c r="D1021" s="9" t="str">
        <x:v>South</x:v>
      </x:c>
      <x:c r="E1021" s="9" t="n">
        <x:v>587</x:v>
      </x:c>
      <x:c r="F1021" s="11" t="n">
        <x:v>46085</x:v>
      </x:c>
      <x:c r="G1021" s="13" t="n">
        <x:v>20581.84</x:v>
      </x:c>
      <x:c r="H1021" s="9" t="n">
        <x:v>218</x:v>
      </x:c>
      <x:c r="I1021" s="9" t="n">
        <x:v>8</x:v>
      </x:c>
      <x:c r="J1021" s="9" t="n">
        <x:v>2</x:v>
      </x:c>
      <x:c r="K1021" s="9" t="n">
        <x:v>0</x:v>
      </x:c>
      <x:c r="L1021" s="13" t="n">
        <x:f>SUMIFS('Payments'!$D$5:$D$3014,'Payments'!$B$5:$B$3014,A1021)</x:f>
        <x:v>0</x:v>
      </x:c>
      <x:c r="M1021" s="13" t="n">
        <x:f>G1021-L1021</x:f>
        <x:v>20581.84</x:v>
      </x:c>
      <x:c r="N1021" s="9" t="str">
        <x:f>IF(H1021=0,"0 Current",IF(H1021&lt;=30,"1 1-30",IF(H1021&lt;=60,"2 31-60",IF(H1021&lt;=90,"3 61-90",IF(H1021&lt;=120,"4 91-120","5 121+")))))</x:f>
        <x:v>5 121+</x:v>
      </x:c>
      <x:c r="O1021" s="9" t="n">
        <x:f>IF(J1021&gt;0,1,0)</x:f>
        <x:v>1</x:v>
      </x:c>
    </x:row>
    <x:row r="1022">
      <x:c r="A1022" s="15" t="str">
        <x:v>1018</x:v>
      </x:c>
      <x:c r="B1022" s="9" t="str">
        <x:v>Taylor</x:v>
      </x:c>
      <x:c r="C1022" s="9" t="str">
        <x:v>Credit Card</x:v>
      </x:c>
      <x:c r="D1022" s="9" t="str">
        <x:v>Midwest</x:v>
      </x:c>
      <x:c r="E1022" s="9" t="n">
        <x:v>517</x:v>
      </x:c>
      <x:c r="F1022" s="11" t="n">
        <x:v>46061</x:v>
      </x:c>
      <x:c r="G1022" s="13" t="n">
        <x:v>1068.41</x:v>
      </x:c>
      <x:c r="H1022" s="9" t="n">
        <x:v>56</x:v>
      </x:c>
      <x:c r="I1022" s="9" t="n">
        <x:v>6</x:v>
      </x:c>
      <x:c r="J1022" s="9" t="n">
        <x:v>2</x:v>
      </x:c>
      <x:c r="K1022" s="9" t="n">
        <x:v>0</x:v>
      </x:c>
      <x:c r="L1022" s="13" t="n">
        <x:f>SUMIFS('Payments'!$D$5:$D$3014,'Payments'!$B$5:$B$3014,A1022)</x:f>
        <x:v>250.24</x:v>
      </x:c>
      <x:c r="M1022" s="13" t="n">
        <x:f>G1022-L1022</x:f>
        <x:v>818.1700000000001</x:v>
      </x:c>
      <x:c r="N1022" s="9" t="str">
        <x:f>IF(H1022=0,"0 Current",IF(H1022&lt;=30,"1 1-30",IF(H1022&lt;=60,"2 31-60",IF(H1022&lt;=90,"3 61-90",IF(H1022&lt;=120,"4 91-120","5 121+")))))</x:f>
        <x:v>2 31-60</x:v>
      </x:c>
      <x:c r="O1022" s="9" t="n">
        <x:f>IF(J1022&gt;0,1,0)</x:f>
        <x:v>1</x:v>
      </x:c>
    </x:row>
    <x:row r="1023">
      <x:c r="A1023" s="15" t="str">
        <x:v>1019</x:v>
      </x:c>
      <x:c r="B1023" s="9" t="str">
        <x:v>Jordan</x:v>
      </x:c>
      <x:c r="C1023" s="9" t="str">
        <x:v>Credit Card</x:v>
      </x:c>
      <x:c r="D1023" s="9" t="str">
        <x:v>South</x:v>
      </x:c>
      <x:c r="E1023" s="9" t="n">
        <x:v>675</x:v>
      </x:c>
      <x:c r="F1023" s="11" t="n">
        <x:v>46067</x:v>
      </x:c>
      <x:c r="G1023" s="13" t="n">
        <x:v>3322.46</x:v>
      </x:c>
      <x:c r="H1023" s="9" t="n">
        <x:v>109</x:v>
      </x:c>
      <x:c r="I1023" s="9" t="n">
        <x:v>5</x:v>
      </x:c>
      <x:c r="J1023" s="9" t="n">
        <x:v>0</x:v>
      </x:c>
      <x:c r="K1023" s="9" t="n">
        <x:v>0</x:v>
      </x:c>
      <x:c r="L1023" s="13" t="n">
        <x:f>SUMIFS('Payments'!$D$5:$D$3014,'Payments'!$B$5:$B$3014,A1023)</x:f>
        <x:v>438.27</x:v>
      </x:c>
      <x:c r="M1023" s="13" t="n">
        <x:f>G1023-L1023</x:f>
        <x:v>2884.19</x:v>
      </x:c>
      <x:c r="N1023" s="9" t="str">
        <x:f>IF(H1023=0,"0 Current",IF(H1023&lt;=30,"1 1-30",IF(H1023&lt;=60,"2 31-60",IF(H1023&lt;=90,"3 61-90",IF(H1023&lt;=120,"4 91-120","5 121+")))))</x:f>
        <x:v>4 91-120</x:v>
      </x:c>
      <x:c r="O1023" s="9" t="n">
        <x:f>IF(J1023&gt;0,1,0)</x:f>
        <x:v>0</x:v>
      </x:c>
    </x:row>
    <x:row r="1024">
      <x:c r="A1024" s="15" t="str">
        <x:v>1020</x:v>
      </x:c>
      <x:c r="B1024" s="9" t="str">
        <x:v>Alex</x:v>
      </x:c>
      <x:c r="C1024" s="9" t="str">
        <x:v>Auto</x:v>
      </x:c>
      <x:c r="D1024" s="9" t="str">
        <x:v>West</x:v>
      </x:c>
      <x:c r="E1024" s="9" t="n">
        <x:v>675</x:v>
      </x:c>
      <x:c r="F1024" s="11" t="n">
        <x:v>46114</x:v>
      </x:c>
      <x:c r="G1024" s="13" t="n">
        <x:v>8253.7</x:v>
      </x:c>
      <x:c r="H1024" s="9" t="n">
        <x:v>205</x:v>
      </x:c>
      <x:c r="I1024" s="9" t="n">
        <x:v>2</x:v>
      </x:c>
      <x:c r="J1024" s="9" t="n">
        <x:v>1</x:v>
      </x:c>
      <x:c r="K1024" s="9" t="n">
        <x:v>1</x:v>
      </x:c>
      <x:c r="L1024" s="13" t="n">
        <x:f>SUMIFS('Payments'!$D$5:$D$3014,'Payments'!$B$5:$B$3014,A1024)</x:f>
        <x:v>0</x:v>
      </x:c>
      <x:c r="M1024" s="13" t="n">
        <x:f>G1024-L1024</x:f>
        <x:v>8253.7</x:v>
      </x:c>
      <x:c r="N1024" s="9" t="str">
        <x:f>IF(H1024=0,"0 Current",IF(H1024&lt;=30,"1 1-30",IF(H1024&lt;=60,"2 31-60",IF(H1024&lt;=90,"3 61-90",IF(H1024&lt;=120,"4 91-120","5 121+")))))</x:f>
        <x:v>5 121+</x:v>
      </x:c>
      <x:c r="O1024" s="9" t="n">
        <x:f>IF(J1024&gt;0,1,0)</x:f>
        <x:v>1</x:v>
      </x:c>
    </x:row>
    <x:row r="1025">
      <x:c r="A1025" s="15" t="str">
        <x:v>1021</x:v>
      </x:c>
      <x:c r="B1025" s="9" t="str">
        <x:v>Riley</x:v>
      </x:c>
      <x:c r="C1025" s="9" t="str">
        <x:v>Auto</x:v>
      </x:c>
      <x:c r="D1025" s="9" t="str">
        <x:v>Midwest</x:v>
      </x:c>
      <x:c r="E1025" s="9" t="n">
        <x:v>674</x:v>
      </x:c>
      <x:c r="F1025" s="11" t="n">
        <x:v>46026</x:v>
      </x:c>
      <x:c r="G1025" s="13" t="n">
        <x:v>3483.01</x:v>
      </x:c>
      <x:c r="H1025" s="9" t="n">
        <x:v>24</x:v>
      </x:c>
      <x:c r="I1025" s="9" t="n">
        <x:v>4</x:v>
      </x:c>
      <x:c r="J1025" s="9" t="n">
        <x:v>2</x:v>
      </x:c>
      <x:c r="K1025" s="9" t="n">
        <x:v>1</x:v>
      </x:c>
      <x:c r="L1025" s="13" t="n">
        <x:f>SUMIFS('Payments'!$D$5:$D$3014,'Payments'!$B$5:$B$3014,A1025)</x:f>
        <x:v>68.85</x:v>
      </x:c>
      <x:c r="M1025" s="13" t="n">
        <x:f>G1025-L1025</x:f>
        <x:v>3414.1600000000003</x:v>
      </x:c>
      <x:c r="N1025" s="9" t="str">
        <x:f>IF(H1025=0,"0 Current",IF(H1025&lt;=30,"1 1-30",IF(H1025&lt;=60,"2 31-60",IF(H1025&lt;=90,"3 61-90",IF(H1025&lt;=120,"4 91-120","5 121+")))))</x:f>
        <x:v>1 1-30</x:v>
      </x:c>
      <x:c r="O1025" s="9" t="n">
        <x:f>IF(J1025&gt;0,1,0)</x:f>
        <x:v>1</x:v>
      </x:c>
    </x:row>
    <x:row r="1026">
      <x:c r="A1026" s="15" t="str">
        <x:v>1022</x:v>
      </x:c>
      <x:c r="B1026" s="9" t="str">
        <x:v>Taylor</x:v>
      </x:c>
      <x:c r="C1026" s="9" t="str">
        <x:v>Auto</x:v>
      </x:c>
      <x:c r="D1026" s="9" t="str">
        <x:v>Northeast</x:v>
      </x:c>
      <x:c r="E1026" s="9" t="n">
        <x:v>466</x:v>
      </x:c>
      <x:c r="F1026" s="11" t="n">
        <x:v>46159</x:v>
      </x:c>
      <x:c r="G1026" s="13" t="n">
        <x:v>24261.96</x:v>
      </x:c>
      <x:c r="H1026" s="9" t="n">
        <x:v>103</x:v>
      </x:c>
      <x:c r="I1026" s="9" t="n">
        <x:v>8</x:v>
      </x:c>
      <x:c r="J1026" s="9" t="n">
        <x:v>2</x:v>
      </x:c>
      <x:c r="K1026" s="9" t="n">
        <x:v>1</x:v>
      </x:c>
      <x:c r="L1026" s="13" t="n">
        <x:f>SUMIFS('Payments'!$D$5:$D$3014,'Payments'!$B$5:$B$3014,A1026)</x:f>
        <x:v>0</x:v>
      </x:c>
      <x:c r="M1026" s="13" t="n">
        <x:f>G1026-L1026</x:f>
        <x:v>24261.96</x:v>
      </x:c>
      <x:c r="N1026" s="9" t="str">
        <x:f>IF(H1026=0,"0 Current",IF(H1026&lt;=30,"1 1-30",IF(H1026&lt;=60,"2 31-60",IF(H1026&lt;=90,"3 61-90",IF(H1026&lt;=120,"4 91-120","5 121+")))))</x:f>
        <x:v>4 91-120</x:v>
      </x:c>
      <x:c r="O1026" s="9" t="n">
        <x:f>IF(J1026&gt;0,1,0)</x:f>
        <x:v>1</x:v>
      </x:c>
    </x:row>
    <x:row r="1027">
      <x:c r="A1027" s="15" t="str">
        <x:v>1023</x:v>
      </x:c>
      <x:c r="B1027" s="9" t="str">
        <x:v>Riley</x:v>
      </x:c>
      <x:c r="C1027" s="9" t="str">
        <x:v>Auto</x:v>
      </x:c>
      <x:c r="D1027" s="9" t="str">
        <x:v>West</x:v>
      </x:c>
      <x:c r="E1027" s="9" t="n">
        <x:v>678</x:v>
      </x:c>
      <x:c r="F1027" s="11" t="n">
        <x:v>46158</x:v>
      </x:c>
      <x:c r="G1027" s="13" t="n">
        <x:v>22929.67</x:v>
      </x:c>
      <x:c r="H1027" s="9" t="n">
        <x:v>166</x:v>
      </x:c>
      <x:c r="I1027" s="9" t="n">
        <x:v>1</x:v>
      </x:c>
      <x:c r="J1027" s="9" t="n">
        <x:v>0</x:v>
      </x:c>
      <x:c r="K1027" s="9" t="n">
        <x:v>0</x:v>
      </x:c>
      <x:c r="L1027" s="13" t="n">
        <x:f>SUMIFS('Payments'!$D$5:$D$3014,'Payments'!$B$5:$B$3014,A1027)</x:f>
        <x:v>6197.01</x:v>
      </x:c>
      <x:c r="M1027" s="13" t="n">
        <x:f>G1027-L1027</x:f>
        <x:v>16732.659999999996</x:v>
      </x:c>
      <x:c r="N1027" s="9" t="str">
        <x:f>IF(H1027=0,"0 Current",IF(H1027&lt;=30,"1 1-30",IF(H1027&lt;=60,"2 31-60",IF(H1027&lt;=90,"3 61-90",IF(H1027&lt;=120,"4 91-120","5 121+")))))</x:f>
        <x:v>5 121+</x:v>
      </x:c>
      <x:c r="O1027" s="9" t="n">
        <x:f>IF(J1027&gt;0,1,0)</x:f>
        <x:v>0</x:v>
      </x:c>
    </x:row>
    <x:row r="1028">
      <x:c r="A1028" s="15" t="str">
        <x:v>1024</x:v>
      </x:c>
      <x:c r="B1028" s="9" t="str">
        <x:v>Jordan</x:v>
      </x:c>
      <x:c r="C1028" s="9" t="str">
        <x:v>Medical</x:v>
      </x:c>
      <x:c r="D1028" s="9" t="str">
        <x:v>West</x:v>
      </x:c>
      <x:c r="E1028" s="9" t="n">
        <x:v>543</x:v>
      </x:c>
      <x:c r="F1028" s="11" t="n">
        <x:v>46120</x:v>
      </x:c>
      <x:c r="G1028" s="13" t="n">
        <x:v>14291.52</x:v>
      </x:c>
      <x:c r="H1028" s="9" t="n">
        <x:v>7</x:v>
      </x:c>
      <x:c r="I1028" s="9" t="n">
        <x:v>0</x:v>
      </x:c>
      <x:c r="J1028" s="9" t="n">
        <x:v>0</x:v>
      </x:c>
      <x:c r="K1028" s="9" t="n">
        <x:v>0</x:v>
      </x:c>
      <x:c r="L1028" s="13" t="n">
        <x:f>SUMIFS('Payments'!$D$5:$D$3014,'Payments'!$B$5:$B$3014,A1028)</x:f>
        <x:v>4274.719999999999</x:v>
      </x:c>
      <x:c r="M1028" s="13" t="n">
        <x:f>G1028-L1028</x:f>
        <x:v>10016.800000000001</x:v>
      </x:c>
      <x:c r="N1028" s="9" t="str">
        <x:f>IF(H1028=0,"0 Current",IF(H1028&lt;=30,"1 1-30",IF(H1028&lt;=60,"2 31-60",IF(H1028&lt;=90,"3 61-90",IF(H1028&lt;=120,"4 91-120","5 121+")))))</x:f>
        <x:v>1 1-30</x:v>
      </x:c>
      <x:c r="O1028" s="9" t="n">
        <x:f>IF(J1028&gt;0,1,0)</x:f>
        <x:v>0</x:v>
      </x:c>
    </x:row>
    <x:row r="1029">
      <x:c r="A1029" s="15" t="str">
        <x:v>1025</x:v>
      </x:c>
      <x:c r="B1029" s="9" t="str">
        <x:v>Riley</x:v>
      </x:c>
      <x:c r="C1029" s="9" t="str">
        <x:v>Credit Card</x:v>
      </x:c>
      <x:c r="D1029" s="9" t="str">
        <x:v>South</x:v>
      </x:c>
      <x:c r="E1029" s="9" t="n">
        <x:v>718</x:v>
      </x:c>
      <x:c r="F1029" s="11" t="n">
        <x:v>46063</x:v>
      </x:c>
      <x:c r="G1029" s="13" t="n">
        <x:v>5577.26</x:v>
      </x:c>
      <x:c r="H1029" s="9" t="n">
        <x:v>90</x:v>
      </x:c>
      <x:c r="I1029" s="9" t="n">
        <x:v>5</x:v>
      </x:c>
      <x:c r="J1029" s="9" t="n">
        <x:v>3</x:v>
      </x:c>
      <x:c r="K1029" s="9" t="n">
        <x:v>1</x:v>
      </x:c>
      <x:c r="L1029" s="13" t="n">
        <x:f>SUMIFS('Payments'!$D$5:$D$3014,'Payments'!$B$5:$B$3014,A1029)</x:f>
        <x:v>0</x:v>
      </x:c>
      <x:c r="M1029" s="13" t="n">
        <x:f>G1029-L1029</x:f>
        <x:v>5577.26</x:v>
      </x:c>
      <x:c r="N1029" s="9" t="str">
        <x:f>IF(H1029=0,"0 Current",IF(H1029&lt;=30,"1 1-30",IF(H1029&lt;=60,"2 31-60",IF(H1029&lt;=90,"3 61-90",IF(H1029&lt;=120,"4 91-120","5 121+")))))</x:f>
        <x:v>3 61-90</x:v>
      </x:c>
      <x:c r="O1029" s="9" t="n">
        <x:f>IF(J1029&gt;0,1,0)</x:f>
        <x:v>1</x:v>
      </x:c>
    </x:row>
    <x:row r="1030">
      <x:c r="A1030" s="15" t="str">
        <x:v>1026</x:v>
      </x:c>
      <x:c r="B1030" s="9" t="str">
        <x:v>Morgan</x:v>
      </x:c>
      <x:c r="C1030" s="9" t="str">
        <x:v>Auto</x:v>
      </x:c>
      <x:c r="D1030" s="9" t="str">
        <x:v>Midwest</x:v>
      </x:c>
      <x:c r="E1030" s="9" t="n">
        <x:v>444</x:v>
      </x:c>
      <x:c r="F1030" s="11" t="n">
        <x:v>46130</x:v>
      </x:c>
      <x:c r="G1030" s="13" t="n">
        <x:v>24041.05</x:v>
      </x:c>
      <x:c r="H1030" s="9" t="n">
        <x:v>78</x:v>
      </x:c>
      <x:c r="I1030" s="9" t="n">
        <x:v>4</x:v>
      </x:c>
      <x:c r="J1030" s="9" t="n">
        <x:v>1</x:v>
      </x:c>
      <x:c r="K1030" s="9" t="n">
        <x:v>1</x:v>
      </x:c>
      <x:c r="L1030" s="13" t="n">
        <x:f>SUMIFS('Payments'!$D$5:$D$3014,'Payments'!$B$5:$B$3014,A1030)</x:f>
        <x:v>5478.7</x:v>
      </x:c>
      <x:c r="M1030" s="13" t="n">
        <x:f>G1030-L1030</x:f>
        <x:v>18562.35</x:v>
      </x:c>
      <x:c r="N1030" s="9" t="str">
        <x:f>IF(H1030=0,"0 Current",IF(H1030&lt;=30,"1 1-30",IF(H1030&lt;=60,"2 31-60",IF(H1030&lt;=90,"3 61-90",IF(H1030&lt;=120,"4 91-120","5 121+")))))</x:f>
        <x:v>3 61-90</x:v>
      </x:c>
      <x:c r="O1030" s="9" t="n">
        <x:f>IF(J1030&gt;0,1,0)</x:f>
        <x:v>1</x:v>
      </x:c>
    </x:row>
    <x:row r="1031">
      <x:c r="A1031" s="15" t="str">
        <x:v>1027</x:v>
      </x:c>
      <x:c r="B1031" s="9" t="str">
        <x:v>Taylor</x:v>
      </x:c>
      <x:c r="C1031" s="9" t="str">
        <x:v>Credit Card</x:v>
      </x:c>
      <x:c r="D1031" s="9" t="str">
        <x:v>Northeast</x:v>
      </x:c>
      <x:c r="E1031" s="9" t="n">
        <x:v>564</x:v>
      </x:c>
      <x:c r="F1031" s="11" t="n">
        <x:v>46111</x:v>
      </x:c>
      <x:c r="G1031" s="13" t="n">
        <x:v>18394.17</x:v>
      </x:c>
      <x:c r="H1031" s="9" t="n">
        <x:v>65</x:v>
      </x:c>
      <x:c r="I1031" s="9" t="n">
        <x:v>5</x:v>
      </x:c>
      <x:c r="J1031" s="9" t="n">
        <x:v>2</x:v>
      </x:c>
      <x:c r="K1031" s="9" t="n">
        <x:v>0</x:v>
      </x:c>
      <x:c r="L1031" s="13" t="n">
        <x:f>SUMIFS('Payments'!$D$5:$D$3014,'Payments'!$B$5:$B$3014,A1031)</x:f>
        <x:v>1172.72</x:v>
      </x:c>
      <x:c r="M1031" s="13" t="n">
        <x:f>G1031-L1031</x:f>
        <x:v>17221.449999999997</x:v>
      </x:c>
      <x:c r="N1031" s="9" t="str">
        <x:f>IF(H1031=0,"0 Current",IF(H1031&lt;=30,"1 1-30",IF(H1031&lt;=60,"2 31-60",IF(H1031&lt;=90,"3 61-90",IF(H1031&lt;=120,"4 91-120","5 121+")))))</x:f>
        <x:v>3 61-90</x:v>
      </x:c>
      <x:c r="O1031" s="9" t="n">
        <x:f>IF(J1031&gt;0,1,0)</x:f>
        <x:v>1</x:v>
      </x:c>
    </x:row>
    <x:row r="1032">
      <x:c r="A1032" s="15" t="str">
        <x:v>1028</x:v>
      </x:c>
      <x:c r="B1032" s="9" t="str">
        <x:v>Alex</x:v>
      </x:c>
      <x:c r="C1032" s="9" t="str">
        <x:v>Credit Card</x:v>
      </x:c>
      <x:c r="D1032" s="9" t="str">
        <x:v>West</x:v>
      </x:c>
      <x:c r="E1032" s="9" t="n">
        <x:v>725</x:v>
      </x:c>
      <x:c r="F1032" s="11" t="n">
        <x:v>46141</x:v>
      </x:c>
      <x:c r="G1032" s="13" t="n">
        <x:v>19012.79</x:v>
      </x:c>
      <x:c r="H1032" s="9" t="n">
        <x:v>225</x:v>
      </x:c>
      <x:c r="I1032" s="9" t="n">
        <x:v>3</x:v>
      </x:c>
      <x:c r="J1032" s="9" t="n">
        <x:v>1</x:v>
      </x:c>
      <x:c r="K1032" s="9" t="n">
        <x:v>0</x:v>
      </x:c>
      <x:c r="L1032" s="13" t="n">
        <x:f>SUMIFS('Payments'!$D$5:$D$3014,'Payments'!$B$5:$B$3014,A1032)</x:f>
        <x:v>4512.44</x:v>
      </x:c>
      <x:c r="M1032" s="13" t="n">
        <x:f>G1032-L1032</x:f>
        <x:v>14500.350000000002</x:v>
      </x:c>
      <x:c r="N1032" s="9" t="str">
        <x:f>IF(H1032=0,"0 Current",IF(H1032&lt;=30,"1 1-30",IF(H1032&lt;=60,"2 31-60",IF(H1032&lt;=90,"3 61-90",IF(H1032&lt;=120,"4 91-120","5 121+")))))</x:f>
        <x:v>5 121+</x:v>
      </x:c>
      <x:c r="O1032" s="9" t="n">
        <x:f>IF(J1032&gt;0,1,0)</x:f>
        <x:v>1</x:v>
      </x:c>
    </x:row>
    <x:row r="1033">
      <x:c r="A1033" s="15" t="str">
        <x:v>1029</x:v>
      </x:c>
      <x:c r="B1033" s="9" t="str">
        <x:v>Casey</x:v>
      </x:c>
      <x:c r="C1033" s="9" t="str">
        <x:v>Medical</x:v>
      </x:c>
      <x:c r="D1033" s="9" t="str">
        <x:v>West</x:v>
      </x:c>
      <x:c r="E1033" s="9" t="n">
        <x:v>566</x:v>
      </x:c>
      <x:c r="F1033" s="11" t="n">
        <x:v>46112</x:v>
      </x:c>
      <x:c r="G1033" s="13" t="n">
        <x:v>5118.84</x:v>
      </x:c>
      <x:c r="H1033" s="9" t="n">
        <x:v>118</x:v>
      </x:c>
      <x:c r="I1033" s="9" t="n">
        <x:v>5</x:v>
      </x:c>
      <x:c r="J1033" s="9" t="n">
        <x:v>4</x:v>
      </x:c>
      <x:c r="K1033" s="9" t="n">
        <x:v>1</x:v>
      </x:c>
      <x:c r="L1033" s="13" t="n">
        <x:f>SUMIFS('Payments'!$D$5:$D$3014,'Payments'!$B$5:$B$3014,A1033)</x:f>
        <x:v>905.38</x:v>
      </x:c>
      <x:c r="M1033" s="13" t="n">
        <x:f>G1033-L1033</x:f>
        <x:v>4213.46</x:v>
      </x:c>
      <x:c r="N1033" s="9" t="str">
        <x:f>IF(H1033=0,"0 Current",IF(H1033&lt;=30,"1 1-30",IF(H1033&lt;=60,"2 31-60",IF(H1033&lt;=90,"3 61-90",IF(H1033&lt;=120,"4 91-120","5 121+")))))</x:f>
        <x:v>4 91-120</x:v>
      </x:c>
      <x:c r="O1033" s="9" t="n">
        <x:f>IF(J1033&gt;0,1,0)</x:f>
        <x:v>1</x:v>
      </x:c>
    </x:row>
    <x:row r="1034">
      <x:c r="A1034" s="15" t="str">
        <x:v>1030</x:v>
      </x:c>
      <x:c r="B1034" s="9" t="str">
        <x:v>Casey</x:v>
      </x:c>
      <x:c r="C1034" s="9" t="str">
        <x:v>Personal Loan</x:v>
      </x:c>
      <x:c r="D1034" s="9" t="str">
        <x:v>Northeast</x:v>
      </x:c>
      <x:c r="E1034" s="9" t="n">
        <x:v>475</x:v>
      </x:c>
      <x:c r="F1034" s="11" t="n">
        <x:v>46128</x:v>
      </x:c>
      <x:c r="G1034" s="13" t="n">
        <x:v>18729.47</x:v>
      </x:c>
      <x:c r="H1034" s="9" t="n">
        <x:v>84</x:v>
      </x:c>
      <x:c r="I1034" s="9" t="n">
        <x:v>4</x:v>
      </x:c>
      <x:c r="J1034" s="9" t="n">
        <x:v>2</x:v>
      </x:c>
      <x:c r="K1034" s="9" t="n">
        <x:v>0</x:v>
      </x:c>
      <x:c r="L1034" s="13" t="n">
        <x:f>SUMIFS('Payments'!$D$5:$D$3014,'Payments'!$B$5:$B$3014,A1034)</x:f>
        <x:v>4266.6900000000005</x:v>
      </x:c>
      <x:c r="M1034" s="13" t="n">
        <x:f>G1034-L1034</x:f>
        <x:v>14462.78</x:v>
      </x:c>
      <x:c r="N1034" s="9" t="str">
        <x:f>IF(H1034=0,"0 Current",IF(H1034&lt;=30,"1 1-30",IF(H1034&lt;=60,"2 31-60",IF(H1034&lt;=90,"3 61-90",IF(H1034&lt;=120,"4 91-120","5 121+")))))</x:f>
        <x:v>3 61-90</x:v>
      </x:c>
      <x:c r="O1034" s="9" t="n">
        <x:f>IF(J1034&gt;0,1,0)</x:f>
        <x:v>1</x:v>
      </x:c>
    </x:row>
    <x:row r="1035">
      <x:c r="A1035" s="15" t="str">
        <x:v>1031</x:v>
      </x:c>
      <x:c r="B1035" s="9" t="str">
        <x:v>Jordan</x:v>
      </x:c>
      <x:c r="C1035" s="9" t="str">
        <x:v>Auto</x:v>
      </x:c>
      <x:c r="D1035" s="9" t="str">
        <x:v>West</x:v>
      </x:c>
      <x:c r="E1035" s="9" t="n">
        <x:v>488</x:v>
      </x:c>
      <x:c r="F1035" s="11" t="n">
        <x:v>46085</x:v>
      </x:c>
      <x:c r="G1035" s="13" t="n">
        <x:v>11341.38</x:v>
      </x:c>
      <x:c r="H1035" s="9" t="n">
        <x:v>72</x:v>
      </x:c>
      <x:c r="I1035" s="9" t="n">
        <x:v>6</x:v>
      </x:c>
      <x:c r="J1035" s="9" t="n">
        <x:v>2</x:v>
      </x:c>
      <x:c r="K1035" s="9" t="n">
        <x:v>0</x:v>
      </x:c>
      <x:c r="L1035" s="13" t="n">
        <x:f>SUMIFS('Payments'!$D$5:$D$3014,'Payments'!$B$5:$B$3014,A1035)</x:f>
        <x:v>716.84</x:v>
      </x:c>
      <x:c r="M1035" s="13" t="n">
        <x:f>G1035-L1035</x:f>
        <x:v>10624.539999999999</x:v>
      </x:c>
      <x:c r="N1035" s="9" t="str">
        <x:f>IF(H1035=0,"0 Current",IF(H1035&lt;=30,"1 1-30",IF(H1035&lt;=60,"2 31-60",IF(H1035&lt;=90,"3 61-90",IF(H1035&lt;=120,"4 91-120","5 121+")))))</x:f>
        <x:v>3 61-90</x:v>
      </x:c>
      <x:c r="O1035" s="9" t="n">
        <x:f>IF(J1035&gt;0,1,0)</x:f>
        <x:v>1</x:v>
      </x:c>
    </x:row>
    <x:row r="1036">
      <x:c r="A1036" s="15" t="str">
        <x:v>1032</x:v>
      </x:c>
      <x:c r="B1036" s="9" t="str">
        <x:v>Riley</x:v>
      </x:c>
      <x:c r="C1036" s="9" t="str">
        <x:v>Personal Loan</x:v>
      </x:c>
      <x:c r="D1036" s="9" t="str">
        <x:v>Midwest</x:v>
      </x:c>
      <x:c r="E1036" s="9" t="n">
        <x:v>792</x:v>
      </x:c>
      <x:c r="F1036" s="11" t="n">
        <x:v>46145</x:v>
      </x:c>
      <x:c r="G1036" s="13" t="n">
        <x:v>9665.65</x:v>
      </x:c>
      <x:c r="H1036" s="9" t="n">
        <x:v>25</x:v>
      </x:c>
      <x:c r="I1036" s="9" t="n">
        <x:v>0</x:v>
      </x:c>
      <x:c r="J1036" s="9" t="n">
        <x:v>0</x:v>
      </x:c>
      <x:c r="K1036" s="9" t="n">
        <x:v>0</x:v>
      </x:c>
      <x:c r="L1036" s="13" t="n">
        <x:f>SUMIFS('Payments'!$D$5:$D$3014,'Payments'!$B$5:$B$3014,A1036)</x:f>
        <x:v>216.69</x:v>
      </x:c>
      <x:c r="M1036" s="13" t="n">
        <x:f>G1036-L1036</x:f>
        <x:v>9448.96</x:v>
      </x:c>
      <x:c r="N1036" s="9" t="str">
        <x:f>IF(H1036=0,"0 Current",IF(H1036&lt;=30,"1 1-30",IF(H1036&lt;=60,"2 31-60",IF(H1036&lt;=90,"3 61-90",IF(H1036&lt;=120,"4 91-120","5 121+")))))</x:f>
        <x:v>1 1-30</x:v>
      </x:c>
      <x:c r="O1036" s="9" t="n">
        <x:f>IF(J1036&gt;0,1,0)</x:f>
        <x:v>0</x:v>
      </x:c>
    </x:row>
    <x:row r="1037">
      <x:c r="A1037" s="15" t="str">
        <x:v>1033</x:v>
      </x:c>
      <x:c r="B1037" s="9" t="str">
        <x:v>Casey</x:v>
      </x:c>
      <x:c r="C1037" s="9" t="str">
        <x:v>Credit Card</x:v>
      </x:c>
      <x:c r="D1037" s="9" t="str">
        <x:v>Midwest</x:v>
      </x:c>
      <x:c r="E1037" s="9" t="n">
        <x:v>811</x:v>
      </x:c>
      <x:c r="F1037" s="11" t="n">
        <x:v>46169</x:v>
      </x:c>
      <x:c r="G1037" s="13" t="n">
        <x:v>19187.43</x:v>
      </x:c>
      <x:c r="H1037" s="9" t="n">
        <x:v>176</x:v>
      </x:c>
      <x:c r="I1037" s="9" t="n">
        <x:v>0</x:v>
      </x:c>
      <x:c r="J1037" s="9" t="n">
        <x:v>0</x:v>
      </x:c>
      <x:c r="K1037" s="9" t="n">
        <x:v>0</x:v>
      </x:c>
      <x:c r="L1037" s="13" t="n">
        <x:f>SUMIFS('Payments'!$D$5:$D$3014,'Payments'!$B$5:$B$3014,A1037)</x:f>
        <x:v>311.84</x:v>
      </x:c>
      <x:c r="M1037" s="13" t="n">
        <x:f>G1037-L1037</x:f>
        <x:v>18875.59</x:v>
      </x:c>
      <x:c r="N1037" s="9" t="str">
        <x:f>IF(H1037=0,"0 Current",IF(H1037&lt;=30,"1 1-30",IF(H1037&lt;=60,"2 31-60",IF(H1037&lt;=90,"3 61-90",IF(H1037&lt;=120,"4 91-120","5 121+")))))</x:f>
        <x:v>5 121+</x:v>
      </x:c>
      <x:c r="O1037" s="9" t="n">
        <x:f>IF(J1037&gt;0,1,0)</x:f>
        <x:v>0</x:v>
      </x:c>
    </x:row>
    <x:row r="1038">
      <x:c r="A1038" s="15" t="str">
        <x:v>1034</x:v>
      </x:c>
      <x:c r="B1038" s="9" t="str">
        <x:v>Jordan</x:v>
      </x:c>
      <x:c r="C1038" s="9" t="str">
        <x:v>Personal Loan</x:v>
      </x:c>
      <x:c r="D1038" s="9" t="str">
        <x:v>West</x:v>
      </x:c>
      <x:c r="E1038" s="9" t="n">
        <x:v>607</x:v>
      </x:c>
      <x:c r="F1038" s="11" t="n">
        <x:v>46145</x:v>
      </x:c>
      <x:c r="G1038" s="13" t="n">
        <x:v>14207.97</x:v>
      </x:c>
      <x:c r="H1038" s="9" t="n">
        <x:v>49</x:v>
      </x:c>
      <x:c r="I1038" s="9" t="n">
        <x:v>5</x:v>
      </x:c>
      <x:c r="J1038" s="9" t="n">
        <x:v>2</x:v>
      </x:c>
      <x:c r="K1038" s="9" t="n">
        <x:v>0</x:v>
      </x:c>
      <x:c r="L1038" s="13" t="n">
        <x:f>SUMIFS('Payments'!$D$5:$D$3014,'Payments'!$B$5:$B$3014,A1038)</x:f>
        <x:v>2754.3999999999996</x:v>
      </x:c>
      <x:c r="M1038" s="13" t="n">
        <x:f>G1038-L1038</x:f>
        <x:v>11453.57</x:v>
      </x:c>
      <x:c r="N1038" s="9" t="str">
        <x:f>IF(H1038=0,"0 Current",IF(H1038&lt;=30,"1 1-30",IF(H1038&lt;=60,"2 31-60",IF(H1038&lt;=90,"3 61-90",IF(H1038&lt;=120,"4 91-120","5 121+")))))</x:f>
        <x:v>2 31-60</x:v>
      </x:c>
      <x:c r="O1038" s="9" t="n">
        <x:f>IF(J1038&gt;0,1,0)</x:f>
        <x:v>1</x:v>
      </x:c>
    </x:row>
    <x:row r="1039">
      <x:c r="A1039" s="15" t="str">
        <x:v>1035</x:v>
      </x:c>
      <x:c r="B1039" s="9" t="str">
        <x:v>Alex</x:v>
      </x:c>
      <x:c r="C1039" s="9" t="str">
        <x:v>Medical</x:v>
      </x:c>
      <x:c r="D1039" s="9" t="str">
        <x:v>Northeast</x:v>
      </x:c>
      <x:c r="E1039" s="9" t="n">
        <x:v>625</x:v>
      </x:c>
      <x:c r="F1039" s="11" t="n">
        <x:v>46100</x:v>
      </x:c>
      <x:c r="G1039" s="13" t="n">
        <x:v>16501.33</x:v>
      </x:c>
      <x:c r="H1039" s="9" t="n">
        <x:v>185</x:v>
      </x:c>
      <x:c r="I1039" s="9" t="n">
        <x:v>2</x:v>
      </x:c>
      <x:c r="J1039" s="9" t="n">
        <x:v>1</x:v>
      </x:c>
      <x:c r="K1039" s="9" t="n">
        <x:v>0</x:v>
      </x:c>
      <x:c r="L1039" s="13" t="n">
        <x:f>SUMIFS('Payments'!$D$5:$D$3014,'Payments'!$B$5:$B$3014,A1039)</x:f>
        <x:v>2072.29</x:v>
      </x:c>
      <x:c r="M1039" s="13" t="n">
        <x:f>G1039-L1039</x:f>
        <x:v>14429.04</x:v>
      </x:c>
      <x:c r="N1039" s="9" t="str">
        <x:f>IF(H1039=0,"0 Current",IF(H1039&lt;=30,"1 1-30",IF(H1039&lt;=60,"2 31-60",IF(H1039&lt;=90,"3 61-90",IF(H1039&lt;=120,"4 91-120","5 121+")))))</x:f>
        <x:v>5 121+</x:v>
      </x:c>
      <x:c r="O1039" s="9" t="n">
        <x:f>IF(J1039&gt;0,1,0)</x:f>
        <x:v>1</x:v>
      </x:c>
    </x:row>
    <x:row r="1040">
      <x:c r="A1040" s="15" t="str">
        <x:v>1036</x:v>
      </x:c>
      <x:c r="B1040" s="9" t="str">
        <x:v>Jordan</x:v>
      </x:c>
      <x:c r="C1040" s="9" t="str">
        <x:v>Auto</x:v>
      </x:c>
      <x:c r="D1040" s="9" t="str">
        <x:v>Northeast</x:v>
      </x:c>
      <x:c r="E1040" s="9" t="n">
        <x:v>711</x:v>
      </x:c>
      <x:c r="F1040" s="11" t="n">
        <x:v>46108</x:v>
      </x:c>
      <x:c r="G1040" s="13" t="n">
        <x:v>17003.84</x:v>
      </x:c>
      <x:c r="H1040" s="9" t="n">
        <x:v>48</x:v>
      </x:c>
      <x:c r="I1040" s="9" t="n">
        <x:v>7</x:v>
      </x:c>
      <x:c r="J1040" s="9" t="n">
        <x:v>2</x:v>
      </x:c>
      <x:c r="K1040" s="9" t="n">
        <x:v>1</x:v>
      </x:c>
      <x:c r="L1040" s="13" t="n">
        <x:f>SUMIFS('Payments'!$D$5:$D$3014,'Payments'!$B$5:$B$3014,A1040)</x:f>
        <x:v>3192.8599999999997</x:v>
      </x:c>
      <x:c r="M1040" s="13" t="n">
        <x:f>G1040-L1040</x:f>
        <x:v>13810.98</x:v>
      </x:c>
      <x:c r="N1040" s="9" t="str">
        <x:f>IF(H1040=0,"0 Current",IF(H1040&lt;=30,"1 1-30",IF(H1040&lt;=60,"2 31-60",IF(H1040&lt;=90,"3 61-90",IF(H1040&lt;=120,"4 91-120","5 121+")))))</x:f>
        <x:v>2 31-60</x:v>
      </x:c>
      <x:c r="O1040" s="9" t="n">
        <x:f>IF(J1040&gt;0,1,0)</x:f>
        <x:v>1</x:v>
      </x:c>
    </x:row>
    <x:row r="1041">
      <x:c r="A1041" s="15" t="str">
        <x:v>1037</x:v>
      </x:c>
      <x:c r="B1041" s="9" t="str">
        <x:v>Morgan</x:v>
      </x:c>
      <x:c r="C1041" s="9" t="str">
        <x:v>Medical</x:v>
      </x:c>
      <x:c r="D1041" s="9" t="str">
        <x:v>South</x:v>
      </x:c>
      <x:c r="E1041" s="9" t="n">
        <x:v>605</x:v>
      </x:c>
      <x:c r="F1041" s="11" t="n">
        <x:v>46106</x:v>
      </x:c>
      <x:c r="G1041" s="13" t="n">
        <x:v>17132.46</x:v>
      </x:c>
      <x:c r="H1041" s="9" t="n">
        <x:v>21</x:v>
      </x:c>
      <x:c r="I1041" s="9" t="n">
        <x:v>3</x:v>
      </x:c>
      <x:c r="J1041" s="9" t="n">
        <x:v>2</x:v>
      </x:c>
      <x:c r="K1041" s="9" t="n">
        <x:v>0</x:v>
      </x:c>
      <x:c r="L1041" s="13" t="n">
        <x:f>SUMIFS('Payments'!$D$5:$D$3014,'Payments'!$B$5:$B$3014,A1041)</x:f>
        <x:v>0</x:v>
      </x:c>
      <x:c r="M1041" s="13" t="n">
        <x:f>G1041-L1041</x:f>
        <x:v>17132.46</x:v>
      </x:c>
      <x:c r="N1041" s="9" t="str">
        <x:f>IF(H1041=0,"0 Current",IF(H1041&lt;=30,"1 1-30",IF(H1041&lt;=60,"2 31-60",IF(H1041&lt;=90,"3 61-90",IF(H1041&lt;=120,"4 91-120","5 121+")))))</x:f>
        <x:v>1 1-30</x:v>
      </x:c>
      <x:c r="O1041" s="9" t="n">
        <x:f>IF(J1041&gt;0,1,0)</x:f>
        <x:v>1</x:v>
      </x:c>
    </x:row>
    <x:row r="1042">
      <x:c r="A1042" s="15" t="str">
        <x:v>1038</x:v>
      </x:c>
      <x:c r="B1042" s="9" t="str">
        <x:v>Casey</x:v>
      </x:c>
      <x:c r="C1042" s="9" t="str">
        <x:v>Medical</x:v>
      </x:c>
      <x:c r="D1042" s="9" t="str">
        <x:v>Midwest</x:v>
      </x:c>
      <x:c r="E1042" s="9" t="n">
        <x:v>457</x:v>
      </x:c>
      <x:c r="F1042" s="11" t="n">
        <x:v>46071</x:v>
      </x:c>
      <x:c r="G1042" s="13" t="n">
        <x:v>17587.41</x:v>
      </x:c>
      <x:c r="H1042" s="9" t="n">
        <x:v>8</x:v>
      </x:c>
      <x:c r="I1042" s="9" t="n">
        <x:v>7</x:v>
      </x:c>
      <x:c r="J1042" s="9" t="n">
        <x:v>2</x:v>
      </x:c>
      <x:c r="K1042" s="9" t="n">
        <x:v>0</x:v>
      </x:c>
      <x:c r="L1042" s="13" t="n">
        <x:f>SUMIFS('Payments'!$D$5:$D$3014,'Payments'!$B$5:$B$3014,A1042)</x:f>
        <x:v>520.92</x:v>
      </x:c>
      <x:c r="M1042" s="13" t="n">
        <x:f>G1042-L1042</x:f>
        <x:v>17066.49</x:v>
      </x:c>
      <x:c r="N1042" s="9" t="str">
        <x:f>IF(H1042=0,"0 Current",IF(H1042&lt;=30,"1 1-30",IF(H1042&lt;=60,"2 31-60",IF(H1042&lt;=90,"3 61-90",IF(H1042&lt;=120,"4 91-120","5 121+")))))</x:f>
        <x:v>1 1-30</x:v>
      </x:c>
      <x:c r="O1042" s="9" t="n">
        <x:f>IF(J1042&gt;0,1,0)</x:f>
        <x:v>1</x:v>
      </x:c>
    </x:row>
    <x:row r="1043">
      <x:c r="A1043" s="15" t="str">
        <x:v>1039</x:v>
      </x:c>
      <x:c r="B1043" s="9" t="str">
        <x:v>Riley</x:v>
      </x:c>
      <x:c r="C1043" s="9" t="str">
        <x:v>Personal Loan</x:v>
      </x:c>
      <x:c r="D1043" s="9" t="str">
        <x:v>West</x:v>
      </x:c>
      <x:c r="E1043" s="9" t="n">
        <x:v>678</x:v>
      </x:c>
      <x:c r="F1043" s="11" t="n">
        <x:v>46103</x:v>
      </x:c>
      <x:c r="G1043" s="13" t="n">
        <x:v>6408.44</x:v>
      </x:c>
      <x:c r="H1043" s="9" t="n">
        <x:v>97</x:v>
      </x:c>
      <x:c r="I1043" s="9" t="n">
        <x:v>7</x:v>
      </x:c>
      <x:c r="J1043" s="9" t="n">
        <x:v>2</x:v>
      </x:c>
      <x:c r="K1043" s="9" t="n">
        <x:v>1</x:v>
      </x:c>
      <x:c r="L1043" s="13" t="n">
        <x:f>SUMIFS('Payments'!$D$5:$D$3014,'Payments'!$B$5:$B$3014,A1043)</x:f>
        <x:v>1236.8400000000001</x:v>
      </x:c>
      <x:c r="M1043" s="13" t="n">
        <x:f>G1043-L1043</x:f>
        <x:v>5171.599999999999</x:v>
      </x:c>
      <x:c r="N1043" s="9" t="str">
        <x:f>IF(H1043=0,"0 Current",IF(H1043&lt;=30,"1 1-30",IF(H1043&lt;=60,"2 31-60",IF(H1043&lt;=90,"3 61-90",IF(H1043&lt;=120,"4 91-120","5 121+")))))</x:f>
        <x:v>4 91-120</x:v>
      </x:c>
      <x:c r="O1043" s="9" t="n">
        <x:f>IF(J1043&gt;0,1,0)</x:f>
        <x:v>1</x:v>
      </x:c>
    </x:row>
    <x:row r="1044">
      <x:c r="A1044" s="15" t="str">
        <x:v>1040</x:v>
      </x:c>
      <x:c r="B1044" s="9" t="str">
        <x:v>Morgan</x:v>
      </x:c>
      <x:c r="C1044" s="9" t="str">
        <x:v>Personal Loan</x:v>
      </x:c>
      <x:c r="D1044" s="9" t="str">
        <x:v>West</x:v>
      </x:c>
      <x:c r="E1044" s="9" t="n">
        <x:v>811</x:v>
      </x:c>
      <x:c r="F1044" s="11" t="n">
        <x:v>46094</x:v>
      </x:c>
      <x:c r="G1044" s="13" t="n">
        <x:v>18205.17</x:v>
      </x:c>
      <x:c r="H1044" s="9" t="n">
        <x:v>46</x:v>
      </x:c>
      <x:c r="I1044" s="9" t="n">
        <x:v>3</x:v>
      </x:c>
      <x:c r="J1044" s="9" t="n">
        <x:v>1</x:v>
      </x:c>
      <x:c r="K1044" s="9" t="n">
        <x:v>0</x:v>
      </x:c>
      <x:c r="L1044" s="13" t="n">
        <x:f>SUMIFS('Payments'!$D$5:$D$3014,'Payments'!$B$5:$B$3014,A1044)</x:f>
        <x:v>5902.58</x:v>
      </x:c>
      <x:c r="M1044" s="13" t="n">
        <x:f>G1044-L1044</x:f>
        <x:v>12302.589999999998</x:v>
      </x:c>
      <x:c r="N1044" s="9" t="str">
        <x:f>IF(H1044=0,"0 Current",IF(H1044&lt;=30,"1 1-30",IF(H1044&lt;=60,"2 31-60",IF(H1044&lt;=90,"3 61-90",IF(H1044&lt;=120,"4 91-120","5 121+")))))</x:f>
        <x:v>2 31-60</x:v>
      </x:c>
      <x:c r="O1044" s="9" t="n">
        <x:f>IF(J1044&gt;0,1,0)</x:f>
        <x:v>1</x:v>
      </x:c>
    </x:row>
    <x:row r="1045">
      <x:c r="A1045" s="15" t="str">
        <x:v>1041</x:v>
      </x:c>
      <x:c r="B1045" s="9" t="str">
        <x:v>Jordan</x:v>
      </x:c>
      <x:c r="C1045" s="9" t="str">
        <x:v>Auto</x:v>
      </x:c>
      <x:c r="D1045" s="9" t="str">
        <x:v>Midwest</x:v>
      </x:c>
      <x:c r="E1045" s="9" t="n">
        <x:v>739</x:v>
      </x:c>
      <x:c r="F1045" s="11" t="n">
        <x:v>46027</x:v>
      </x:c>
      <x:c r="G1045" s="13" t="n">
        <x:v>6138.9</x:v>
      </x:c>
      <x:c r="H1045" s="9" t="n">
        <x:v>146</x:v>
      </x:c>
      <x:c r="I1045" s="9" t="n">
        <x:v>3</x:v>
      </x:c>
      <x:c r="J1045" s="9" t="n">
        <x:v>1</x:v>
      </x:c>
      <x:c r="K1045" s="9" t="n">
        <x:v>0</x:v>
      </x:c>
      <x:c r="L1045" s="13" t="n">
        <x:f>SUMIFS('Payments'!$D$5:$D$3014,'Payments'!$B$5:$B$3014,A1045)</x:f>
        <x:v>0</x:v>
      </x:c>
      <x:c r="M1045" s="13" t="n">
        <x:f>G1045-L1045</x:f>
        <x:v>6138.9</x:v>
      </x:c>
      <x:c r="N1045" s="9" t="str">
        <x:f>IF(H1045=0,"0 Current",IF(H1045&lt;=30,"1 1-30",IF(H1045&lt;=60,"2 31-60",IF(H1045&lt;=90,"3 61-90",IF(H1045&lt;=120,"4 91-120","5 121+")))))</x:f>
        <x:v>5 121+</x:v>
      </x:c>
      <x:c r="O1045" s="9" t="n">
        <x:f>IF(J1045&gt;0,1,0)</x:f>
        <x:v>1</x:v>
      </x:c>
    </x:row>
    <x:row r="1046">
      <x:c r="A1046" s="15" t="str">
        <x:v>1042</x:v>
      </x:c>
      <x:c r="B1046" s="9" t="str">
        <x:v>Alex</x:v>
      </x:c>
      <x:c r="C1046" s="9" t="str">
        <x:v>Credit Card</x:v>
      </x:c>
      <x:c r="D1046" s="9" t="str">
        <x:v>Northeast</x:v>
      </x:c>
      <x:c r="E1046" s="9" t="n">
        <x:v>485</x:v>
      </x:c>
      <x:c r="F1046" s="11" t="n">
        <x:v>46142</x:v>
      </x:c>
      <x:c r="G1046" s="13" t="n">
        <x:v>18995.75</x:v>
      </x:c>
      <x:c r="H1046" s="9" t="n">
        <x:v>171</x:v>
      </x:c>
      <x:c r="I1046" s="9" t="n">
        <x:v>7</x:v>
      </x:c>
      <x:c r="J1046" s="9" t="n">
        <x:v>1</x:v>
      </x:c>
      <x:c r="K1046" s="9" t="n">
        <x:v>0</x:v>
      </x:c>
      <x:c r="L1046" s="13" t="n">
        <x:f>SUMIFS('Payments'!$D$5:$D$3014,'Payments'!$B$5:$B$3014,A1046)</x:f>
        <x:v>5179.280000000001</x:v>
      </x:c>
      <x:c r="M1046" s="13" t="n">
        <x:f>G1046-L1046</x:f>
        <x:v>13816.47</x:v>
      </x:c>
      <x:c r="N1046" s="9" t="str">
        <x:f>IF(H1046=0,"0 Current",IF(H1046&lt;=30,"1 1-30",IF(H1046&lt;=60,"2 31-60",IF(H1046&lt;=90,"3 61-90",IF(H1046&lt;=120,"4 91-120","5 121+")))))</x:f>
        <x:v>5 121+</x:v>
      </x:c>
      <x:c r="O1046" s="9" t="n">
        <x:f>IF(J1046&gt;0,1,0)</x:f>
        <x:v>1</x:v>
      </x:c>
    </x:row>
    <x:row r="1047">
      <x:c r="A1047" s="15" t="str">
        <x:v>1043</x:v>
      </x:c>
      <x:c r="B1047" s="9" t="str">
        <x:v>Casey</x:v>
      </x:c>
      <x:c r="C1047" s="9" t="str">
        <x:v>Personal Loan</x:v>
      </x:c>
      <x:c r="D1047" s="9" t="str">
        <x:v>Northeast</x:v>
      </x:c>
      <x:c r="E1047" s="9" t="n">
        <x:v>621</x:v>
      </x:c>
      <x:c r="F1047" s="11" t="n">
        <x:v>46043</x:v>
      </x:c>
      <x:c r="G1047" s="13" t="n">
        <x:v>7757.88</x:v>
      </x:c>
      <x:c r="H1047" s="9" t="n">
        <x:v>208</x:v>
      </x:c>
      <x:c r="I1047" s="9" t="n">
        <x:v>0</x:v>
      </x:c>
      <x:c r="J1047" s="9" t="n">
        <x:v>0</x:v>
      </x:c>
      <x:c r="K1047" s="9" t="n">
        <x:v>0</x:v>
      </x:c>
      <x:c r="L1047" s="13" t="n">
        <x:f>SUMIFS('Payments'!$D$5:$D$3014,'Payments'!$B$5:$B$3014,A1047)</x:f>
        <x:v>646.71</x:v>
      </x:c>
      <x:c r="M1047" s="13" t="n">
        <x:f>G1047-L1047</x:f>
        <x:v>7111.17</x:v>
      </x:c>
      <x:c r="N1047" s="9" t="str">
        <x:f>IF(H1047=0,"0 Current",IF(H1047&lt;=30,"1 1-30",IF(H1047&lt;=60,"2 31-60",IF(H1047&lt;=90,"3 61-90",IF(H1047&lt;=120,"4 91-120","5 121+")))))</x:f>
        <x:v>5 121+</x:v>
      </x:c>
      <x:c r="O1047" s="9" t="n">
        <x:f>IF(J1047&gt;0,1,0)</x:f>
        <x:v>0</x:v>
      </x:c>
    </x:row>
    <x:row r="1048">
      <x:c r="A1048" s="15" t="str">
        <x:v>1044</x:v>
      </x:c>
      <x:c r="B1048" s="9" t="str">
        <x:v>Jordan</x:v>
      </x:c>
      <x:c r="C1048" s="9" t="str">
        <x:v>Auto</x:v>
      </x:c>
      <x:c r="D1048" s="9" t="str">
        <x:v>Midwest</x:v>
      </x:c>
      <x:c r="E1048" s="9" t="n">
        <x:v>593</x:v>
      </x:c>
      <x:c r="F1048" s="11" t="n">
        <x:v>46055</x:v>
      </x:c>
      <x:c r="G1048" s="13" t="n">
        <x:v>23156.94</x:v>
      </x:c>
      <x:c r="H1048" s="9" t="n">
        <x:v>17</x:v>
      </x:c>
      <x:c r="I1048" s="9" t="n">
        <x:v>5</x:v>
      </x:c>
      <x:c r="J1048" s="9" t="n">
        <x:v>3</x:v>
      </x:c>
      <x:c r="K1048" s="9" t="n">
        <x:v>1</x:v>
      </x:c>
      <x:c r="L1048" s="13" t="n">
        <x:f>SUMIFS('Payments'!$D$5:$D$3014,'Payments'!$B$5:$B$3014,A1048)</x:f>
        <x:v>4898.48</x:v>
      </x:c>
      <x:c r="M1048" s="13" t="n">
        <x:f>G1048-L1048</x:f>
        <x:v>18258.46</x:v>
      </x:c>
      <x:c r="N1048" s="9" t="str">
        <x:f>IF(H1048=0,"0 Current",IF(H1048&lt;=30,"1 1-30",IF(H1048&lt;=60,"2 31-60",IF(H1048&lt;=90,"3 61-90",IF(H1048&lt;=120,"4 91-120","5 121+")))))</x:f>
        <x:v>1 1-30</x:v>
      </x:c>
      <x:c r="O1048" s="9" t="n">
        <x:f>IF(J1048&gt;0,1,0)</x:f>
        <x:v>1</x:v>
      </x:c>
    </x:row>
    <x:row r="1049">
      <x:c r="A1049" s="15" t="str">
        <x:v>1045</x:v>
      </x:c>
      <x:c r="B1049" s="9" t="str">
        <x:v>Jordan</x:v>
      </x:c>
      <x:c r="C1049" s="9" t="str">
        <x:v>Personal Loan</x:v>
      </x:c>
      <x:c r="D1049" s="9" t="str">
        <x:v>Midwest</x:v>
      </x:c>
      <x:c r="E1049" s="9" t="n">
        <x:v>806</x:v>
      </x:c>
      <x:c r="F1049" s="11" t="n">
        <x:v>46144</x:v>
      </x:c>
      <x:c r="G1049" s="13" t="n">
        <x:v>21269.86</x:v>
      </x:c>
      <x:c r="H1049" s="9" t="n">
        <x:v>105</x:v>
      </x:c>
      <x:c r="I1049" s="9" t="n">
        <x:v>2</x:v>
      </x:c>
      <x:c r="J1049" s="9" t="n">
        <x:v>0</x:v>
      </x:c>
      <x:c r="K1049" s="9" t="n">
        <x:v>0</x:v>
      </x:c>
      <x:c r="L1049" s="13" t="n">
        <x:f>SUMIFS('Payments'!$D$5:$D$3014,'Payments'!$B$5:$B$3014,A1049)</x:f>
        <x:v>0</x:v>
      </x:c>
      <x:c r="M1049" s="13" t="n">
        <x:f>G1049-L1049</x:f>
        <x:v>21269.86</x:v>
      </x:c>
      <x:c r="N1049" s="9" t="str">
        <x:f>IF(H1049=0,"0 Current",IF(H1049&lt;=30,"1 1-30",IF(H1049&lt;=60,"2 31-60",IF(H1049&lt;=90,"3 61-90",IF(H1049&lt;=120,"4 91-120","5 121+")))))</x:f>
        <x:v>4 91-120</x:v>
      </x:c>
      <x:c r="O1049" s="9" t="n">
        <x:f>IF(J1049&gt;0,1,0)</x:f>
        <x:v>0</x:v>
      </x:c>
    </x:row>
    <x:row r="1050">
      <x:c r="A1050" s="15" t="str">
        <x:v>1046</x:v>
      </x:c>
      <x:c r="B1050" s="9" t="str">
        <x:v>Riley</x:v>
      </x:c>
      <x:c r="C1050" s="9" t="str">
        <x:v>Auto</x:v>
      </x:c>
      <x:c r="D1050" s="9" t="str">
        <x:v>South</x:v>
      </x:c>
      <x:c r="E1050" s="9" t="n">
        <x:v>521</x:v>
      </x:c>
      <x:c r="F1050" s="11" t="n">
        <x:v>46161</x:v>
      </x:c>
      <x:c r="G1050" s="13" t="n">
        <x:v>10037.42</x:v>
      </x:c>
      <x:c r="H1050" s="9" t="n">
        <x:v>39</x:v>
      </x:c>
      <x:c r="I1050" s="9" t="n">
        <x:v>2</x:v>
      </x:c>
      <x:c r="J1050" s="9" t="n">
        <x:v>1</x:v>
      </x:c>
      <x:c r="K1050" s="9" t="n">
        <x:v>0</x:v>
      </x:c>
      <x:c r="L1050" s="13" t="n">
        <x:f>SUMIFS('Payments'!$D$5:$D$3014,'Payments'!$B$5:$B$3014,A1050)</x:f>
        <x:v>2442.52</x:v>
      </x:c>
      <x:c r="M1050" s="13" t="n">
        <x:f>G1050-L1050</x:f>
        <x:v>7594.9</x:v>
      </x:c>
      <x:c r="N1050" s="9" t="str">
        <x:f>IF(H1050=0,"0 Current",IF(H1050&lt;=30,"1 1-30",IF(H1050&lt;=60,"2 31-60",IF(H1050&lt;=90,"3 61-90",IF(H1050&lt;=120,"4 91-120","5 121+")))))</x:f>
        <x:v>2 31-60</x:v>
      </x:c>
      <x:c r="O1050" s="9" t="n">
        <x:f>IF(J1050&gt;0,1,0)</x:f>
        <x:v>1</x:v>
      </x:c>
    </x:row>
    <x:row r="1051">
      <x:c r="A1051" s="15" t="str">
        <x:v>1047</x:v>
      </x:c>
      <x:c r="B1051" s="9" t="str">
        <x:v>Morgan</x:v>
      </x:c>
      <x:c r="C1051" s="9" t="str">
        <x:v>Auto</x:v>
      </x:c>
      <x:c r="D1051" s="9" t="str">
        <x:v>West</x:v>
      </x:c>
      <x:c r="E1051" s="9" t="n">
        <x:v>676</x:v>
      </x:c>
      <x:c r="F1051" s="11" t="n">
        <x:v>46172</x:v>
      </x:c>
      <x:c r="G1051" s="13" t="n">
        <x:v>14896.61</x:v>
      </x:c>
      <x:c r="H1051" s="9" t="n">
        <x:v>194</x:v>
      </x:c>
      <x:c r="I1051" s="9" t="n">
        <x:v>7</x:v>
      </x:c>
      <x:c r="J1051" s="9" t="n">
        <x:v>4</x:v>
      </x:c>
      <x:c r="K1051" s="9" t="n">
        <x:v>1</x:v>
      </x:c>
      <x:c r="L1051" s="13" t="n">
        <x:f>SUMIFS('Payments'!$D$5:$D$3014,'Payments'!$B$5:$B$3014,A1051)</x:f>
        <x:v>3409.55</x:v>
      </x:c>
      <x:c r="M1051" s="13" t="n">
        <x:f>G1051-L1051</x:f>
        <x:v>11487.060000000001</x:v>
      </x:c>
      <x:c r="N1051" s="9" t="str">
        <x:f>IF(H1051=0,"0 Current",IF(H1051&lt;=30,"1 1-30",IF(H1051&lt;=60,"2 31-60",IF(H1051&lt;=90,"3 61-90",IF(H1051&lt;=120,"4 91-120","5 121+")))))</x:f>
        <x:v>5 121+</x:v>
      </x:c>
      <x:c r="O1051" s="9" t="n">
        <x:f>IF(J1051&gt;0,1,0)</x:f>
        <x:v>1</x:v>
      </x:c>
    </x:row>
    <x:row r="1052">
      <x:c r="A1052" s="15" t="str">
        <x:v>1048</x:v>
      </x:c>
      <x:c r="B1052" s="9" t="str">
        <x:v>Morgan</x:v>
      </x:c>
      <x:c r="C1052" s="9" t="str">
        <x:v>Credit Card</x:v>
      </x:c>
      <x:c r="D1052" s="9" t="str">
        <x:v>Northeast</x:v>
      </x:c>
      <x:c r="E1052" s="9" t="n">
        <x:v>443</x:v>
      </x:c>
      <x:c r="F1052" s="11" t="n">
        <x:v>46035</x:v>
      </x:c>
      <x:c r="G1052" s="13" t="n">
        <x:v>3601.01</x:v>
      </x:c>
      <x:c r="H1052" s="9" t="n">
        <x:v>220</x:v>
      </x:c>
      <x:c r="I1052" s="9" t="n">
        <x:v>5</x:v>
      </x:c>
      <x:c r="J1052" s="9" t="n">
        <x:v>2</x:v>
      </x:c>
      <x:c r="K1052" s="9" t="n">
        <x:v>0</x:v>
      </x:c>
      <x:c r="L1052" s="13" t="n">
        <x:f>SUMIFS('Payments'!$D$5:$D$3014,'Payments'!$B$5:$B$3014,A1052)</x:f>
        <x:v>1025.3999999999999</x:v>
      </x:c>
      <x:c r="M1052" s="13" t="n">
        <x:f>G1052-L1052</x:f>
        <x:v>2575.6100000000006</x:v>
      </x:c>
      <x:c r="N1052" s="9" t="str">
        <x:f>IF(H1052=0,"0 Current",IF(H1052&lt;=30,"1 1-30",IF(H1052&lt;=60,"2 31-60",IF(H1052&lt;=90,"3 61-90",IF(H1052&lt;=120,"4 91-120","5 121+")))))</x:f>
        <x:v>5 121+</x:v>
      </x:c>
      <x:c r="O1052" s="9" t="n">
        <x:f>IF(J1052&gt;0,1,0)</x:f>
        <x:v>1</x:v>
      </x:c>
    </x:row>
    <x:row r="1053">
      <x:c r="A1053" s="15" t="str">
        <x:v>1049</x:v>
      </x:c>
      <x:c r="B1053" s="9" t="str">
        <x:v>Casey</x:v>
      </x:c>
      <x:c r="C1053" s="9" t="str">
        <x:v>Auto</x:v>
      </x:c>
      <x:c r="D1053" s="9" t="str">
        <x:v>Northeast</x:v>
      </x:c>
      <x:c r="E1053" s="9" t="n">
        <x:v>490</x:v>
      </x:c>
      <x:c r="F1053" s="11" t="n">
        <x:v>46067</x:v>
      </x:c>
      <x:c r="G1053" s="13" t="n">
        <x:v>7861.12</x:v>
      </x:c>
      <x:c r="H1053" s="9" t="n">
        <x:v>99</x:v>
      </x:c>
      <x:c r="I1053" s="9" t="n">
        <x:v>2</x:v>
      </x:c>
      <x:c r="J1053" s="9" t="n">
        <x:v>0</x:v>
      </x:c>
      <x:c r="K1053" s="9" t="n">
        <x:v>0</x:v>
      </x:c>
      <x:c r="L1053" s="13" t="n">
        <x:f>SUMIFS('Payments'!$D$5:$D$3014,'Payments'!$B$5:$B$3014,A1053)</x:f>
        <x:v>1078.1799999999998</x:v>
      </x:c>
      <x:c r="M1053" s="13" t="n">
        <x:f>G1053-L1053</x:f>
        <x:v>6782.9400000000005</x:v>
      </x:c>
      <x:c r="N1053" s="9" t="str">
        <x:f>IF(H1053=0,"0 Current",IF(H1053&lt;=30,"1 1-30",IF(H1053&lt;=60,"2 31-60",IF(H1053&lt;=90,"3 61-90",IF(H1053&lt;=120,"4 91-120","5 121+")))))</x:f>
        <x:v>4 91-120</x:v>
      </x:c>
      <x:c r="O1053" s="9" t="n">
        <x:f>IF(J1053&gt;0,1,0)</x:f>
        <x:v>0</x:v>
      </x:c>
    </x:row>
    <x:row r="1054">
      <x:c r="A1054" s="15" t="str">
        <x:v>1050</x:v>
      </x:c>
      <x:c r="B1054" s="9" t="str">
        <x:v>Casey</x:v>
      </x:c>
      <x:c r="C1054" s="9" t="str">
        <x:v>Auto</x:v>
      </x:c>
      <x:c r="D1054" s="9" t="str">
        <x:v>Midwest</x:v>
      </x:c>
      <x:c r="E1054" s="9" t="n">
        <x:v>662</x:v>
      </x:c>
      <x:c r="F1054" s="11" t="n">
        <x:v>46051</x:v>
      </x:c>
      <x:c r="G1054" s="13" t="n">
        <x:v>16257.18</x:v>
      </x:c>
      <x:c r="H1054" s="9" t="n">
        <x:v>173</x:v>
      </x:c>
      <x:c r="I1054" s="9" t="n">
        <x:v>3</x:v>
      </x:c>
      <x:c r="J1054" s="9" t="n">
        <x:v>2</x:v>
      </x:c>
      <x:c r="K1054" s="9" t="n">
        <x:v>0</x:v>
      </x:c>
      <x:c r="L1054" s="13" t="n">
        <x:f>SUMIFS('Payments'!$D$5:$D$3014,'Payments'!$B$5:$B$3014,A1054)</x:f>
        <x:v>3365.48</x:v>
      </x:c>
      <x:c r="M1054" s="13" t="n">
        <x:f>G1054-L1054</x:f>
        <x:v>12891.7</x:v>
      </x:c>
      <x:c r="N1054" s="9" t="str">
        <x:f>IF(H1054=0,"0 Current",IF(H1054&lt;=30,"1 1-30",IF(H1054&lt;=60,"2 31-60",IF(H1054&lt;=90,"3 61-90",IF(H1054&lt;=120,"4 91-120","5 121+")))))</x:f>
        <x:v>5 121+</x:v>
      </x:c>
      <x:c r="O1054" s="9" t="n">
        <x:f>IF(J1054&gt;0,1,0)</x:f>
        <x:v>1</x:v>
      </x:c>
    </x:row>
    <x:row r="1055">
      <x:c r="A1055" s="15" t="str">
        <x:v>1051</x:v>
      </x:c>
      <x:c r="B1055" s="9" t="str">
        <x:v>Jordan</x:v>
      </x:c>
      <x:c r="C1055" s="9" t="str">
        <x:v>Auto</x:v>
      </x:c>
      <x:c r="D1055" s="9" t="str">
        <x:v>West</x:v>
      </x:c>
      <x:c r="E1055" s="9" t="n">
        <x:v>496</x:v>
      </x:c>
      <x:c r="F1055" s="11" t="n">
        <x:v>46097</x:v>
      </x:c>
      <x:c r="G1055" s="13" t="n">
        <x:v>12849.19</x:v>
      </x:c>
      <x:c r="H1055" s="9" t="n">
        <x:v>224</x:v>
      </x:c>
      <x:c r="I1055" s="9" t="n">
        <x:v>4</x:v>
      </x:c>
      <x:c r="J1055" s="9" t="n">
        <x:v>2</x:v>
      </x:c>
      <x:c r="K1055" s="9" t="n">
        <x:v>1</x:v>
      </x:c>
      <x:c r="L1055" s="13" t="n">
        <x:f>SUMIFS('Payments'!$D$5:$D$3014,'Payments'!$B$5:$B$3014,A1055)</x:f>
        <x:v>0</x:v>
      </x:c>
      <x:c r="M1055" s="13" t="n">
        <x:f>G1055-L1055</x:f>
        <x:v>12849.19</x:v>
      </x:c>
      <x:c r="N1055" s="9" t="str">
        <x:f>IF(H1055=0,"0 Current",IF(H1055&lt;=30,"1 1-30",IF(H1055&lt;=60,"2 31-60",IF(H1055&lt;=90,"3 61-90",IF(H1055&lt;=120,"4 91-120","5 121+")))))</x:f>
        <x:v>5 121+</x:v>
      </x:c>
      <x:c r="O1055" s="9" t="n">
        <x:f>IF(J1055&gt;0,1,0)</x:f>
        <x:v>1</x:v>
      </x:c>
    </x:row>
    <x:row r="1056">
      <x:c r="A1056" s="15" t="str">
        <x:v>1052</x:v>
      </x:c>
      <x:c r="B1056" s="9" t="str">
        <x:v>Alex</x:v>
      </x:c>
      <x:c r="C1056" s="9" t="str">
        <x:v>Personal Loan</x:v>
      </x:c>
      <x:c r="D1056" s="9" t="str">
        <x:v>South</x:v>
      </x:c>
      <x:c r="E1056" s="9" t="n">
        <x:v>587</x:v>
      </x:c>
      <x:c r="F1056" s="11" t="n">
        <x:v>46028</x:v>
      </x:c>
      <x:c r="G1056" s="13" t="n">
        <x:v>7471.35</x:v>
      </x:c>
      <x:c r="H1056" s="9" t="n">
        <x:v>157</x:v>
      </x:c>
      <x:c r="I1056" s="9" t="n">
        <x:v>3</x:v>
      </x:c>
      <x:c r="J1056" s="9" t="n">
        <x:v>1</x:v>
      </x:c>
      <x:c r="K1056" s="9" t="n">
        <x:v>0</x:v>
      </x:c>
      <x:c r="L1056" s="13" t="n">
        <x:f>SUMIFS('Payments'!$D$5:$D$3014,'Payments'!$B$5:$B$3014,A1056)</x:f>
        <x:v>1955.34</x:v>
      </x:c>
      <x:c r="M1056" s="13" t="n">
        <x:f>G1056-L1056</x:f>
        <x:v>5516.01</x:v>
      </x:c>
      <x:c r="N1056" s="9" t="str">
        <x:f>IF(H1056=0,"0 Current",IF(H1056&lt;=30,"1 1-30",IF(H1056&lt;=60,"2 31-60",IF(H1056&lt;=90,"3 61-90",IF(H1056&lt;=120,"4 91-120","5 121+")))))</x:f>
        <x:v>5 121+</x:v>
      </x:c>
      <x:c r="O1056" s="9" t="n">
        <x:f>IF(J1056&gt;0,1,0)</x:f>
        <x:v>1</x:v>
      </x:c>
    </x:row>
    <x:row r="1057">
      <x:c r="A1057" s="15" t="str">
        <x:v>1053</x:v>
      </x:c>
      <x:c r="B1057" s="9" t="str">
        <x:v>Riley</x:v>
      </x:c>
      <x:c r="C1057" s="9" t="str">
        <x:v>Personal Loan</x:v>
      </x:c>
      <x:c r="D1057" s="9" t="str">
        <x:v>Midwest</x:v>
      </x:c>
      <x:c r="E1057" s="9" t="n">
        <x:v>503</x:v>
      </x:c>
      <x:c r="F1057" s="11" t="n">
        <x:v>46076</x:v>
      </x:c>
      <x:c r="G1057" s="13" t="n">
        <x:v>7209.13</x:v>
      </x:c>
      <x:c r="H1057" s="9" t="n">
        <x:v>106</x:v>
      </x:c>
      <x:c r="I1057" s="9" t="n">
        <x:v>7</x:v>
      </x:c>
      <x:c r="J1057" s="9" t="n">
        <x:v>0</x:v>
      </x:c>
      <x:c r="K1057" s="9" t="n">
        <x:v>0</x:v>
      </x:c>
      <x:c r="L1057" s="13" t="n">
        <x:f>SUMIFS('Payments'!$D$5:$D$3014,'Payments'!$B$5:$B$3014,A1057)</x:f>
        <x:v>361.28</x:v>
      </x:c>
      <x:c r="M1057" s="13" t="n">
        <x:f>G1057-L1057</x:f>
        <x:v>6847.85</x:v>
      </x:c>
      <x:c r="N1057" s="9" t="str">
        <x:f>IF(H1057=0,"0 Current",IF(H1057&lt;=30,"1 1-30",IF(H1057&lt;=60,"2 31-60",IF(H1057&lt;=90,"3 61-90",IF(H1057&lt;=120,"4 91-120","5 121+")))))</x:f>
        <x:v>4 91-120</x:v>
      </x:c>
      <x:c r="O1057" s="9" t="n">
        <x:f>IF(J1057&gt;0,1,0)</x:f>
        <x:v>0</x:v>
      </x:c>
    </x:row>
    <x:row r="1058">
      <x:c r="A1058" s="15" t="str">
        <x:v>1054</x:v>
      </x:c>
      <x:c r="B1058" s="9" t="str">
        <x:v>Taylor</x:v>
      </x:c>
      <x:c r="C1058" s="9" t="str">
        <x:v>Medical</x:v>
      </x:c>
      <x:c r="D1058" s="9" t="str">
        <x:v>West</x:v>
      </x:c>
      <x:c r="E1058" s="9" t="n">
        <x:v>735</x:v>
      </x:c>
      <x:c r="F1058" s="11" t="n">
        <x:v>46117</x:v>
      </x:c>
      <x:c r="G1058" s="13" t="n">
        <x:v>24520.97</x:v>
      </x:c>
      <x:c r="H1058" s="9" t="n">
        <x:v>38</x:v>
      </x:c>
      <x:c r="I1058" s="9" t="n">
        <x:v>5</x:v>
      </x:c>
      <x:c r="J1058" s="9" t="n">
        <x:v>3</x:v>
      </x:c>
      <x:c r="K1058" s="9" t="n">
        <x:v>0</x:v>
      </x:c>
      <x:c r="L1058" s="13" t="n">
        <x:f>SUMIFS('Payments'!$D$5:$D$3014,'Payments'!$B$5:$B$3014,A1058)</x:f>
        <x:v>4285.28</x:v>
      </x:c>
      <x:c r="M1058" s="13" t="n">
        <x:f>G1058-L1058</x:f>
        <x:v>20235.690000000002</x:v>
      </x:c>
      <x:c r="N1058" s="9" t="str">
        <x:f>IF(H1058=0,"0 Current",IF(H1058&lt;=30,"1 1-30",IF(H1058&lt;=60,"2 31-60",IF(H1058&lt;=90,"3 61-90",IF(H1058&lt;=120,"4 91-120","5 121+")))))</x:f>
        <x:v>2 31-60</x:v>
      </x:c>
      <x:c r="O1058" s="9" t="n">
        <x:f>IF(J1058&gt;0,1,0)</x:f>
        <x:v>1</x:v>
      </x:c>
    </x:row>
    <x:row r="1059">
      <x:c r="A1059" s="15" t="str">
        <x:v>1055</x:v>
      </x:c>
      <x:c r="B1059" s="9" t="str">
        <x:v>Taylor</x:v>
      </x:c>
      <x:c r="C1059" s="9" t="str">
        <x:v>Medical</x:v>
      </x:c>
      <x:c r="D1059" s="9" t="str">
        <x:v>Midwest</x:v>
      </x:c>
      <x:c r="E1059" s="9" t="n">
        <x:v>723</x:v>
      </x:c>
      <x:c r="F1059" s="11" t="n">
        <x:v>46067</x:v>
      </x:c>
      <x:c r="G1059" s="13" t="n">
        <x:v>12942.77</x:v>
      </x:c>
      <x:c r="H1059" s="9" t="n">
        <x:v>10</x:v>
      </x:c>
      <x:c r="I1059" s="9" t="n">
        <x:v>8</x:v>
      </x:c>
      <x:c r="J1059" s="9" t="n">
        <x:v>4</x:v>
      </x:c>
      <x:c r="K1059" s="9" t="n">
        <x:v>0</x:v>
      </x:c>
      <x:c r="L1059" s="13" t="n">
        <x:f>SUMIFS('Payments'!$D$5:$D$3014,'Payments'!$B$5:$B$3014,A1059)</x:f>
        <x:v>3245.3900000000003</x:v>
      </x:c>
      <x:c r="M1059" s="13" t="n">
        <x:f>G1059-L1059</x:f>
        <x:v>9697.380000000001</x:v>
      </x:c>
      <x:c r="N1059" s="9" t="str">
        <x:f>IF(H1059=0,"0 Current",IF(H1059&lt;=30,"1 1-30",IF(H1059&lt;=60,"2 31-60",IF(H1059&lt;=90,"3 61-90",IF(H1059&lt;=120,"4 91-120","5 121+")))))</x:f>
        <x:v>1 1-30</x:v>
      </x:c>
      <x:c r="O1059" s="9" t="n">
        <x:f>IF(J1059&gt;0,1,0)</x:f>
        <x:v>1</x:v>
      </x:c>
    </x:row>
    <x:row r="1060">
      <x:c r="A1060" s="15" t="str">
        <x:v>1056</x:v>
      </x:c>
      <x:c r="B1060" s="9" t="str">
        <x:v>Casey</x:v>
      </x:c>
      <x:c r="C1060" s="9" t="str">
        <x:v>Credit Card</x:v>
      </x:c>
      <x:c r="D1060" s="9" t="str">
        <x:v>Midwest</x:v>
      </x:c>
      <x:c r="E1060" s="9" t="n">
        <x:v>679</x:v>
      </x:c>
      <x:c r="F1060" s="11" t="n">
        <x:v>46061</x:v>
      </x:c>
      <x:c r="G1060" s="13" t="n">
        <x:v>4457.79</x:v>
      </x:c>
      <x:c r="H1060" s="9" t="n">
        <x:v>95</x:v>
      </x:c>
      <x:c r="I1060" s="9" t="n">
        <x:v>8</x:v>
      </x:c>
      <x:c r="J1060" s="9" t="n">
        <x:v>4</x:v>
      </x:c>
      <x:c r="K1060" s="9" t="n">
        <x:v>1</x:v>
      </x:c>
      <x:c r="L1060" s="13" t="n">
        <x:f>SUMIFS('Payments'!$D$5:$D$3014,'Payments'!$B$5:$B$3014,A1060)</x:f>
        <x:v>821.23</x:v>
      </x:c>
      <x:c r="M1060" s="13" t="n">
        <x:f>G1060-L1060</x:f>
        <x:v>3636.56</x:v>
      </x:c>
      <x:c r="N1060" s="9" t="str">
        <x:f>IF(H1060=0,"0 Current",IF(H1060&lt;=30,"1 1-30",IF(H1060&lt;=60,"2 31-60",IF(H1060&lt;=90,"3 61-90",IF(H1060&lt;=120,"4 91-120","5 121+")))))</x:f>
        <x:v>4 91-120</x:v>
      </x:c>
      <x:c r="O1060" s="9" t="n">
        <x:f>IF(J1060&gt;0,1,0)</x:f>
        <x:v>1</x:v>
      </x:c>
    </x:row>
    <x:row r="1061">
      <x:c r="A1061" s="15" t="str">
        <x:v>1057</x:v>
      </x:c>
      <x:c r="B1061" s="9" t="str">
        <x:v>Taylor</x:v>
      </x:c>
      <x:c r="C1061" s="9" t="str">
        <x:v>Credit Card</x:v>
      </x:c>
      <x:c r="D1061" s="9" t="str">
        <x:v>West</x:v>
      </x:c>
      <x:c r="E1061" s="9" t="n">
        <x:v>782</x:v>
      </x:c>
      <x:c r="F1061" s="11" t="n">
        <x:v>46101</x:v>
      </x:c>
      <x:c r="G1061" s="13" t="n">
        <x:v>6102.13</x:v>
      </x:c>
      <x:c r="H1061" s="9" t="n">
        <x:v>10</x:v>
      </x:c>
      <x:c r="I1061" s="9" t="n">
        <x:v>8</x:v>
      </x:c>
      <x:c r="J1061" s="9" t="n">
        <x:v>5</x:v>
      </x:c>
      <x:c r="K1061" s="9" t="n">
        <x:v>1</x:v>
      </x:c>
      <x:c r="L1061" s="13" t="n">
        <x:f>SUMIFS('Payments'!$D$5:$D$3014,'Payments'!$B$5:$B$3014,A1061)</x:f>
        <x:v>1501.1100000000001</x:v>
      </x:c>
      <x:c r="M1061" s="13" t="n">
        <x:f>G1061-L1061</x:f>
        <x:v>4601.02</x:v>
      </x:c>
      <x:c r="N1061" s="9" t="str">
        <x:f>IF(H1061=0,"0 Current",IF(H1061&lt;=30,"1 1-30",IF(H1061&lt;=60,"2 31-60",IF(H1061&lt;=90,"3 61-90",IF(H1061&lt;=120,"4 91-120","5 121+")))))</x:f>
        <x:v>1 1-30</x:v>
      </x:c>
      <x:c r="O1061" s="9" t="n">
        <x:f>IF(J1061&gt;0,1,0)</x:f>
        <x:v>1</x:v>
      </x:c>
    </x:row>
    <x:row r="1062">
      <x:c r="A1062" s="15" t="str">
        <x:v>1058</x:v>
      </x:c>
      <x:c r="B1062" s="9" t="str">
        <x:v>Jordan</x:v>
      </x:c>
      <x:c r="C1062" s="9" t="str">
        <x:v>Medical</x:v>
      </x:c>
      <x:c r="D1062" s="9" t="str">
        <x:v>Midwest</x:v>
      </x:c>
      <x:c r="E1062" s="9" t="n">
        <x:v>663</x:v>
      </x:c>
      <x:c r="F1062" s="11" t="n">
        <x:v>46056</x:v>
      </x:c>
      <x:c r="G1062" s="13" t="n">
        <x:v>9631.48</x:v>
      </x:c>
      <x:c r="H1062" s="9" t="n">
        <x:v>28</x:v>
      </x:c>
      <x:c r="I1062" s="9" t="n">
        <x:v>0</x:v>
      </x:c>
      <x:c r="J1062" s="9" t="n">
        <x:v>0</x:v>
      </x:c>
      <x:c r="K1062" s="9" t="n">
        <x:v>0</x:v>
      </x:c>
      <x:c r="L1062" s="13" t="n">
        <x:f>SUMIFS('Payments'!$D$5:$D$3014,'Payments'!$B$5:$B$3014,A1062)</x:f>
        <x:v>1772.6600000000003</x:v>
      </x:c>
      <x:c r="M1062" s="13" t="n">
        <x:f>G1062-L1062</x:f>
        <x:v>7858.82</x:v>
      </x:c>
      <x:c r="N1062" s="9" t="str">
        <x:f>IF(H1062=0,"0 Current",IF(H1062&lt;=30,"1 1-30",IF(H1062&lt;=60,"2 31-60",IF(H1062&lt;=90,"3 61-90",IF(H1062&lt;=120,"4 91-120","5 121+")))))</x:f>
        <x:v>1 1-30</x:v>
      </x:c>
      <x:c r="O1062" s="9" t="n">
        <x:f>IF(J1062&gt;0,1,0)</x:f>
        <x:v>0</x:v>
      </x:c>
    </x:row>
    <x:row r="1063">
      <x:c r="A1063" s="15" t="str">
        <x:v>1059</x:v>
      </x:c>
      <x:c r="B1063" s="9" t="str">
        <x:v>Alex</x:v>
      </x:c>
      <x:c r="C1063" s="9" t="str">
        <x:v>Personal Loan</x:v>
      </x:c>
      <x:c r="D1063" s="9" t="str">
        <x:v>Northeast</x:v>
      </x:c>
      <x:c r="E1063" s="9" t="n">
        <x:v>608</x:v>
      </x:c>
      <x:c r="F1063" s="11" t="n">
        <x:v>46101</x:v>
      </x:c>
      <x:c r="G1063" s="13" t="n">
        <x:v>3182.83</x:v>
      </x:c>
      <x:c r="H1063" s="9" t="n">
        <x:v>41</x:v>
      </x:c>
      <x:c r="I1063" s="9" t="n">
        <x:v>1</x:v>
      </x:c>
      <x:c r="J1063" s="9" t="n">
        <x:v>0</x:v>
      </x:c>
      <x:c r="K1063" s="9" t="n">
        <x:v>0</x:v>
      </x:c>
      <x:c r="L1063" s="13" t="n">
        <x:f>SUMIFS('Payments'!$D$5:$D$3014,'Payments'!$B$5:$B$3014,A1063)</x:f>
        <x:v>740.08</x:v>
      </x:c>
      <x:c r="M1063" s="13" t="n">
        <x:f>G1063-L1063</x:f>
        <x:v>2442.75</x:v>
      </x:c>
      <x:c r="N1063" s="9" t="str">
        <x:f>IF(H1063=0,"0 Current",IF(H1063&lt;=30,"1 1-30",IF(H1063&lt;=60,"2 31-60",IF(H1063&lt;=90,"3 61-90",IF(H1063&lt;=120,"4 91-120","5 121+")))))</x:f>
        <x:v>2 31-60</x:v>
      </x:c>
      <x:c r="O1063" s="9" t="n">
        <x:f>IF(J1063&gt;0,1,0)</x:f>
        <x:v>0</x:v>
      </x:c>
    </x:row>
    <x:row r="1064">
      <x:c r="A1064" s="15" t="str">
        <x:v>1060</x:v>
      </x:c>
      <x:c r="B1064" s="9" t="str">
        <x:v>Morgan</x:v>
      </x:c>
      <x:c r="C1064" s="9" t="str">
        <x:v>Personal Loan</x:v>
      </x:c>
      <x:c r="D1064" s="9" t="str">
        <x:v>Midwest</x:v>
      </x:c>
      <x:c r="E1064" s="9" t="n">
        <x:v>764</x:v>
      </x:c>
      <x:c r="F1064" s="11" t="n">
        <x:v>46137</x:v>
      </x:c>
      <x:c r="G1064" s="13" t="n">
        <x:v>6935.07</x:v>
      </x:c>
      <x:c r="H1064" s="9" t="n">
        <x:v>147</x:v>
      </x:c>
      <x:c r="I1064" s="9" t="n">
        <x:v>6</x:v>
      </x:c>
      <x:c r="J1064" s="9" t="n">
        <x:v>2</x:v>
      </x:c>
      <x:c r="K1064" s="9" t="n">
        <x:v>0</x:v>
      </x:c>
      <x:c r="L1064" s="13" t="n">
        <x:f>SUMIFS('Payments'!$D$5:$D$3014,'Payments'!$B$5:$B$3014,A1064)</x:f>
        <x:v>1059.8999999999999</x:v>
      </x:c>
      <x:c r="M1064" s="13" t="n">
        <x:f>G1064-L1064</x:f>
        <x:v>5875.17</x:v>
      </x:c>
      <x:c r="N1064" s="9" t="str">
        <x:f>IF(H1064=0,"0 Current",IF(H1064&lt;=30,"1 1-30",IF(H1064&lt;=60,"2 31-60",IF(H1064&lt;=90,"3 61-90",IF(H1064&lt;=120,"4 91-120","5 121+")))))</x:f>
        <x:v>5 121+</x:v>
      </x:c>
      <x:c r="O1064" s="9" t="n">
        <x:f>IF(J1064&gt;0,1,0)</x:f>
        <x:v>1</x:v>
      </x:c>
    </x:row>
    <x:row r="1065">
      <x:c r="A1065" s="15" t="str">
        <x:v>1061</x:v>
      </x:c>
      <x:c r="B1065" s="9" t="str">
        <x:v>Jordan</x:v>
      </x:c>
      <x:c r="C1065" s="9" t="str">
        <x:v>Credit Card</x:v>
      </x:c>
      <x:c r="D1065" s="9" t="str">
        <x:v>Northeast</x:v>
      </x:c>
      <x:c r="E1065" s="9" t="n">
        <x:v>633</x:v>
      </x:c>
      <x:c r="F1065" s="11" t="n">
        <x:v>46047</x:v>
      </x:c>
      <x:c r="G1065" s="13" t="n">
        <x:v>661.43</x:v>
      </x:c>
      <x:c r="H1065" s="9" t="n">
        <x:v>83</x:v>
      </x:c>
      <x:c r="I1065" s="9" t="n">
        <x:v>8</x:v>
      </x:c>
      <x:c r="J1065" s="9" t="n">
        <x:v>5</x:v>
      </x:c>
      <x:c r="K1065" s="9" t="n">
        <x:v>1</x:v>
      </x:c>
      <x:c r="L1065" s="13" t="n">
        <x:f>SUMIFS('Payments'!$D$5:$D$3014,'Payments'!$B$5:$B$3014,A1065)</x:f>
        <x:v>32.13</x:v>
      </x:c>
      <x:c r="M1065" s="13" t="n">
        <x:f>G1065-L1065</x:f>
        <x:v>629.3</x:v>
      </x:c>
      <x:c r="N1065" s="9" t="str">
        <x:f>IF(H1065=0,"0 Current",IF(H1065&lt;=30,"1 1-30",IF(H1065&lt;=60,"2 31-60",IF(H1065&lt;=90,"3 61-90",IF(H1065&lt;=120,"4 91-120","5 121+")))))</x:f>
        <x:v>3 61-90</x:v>
      </x:c>
      <x:c r="O1065" s="9" t="n">
        <x:f>IF(J1065&gt;0,1,0)</x:f>
        <x:v>1</x:v>
      </x:c>
    </x:row>
    <x:row r="1066">
      <x:c r="A1066" s="15" t="str">
        <x:v>1062</x:v>
      </x:c>
      <x:c r="B1066" s="9" t="str">
        <x:v>Morgan</x:v>
      </x:c>
      <x:c r="C1066" s="9" t="str">
        <x:v>Auto</x:v>
      </x:c>
      <x:c r="D1066" s="9" t="str">
        <x:v>Midwest</x:v>
      </x:c>
      <x:c r="E1066" s="9" t="n">
        <x:v>791</x:v>
      </x:c>
      <x:c r="F1066" s="11" t="n">
        <x:v>46133</x:v>
      </x:c>
      <x:c r="G1066" s="13" t="n">
        <x:v>7379.24</x:v>
      </x:c>
      <x:c r="H1066" s="9" t="n">
        <x:v>238</x:v>
      </x:c>
      <x:c r="I1066" s="9" t="n">
        <x:v>8</x:v>
      </x:c>
      <x:c r="J1066" s="9" t="n">
        <x:v>5</x:v>
      </x:c>
      <x:c r="K1066" s="9" t="n">
        <x:v>1</x:v>
      </x:c>
      <x:c r="L1066" s="13" t="n">
        <x:f>SUMIFS('Payments'!$D$5:$D$3014,'Payments'!$B$5:$B$3014,A1066)</x:f>
        <x:v>307.71</x:v>
      </x:c>
      <x:c r="M1066" s="13" t="n">
        <x:f>G1066-L1066</x:f>
        <x:v>7071.53</x:v>
      </x:c>
      <x:c r="N1066" s="9" t="str">
        <x:f>IF(H1066=0,"0 Current",IF(H1066&lt;=30,"1 1-30",IF(H1066&lt;=60,"2 31-60",IF(H1066&lt;=90,"3 61-90",IF(H1066&lt;=120,"4 91-120","5 121+")))))</x:f>
        <x:v>5 121+</x:v>
      </x:c>
      <x:c r="O1066" s="9" t="n">
        <x:f>IF(J1066&gt;0,1,0)</x:f>
        <x:v>1</x:v>
      </x:c>
    </x:row>
    <x:row r="1067">
      <x:c r="A1067" s="15" t="str">
        <x:v>1063</x:v>
      </x:c>
      <x:c r="B1067" s="9" t="str">
        <x:v>Morgan</x:v>
      </x:c>
      <x:c r="C1067" s="9" t="str">
        <x:v>Auto</x:v>
      </x:c>
      <x:c r="D1067" s="9" t="str">
        <x:v>Northeast</x:v>
      </x:c>
      <x:c r="E1067" s="9" t="n">
        <x:v>725</x:v>
      </x:c>
      <x:c r="F1067" s="11" t="n">
        <x:v>46126</x:v>
      </x:c>
      <x:c r="G1067" s="13" t="n">
        <x:v>7925.3</x:v>
      </x:c>
      <x:c r="H1067" s="9" t="n">
        <x:v>26</x:v>
      </x:c>
      <x:c r="I1067" s="9" t="n">
        <x:v>4</x:v>
      </x:c>
      <x:c r="J1067" s="9" t="n">
        <x:v>2</x:v>
      </x:c>
      <x:c r="K1067" s="9" t="n">
        <x:v>1</x:v>
      </x:c>
      <x:c r="L1067" s="13" t="n">
        <x:f>SUMIFS('Payments'!$D$5:$D$3014,'Payments'!$B$5:$B$3014,A1067)</x:f>
        <x:v>578.92</x:v>
      </x:c>
      <x:c r="M1067" s="13" t="n">
        <x:f>G1067-L1067</x:f>
        <x:v>7346.38</x:v>
      </x:c>
      <x:c r="N1067" s="9" t="str">
        <x:f>IF(H1067=0,"0 Current",IF(H1067&lt;=30,"1 1-30",IF(H1067&lt;=60,"2 31-60",IF(H1067&lt;=90,"3 61-90",IF(H1067&lt;=120,"4 91-120","5 121+")))))</x:f>
        <x:v>1 1-30</x:v>
      </x:c>
      <x:c r="O1067" s="9" t="n">
        <x:f>IF(J1067&gt;0,1,0)</x:f>
        <x:v>1</x:v>
      </x:c>
    </x:row>
    <x:row r="1068">
      <x:c r="A1068" s="15" t="str">
        <x:v>1064</x:v>
      </x:c>
      <x:c r="B1068" s="9" t="str">
        <x:v>Taylor</x:v>
      </x:c>
      <x:c r="C1068" s="9" t="str">
        <x:v>Medical</x:v>
      </x:c>
      <x:c r="D1068" s="9" t="str">
        <x:v>West</x:v>
      </x:c>
      <x:c r="E1068" s="9" t="n">
        <x:v>555</x:v>
      </x:c>
      <x:c r="F1068" s="11" t="n">
        <x:v>46062</x:v>
      </x:c>
      <x:c r="G1068" s="13" t="n">
        <x:v>4658.62</x:v>
      </x:c>
      <x:c r="H1068" s="9" t="n">
        <x:v>89</x:v>
      </x:c>
      <x:c r="I1068" s="9" t="n">
        <x:v>8</x:v>
      </x:c>
      <x:c r="J1068" s="9" t="n">
        <x:v>3</x:v>
      </x:c>
      <x:c r="K1068" s="9" t="n">
        <x:v>0</x:v>
      </x:c>
      <x:c r="L1068" s="13" t="n">
        <x:f>SUMIFS('Payments'!$D$5:$D$3014,'Payments'!$B$5:$B$3014,A1068)</x:f>
        <x:v>312.17</x:v>
      </x:c>
      <x:c r="M1068" s="13" t="n">
        <x:f>G1068-L1068</x:f>
        <x:v>4346.45</x:v>
      </x:c>
      <x:c r="N1068" s="9" t="str">
        <x:f>IF(H1068=0,"0 Current",IF(H1068&lt;=30,"1 1-30",IF(H1068&lt;=60,"2 31-60",IF(H1068&lt;=90,"3 61-90",IF(H1068&lt;=120,"4 91-120","5 121+")))))</x:f>
        <x:v>3 61-90</x:v>
      </x:c>
      <x:c r="O1068" s="9" t="n">
        <x:f>IF(J1068&gt;0,1,0)</x:f>
        <x:v>1</x:v>
      </x:c>
    </x:row>
    <x:row r="1069">
      <x:c r="A1069" s="15" t="str">
        <x:v>1065</x:v>
      </x:c>
      <x:c r="B1069" s="9" t="str">
        <x:v>Alex</x:v>
      </x:c>
      <x:c r="C1069" s="9" t="str">
        <x:v>Medical</x:v>
      </x:c>
      <x:c r="D1069" s="9" t="str">
        <x:v>South</x:v>
      </x:c>
      <x:c r="E1069" s="9" t="n">
        <x:v>789</x:v>
      </x:c>
      <x:c r="F1069" s="11" t="n">
        <x:v>46091</x:v>
      </x:c>
      <x:c r="G1069" s="13" t="n">
        <x:v>10875.12</x:v>
      </x:c>
      <x:c r="H1069" s="9" t="n">
        <x:v>119</x:v>
      </x:c>
      <x:c r="I1069" s="9" t="n">
        <x:v>6</x:v>
      </x:c>
      <x:c r="J1069" s="9" t="n">
        <x:v>3</x:v>
      </x:c>
      <x:c r="K1069" s="9" t="n">
        <x:v>0</x:v>
      </x:c>
      <x:c r="L1069" s="13" t="n">
        <x:f>SUMIFS('Payments'!$D$5:$D$3014,'Payments'!$B$5:$B$3014,A1069)</x:f>
        <x:v>3120.7200000000003</x:v>
      </x:c>
      <x:c r="M1069" s="13" t="n">
        <x:f>G1069-L1069</x:f>
        <x:v>7754.400000000001</x:v>
      </x:c>
      <x:c r="N1069" s="9" t="str">
        <x:f>IF(H1069=0,"0 Current",IF(H1069&lt;=30,"1 1-30",IF(H1069&lt;=60,"2 31-60",IF(H1069&lt;=90,"3 61-90",IF(H1069&lt;=120,"4 91-120","5 121+")))))</x:f>
        <x:v>4 91-120</x:v>
      </x:c>
      <x:c r="O1069" s="9" t="n">
        <x:f>IF(J1069&gt;0,1,0)</x:f>
        <x:v>1</x:v>
      </x:c>
    </x:row>
    <x:row r="1070">
      <x:c r="A1070" s="15" t="str">
        <x:v>1066</x:v>
      </x:c>
      <x:c r="B1070" s="9" t="str">
        <x:v>Morgan</x:v>
      </x:c>
      <x:c r="C1070" s="9" t="str">
        <x:v>Personal Loan</x:v>
      </x:c>
      <x:c r="D1070" s="9" t="str">
        <x:v>Northeast</x:v>
      </x:c>
      <x:c r="E1070" s="9" t="n">
        <x:v>718</x:v>
      </x:c>
      <x:c r="F1070" s="11" t="n">
        <x:v>46061</x:v>
      </x:c>
      <x:c r="G1070" s="13" t="n">
        <x:v>16890.88</x:v>
      </x:c>
      <x:c r="H1070" s="9" t="n">
        <x:v>178</x:v>
      </x:c>
      <x:c r="I1070" s="9" t="n">
        <x:v>1</x:v>
      </x:c>
      <x:c r="J1070" s="9" t="n">
        <x:v>0</x:v>
      </x:c>
      <x:c r="K1070" s="9" t="n">
        <x:v>0</x:v>
      </x:c>
      <x:c r="L1070" s="13" t="n">
        <x:f>SUMIFS('Payments'!$D$5:$D$3014,'Payments'!$B$5:$B$3014,A1070)</x:f>
        <x:v>5034.889999999999</x:v>
      </x:c>
      <x:c r="M1070" s="13" t="n">
        <x:f>G1070-L1070</x:f>
        <x:v>11855.990000000002</x:v>
      </x:c>
      <x:c r="N1070" s="9" t="str">
        <x:f>IF(H1070=0,"0 Current",IF(H1070&lt;=30,"1 1-30",IF(H1070&lt;=60,"2 31-60",IF(H1070&lt;=90,"3 61-90",IF(H1070&lt;=120,"4 91-120","5 121+")))))</x:f>
        <x:v>5 121+</x:v>
      </x:c>
      <x:c r="O1070" s="9" t="n">
        <x:f>IF(J1070&gt;0,1,0)</x:f>
        <x:v>0</x:v>
      </x:c>
    </x:row>
    <x:row r="1071">
      <x:c r="A1071" s="15" t="str">
        <x:v>1067</x:v>
      </x:c>
      <x:c r="B1071" s="9" t="str">
        <x:v>Riley</x:v>
      </x:c>
      <x:c r="C1071" s="9" t="str">
        <x:v>Medical</x:v>
      </x:c>
      <x:c r="D1071" s="9" t="str">
        <x:v>West</x:v>
      </x:c>
      <x:c r="E1071" s="9" t="n">
        <x:v>507</x:v>
      </x:c>
      <x:c r="F1071" s="11" t="n">
        <x:v>46075</x:v>
      </x:c>
      <x:c r="G1071" s="13" t="n">
        <x:v>13420.46</x:v>
      </x:c>
      <x:c r="H1071" s="9" t="n">
        <x:v>87</x:v>
      </x:c>
      <x:c r="I1071" s="9" t="n">
        <x:v>7</x:v>
      </x:c>
      <x:c r="J1071" s="9" t="n">
        <x:v>1</x:v>
      </x:c>
      <x:c r="K1071" s="9" t="n">
        <x:v>0</x:v>
      </x:c>
      <x:c r="L1071" s="13" t="n">
        <x:f>SUMIFS('Payments'!$D$5:$D$3014,'Payments'!$B$5:$B$3014,A1071)</x:f>
        <x:v>1746.6599999999999</x:v>
      </x:c>
      <x:c r="M1071" s="13" t="n">
        <x:f>G1071-L1071</x:f>
        <x:v>11673.8</x:v>
      </x:c>
      <x:c r="N1071" s="9" t="str">
        <x:f>IF(H1071=0,"0 Current",IF(H1071&lt;=30,"1 1-30",IF(H1071&lt;=60,"2 31-60",IF(H1071&lt;=90,"3 61-90",IF(H1071&lt;=120,"4 91-120","5 121+")))))</x:f>
        <x:v>3 61-90</x:v>
      </x:c>
      <x:c r="O1071" s="9" t="n">
        <x:f>IF(J1071&gt;0,1,0)</x:f>
        <x:v>1</x:v>
      </x:c>
    </x:row>
    <x:row r="1072">
      <x:c r="A1072" s="15" t="str">
        <x:v>1068</x:v>
      </x:c>
      <x:c r="B1072" s="9" t="str">
        <x:v>Riley</x:v>
      </x:c>
      <x:c r="C1072" s="9" t="str">
        <x:v>Auto</x:v>
      </x:c>
      <x:c r="D1072" s="9" t="str">
        <x:v>West</x:v>
      </x:c>
      <x:c r="E1072" s="9" t="n">
        <x:v>495</x:v>
      </x:c>
      <x:c r="F1072" s="11" t="n">
        <x:v>46166</x:v>
      </x:c>
      <x:c r="G1072" s="13" t="n">
        <x:v>661.36</x:v>
      </x:c>
      <x:c r="H1072" s="9" t="n">
        <x:v>78</x:v>
      </x:c>
      <x:c r="I1072" s="9" t="n">
        <x:v>4</x:v>
      </x:c>
      <x:c r="J1072" s="9" t="n">
        <x:v>3</x:v>
      </x:c>
      <x:c r="K1072" s="9" t="n">
        <x:v>1</x:v>
      </x:c>
      <x:c r="L1072" s="13" t="n">
        <x:f>SUMIFS('Payments'!$D$5:$D$3014,'Payments'!$B$5:$B$3014,A1072)</x:f>
        <x:v>102.99</x:v>
      </x:c>
      <x:c r="M1072" s="13" t="n">
        <x:f>G1072-L1072</x:f>
        <x:v>558.37</x:v>
      </x:c>
      <x:c r="N1072" s="9" t="str">
        <x:f>IF(H1072=0,"0 Current",IF(H1072&lt;=30,"1 1-30",IF(H1072&lt;=60,"2 31-60",IF(H1072&lt;=90,"3 61-90",IF(H1072&lt;=120,"4 91-120","5 121+")))))</x:f>
        <x:v>3 61-90</x:v>
      </x:c>
      <x:c r="O1072" s="9" t="n">
        <x:f>IF(J1072&gt;0,1,0)</x:f>
        <x:v>1</x:v>
      </x:c>
    </x:row>
    <x:row r="1073">
      <x:c r="A1073" s="15" t="str">
        <x:v>1069</x:v>
      </x:c>
      <x:c r="B1073" s="9" t="str">
        <x:v>Morgan</x:v>
      </x:c>
      <x:c r="C1073" s="9" t="str">
        <x:v>Personal Loan</x:v>
      </x:c>
      <x:c r="D1073" s="9" t="str">
        <x:v>South</x:v>
      </x:c>
      <x:c r="E1073" s="9" t="n">
        <x:v>436</x:v>
      </x:c>
      <x:c r="F1073" s="11" t="n">
        <x:v>46085</x:v>
      </x:c>
      <x:c r="G1073" s="13" t="n">
        <x:v>12620.5</x:v>
      </x:c>
      <x:c r="H1073" s="9" t="n">
        <x:v>52</x:v>
      </x:c>
      <x:c r="I1073" s="9" t="n">
        <x:v>8</x:v>
      </x:c>
      <x:c r="J1073" s="9" t="n">
        <x:v>3</x:v>
      </x:c>
      <x:c r="K1073" s="9" t="n">
        <x:v>1</x:v>
      </x:c>
      <x:c r="L1073" s="13" t="n">
        <x:f>SUMIFS('Payments'!$D$5:$D$3014,'Payments'!$B$5:$B$3014,A1073)</x:f>
        <x:v>3950.51</x:v>
      </x:c>
      <x:c r="M1073" s="13" t="n">
        <x:f>G1073-L1073</x:f>
        <x:v>8669.99</x:v>
      </x:c>
      <x:c r="N1073" s="9" t="str">
        <x:f>IF(H1073=0,"0 Current",IF(H1073&lt;=30,"1 1-30",IF(H1073&lt;=60,"2 31-60",IF(H1073&lt;=90,"3 61-90",IF(H1073&lt;=120,"4 91-120","5 121+")))))</x:f>
        <x:v>2 31-60</x:v>
      </x:c>
      <x:c r="O1073" s="9" t="n">
        <x:f>IF(J1073&gt;0,1,0)</x:f>
        <x:v>1</x:v>
      </x:c>
    </x:row>
    <x:row r="1074">
      <x:c r="A1074" s="15" t="str">
        <x:v>1070</x:v>
      </x:c>
      <x:c r="B1074" s="9" t="str">
        <x:v>Alex</x:v>
      </x:c>
      <x:c r="C1074" s="9" t="str">
        <x:v>Auto</x:v>
      </x:c>
      <x:c r="D1074" s="9" t="str">
        <x:v>Northeast</x:v>
      </x:c>
      <x:c r="E1074" s="9" t="n">
        <x:v>517</x:v>
      </x:c>
      <x:c r="F1074" s="11" t="n">
        <x:v>46058</x:v>
      </x:c>
      <x:c r="G1074" s="13" t="n">
        <x:v>19738.47</x:v>
      </x:c>
      <x:c r="H1074" s="9" t="n">
        <x:v>102</x:v>
      </x:c>
      <x:c r="I1074" s="9" t="n">
        <x:v>2</x:v>
      </x:c>
      <x:c r="J1074" s="9" t="n">
        <x:v>0</x:v>
      </x:c>
      <x:c r="K1074" s="9" t="n">
        <x:v>0</x:v>
      </x:c>
      <x:c r="L1074" s="13" t="n">
        <x:f>SUMIFS('Payments'!$D$5:$D$3014,'Payments'!$B$5:$B$3014,A1074)</x:f>
        <x:v>1516.72</x:v>
      </x:c>
      <x:c r="M1074" s="13" t="n">
        <x:f>G1074-L1074</x:f>
        <x:v>18221.75</x:v>
      </x:c>
      <x:c r="N1074" s="9" t="str">
        <x:f>IF(H1074=0,"0 Current",IF(H1074&lt;=30,"1 1-30",IF(H1074&lt;=60,"2 31-60",IF(H1074&lt;=90,"3 61-90",IF(H1074&lt;=120,"4 91-120","5 121+")))))</x:f>
        <x:v>4 91-120</x:v>
      </x:c>
      <x:c r="O1074" s="9" t="n">
        <x:f>IF(J1074&gt;0,1,0)</x:f>
        <x:v>0</x:v>
      </x:c>
    </x:row>
    <x:row r="1075">
      <x:c r="A1075" s="15" t="str">
        <x:v>1071</x:v>
      </x:c>
      <x:c r="B1075" s="9" t="str">
        <x:v>Alex</x:v>
      </x:c>
      <x:c r="C1075" s="9" t="str">
        <x:v>Medical</x:v>
      </x:c>
      <x:c r="D1075" s="9" t="str">
        <x:v>Northeast</x:v>
      </x:c>
      <x:c r="E1075" s="9" t="n">
        <x:v>645</x:v>
      </x:c>
      <x:c r="F1075" s="11" t="n">
        <x:v>46049</x:v>
      </x:c>
      <x:c r="G1075" s="13" t="n">
        <x:v>9787.84</x:v>
      </x:c>
      <x:c r="H1075" s="9" t="n">
        <x:v>223</x:v>
      </x:c>
      <x:c r="I1075" s="9" t="n">
        <x:v>5</x:v>
      </x:c>
      <x:c r="J1075" s="9" t="n">
        <x:v>2</x:v>
      </x:c>
      <x:c r="K1075" s="9" t="n">
        <x:v>0</x:v>
      </x:c>
      <x:c r="L1075" s="13" t="n">
        <x:f>SUMIFS('Payments'!$D$5:$D$3014,'Payments'!$B$5:$B$3014,A1075)</x:f>
        <x:v>0</x:v>
      </x:c>
      <x:c r="M1075" s="13" t="n">
        <x:f>G1075-L1075</x:f>
        <x:v>9787.84</x:v>
      </x:c>
      <x:c r="N1075" s="9" t="str">
        <x:f>IF(H1075=0,"0 Current",IF(H1075&lt;=30,"1 1-30",IF(H1075&lt;=60,"2 31-60",IF(H1075&lt;=90,"3 61-90",IF(H1075&lt;=120,"4 91-120","5 121+")))))</x:f>
        <x:v>5 121+</x:v>
      </x:c>
      <x:c r="O1075" s="9" t="n">
        <x:f>IF(J1075&gt;0,1,0)</x:f>
        <x:v>1</x:v>
      </x:c>
    </x:row>
    <x:row r="1076">
      <x:c r="A1076" s="15" t="str">
        <x:v>1072</x:v>
      </x:c>
      <x:c r="B1076" s="9" t="str">
        <x:v>Alex</x:v>
      </x:c>
      <x:c r="C1076" s="9" t="str">
        <x:v>Medical</x:v>
      </x:c>
      <x:c r="D1076" s="9" t="str">
        <x:v>Midwest</x:v>
      </x:c>
      <x:c r="E1076" s="9" t="n">
        <x:v>634</x:v>
      </x:c>
      <x:c r="F1076" s="11" t="n">
        <x:v>46129</x:v>
      </x:c>
      <x:c r="G1076" s="13" t="n">
        <x:v>10422.14</x:v>
      </x:c>
      <x:c r="H1076" s="9" t="n">
        <x:v>236</x:v>
      </x:c>
      <x:c r="I1076" s="9" t="n">
        <x:v>3</x:v>
      </x:c>
      <x:c r="J1076" s="9" t="n">
        <x:v>2</x:v>
      </x:c>
      <x:c r="K1076" s="9" t="n">
        <x:v>0</x:v>
      </x:c>
      <x:c r="L1076" s="13" t="n">
        <x:f>SUMIFS('Payments'!$D$5:$D$3014,'Payments'!$B$5:$B$3014,A1076)</x:f>
        <x:v>2324.7200000000003</x:v>
      </x:c>
      <x:c r="M1076" s="13" t="n">
        <x:f>G1076-L1076</x:f>
        <x:v>8097.419999999999</x:v>
      </x:c>
      <x:c r="N1076" s="9" t="str">
        <x:f>IF(H1076=0,"0 Current",IF(H1076&lt;=30,"1 1-30",IF(H1076&lt;=60,"2 31-60",IF(H1076&lt;=90,"3 61-90",IF(H1076&lt;=120,"4 91-120","5 121+")))))</x:f>
        <x:v>5 121+</x:v>
      </x:c>
      <x:c r="O1076" s="9" t="n">
        <x:f>IF(J1076&gt;0,1,0)</x:f>
        <x:v>1</x:v>
      </x:c>
    </x:row>
    <x:row r="1077">
      <x:c r="A1077" s="15" t="str">
        <x:v>1073</x:v>
      </x:c>
      <x:c r="B1077" s="9" t="str">
        <x:v>Alex</x:v>
      </x:c>
      <x:c r="C1077" s="9" t="str">
        <x:v>Personal Loan</x:v>
      </x:c>
      <x:c r="D1077" s="9" t="str">
        <x:v>South</x:v>
      </x:c>
      <x:c r="E1077" s="9" t="n">
        <x:v>631</x:v>
      </x:c>
      <x:c r="F1077" s="11" t="n">
        <x:v>46114</x:v>
      </x:c>
      <x:c r="G1077" s="13" t="n">
        <x:v>9027.26</x:v>
      </x:c>
      <x:c r="H1077" s="9" t="n">
        <x:v>99</x:v>
      </x:c>
      <x:c r="I1077" s="9" t="n">
        <x:v>3</x:v>
      </x:c>
      <x:c r="J1077" s="9" t="n">
        <x:v>2</x:v>
      </x:c>
      <x:c r="K1077" s="9" t="n">
        <x:v>1</x:v>
      </x:c>
      <x:c r="L1077" s="13" t="n">
        <x:f>SUMIFS('Payments'!$D$5:$D$3014,'Payments'!$B$5:$B$3014,A1077)</x:f>
        <x:v>489.42</x:v>
      </x:c>
      <x:c r="M1077" s="13" t="n">
        <x:f>G1077-L1077</x:f>
        <x:v>8537.84</x:v>
      </x:c>
      <x:c r="N1077" s="9" t="str">
        <x:f>IF(H1077=0,"0 Current",IF(H1077&lt;=30,"1 1-30",IF(H1077&lt;=60,"2 31-60",IF(H1077&lt;=90,"3 61-90",IF(H1077&lt;=120,"4 91-120","5 121+")))))</x:f>
        <x:v>4 91-120</x:v>
      </x:c>
      <x:c r="O1077" s="9" t="n">
        <x:f>IF(J1077&gt;0,1,0)</x:f>
        <x:v>1</x:v>
      </x:c>
    </x:row>
    <x:row r="1078">
      <x:c r="A1078" s="15" t="str">
        <x:v>1074</x:v>
      </x:c>
      <x:c r="B1078" s="9" t="str">
        <x:v>Riley</x:v>
      </x:c>
      <x:c r="C1078" s="9" t="str">
        <x:v>Auto</x:v>
      </x:c>
      <x:c r="D1078" s="9" t="str">
        <x:v>South</x:v>
      </x:c>
      <x:c r="E1078" s="9" t="n">
        <x:v>630</x:v>
      </x:c>
      <x:c r="F1078" s="11" t="n">
        <x:v>46168</x:v>
      </x:c>
      <x:c r="G1078" s="13" t="n">
        <x:v>2672.07</x:v>
      </x:c>
      <x:c r="H1078" s="9" t="n">
        <x:v>233</x:v>
      </x:c>
      <x:c r="I1078" s="9" t="n">
        <x:v>1</x:v>
      </x:c>
      <x:c r="J1078" s="9" t="n">
        <x:v>0</x:v>
      </x:c>
      <x:c r="K1078" s="9" t="n">
        <x:v>0</x:v>
      </x:c>
      <x:c r="L1078" s="13" t="n">
        <x:f>SUMIFS('Payments'!$D$5:$D$3014,'Payments'!$B$5:$B$3014,A1078)</x:f>
        <x:v>0</x:v>
      </x:c>
      <x:c r="M1078" s="13" t="n">
        <x:f>G1078-L1078</x:f>
        <x:v>2672.07</x:v>
      </x:c>
      <x:c r="N1078" s="9" t="str">
        <x:f>IF(H1078=0,"0 Current",IF(H1078&lt;=30,"1 1-30",IF(H1078&lt;=60,"2 31-60",IF(H1078&lt;=90,"3 61-90",IF(H1078&lt;=120,"4 91-120","5 121+")))))</x:f>
        <x:v>5 121+</x:v>
      </x:c>
      <x:c r="O1078" s="9" t="n">
        <x:f>IF(J1078&gt;0,1,0)</x:f>
        <x:v>0</x:v>
      </x:c>
    </x:row>
    <x:row r="1079">
      <x:c r="A1079" s="15" t="str">
        <x:v>1075</x:v>
      </x:c>
      <x:c r="B1079" s="9" t="str">
        <x:v>Alex</x:v>
      </x:c>
      <x:c r="C1079" s="9" t="str">
        <x:v>Credit Card</x:v>
      </x:c>
      <x:c r="D1079" s="9" t="str">
        <x:v>West</x:v>
      </x:c>
      <x:c r="E1079" s="9" t="n">
        <x:v>796</x:v>
      </x:c>
      <x:c r="F1079" s="11" t="n">
        <x:v>46129</x:v>
      </x:c>
      <x:c r="G1079" s="13" t="n">
        <x:v>1964.62</x:v>
      </x:c>
      <x:c r="H1079" s="9" t="n">
        <x:v>161</x:v>
      </x:c>
      <x:c r="I1079" s="9" t="n">
        <x:v>1</x:v>
      </x:c>
      <x:c r="J1079" s="9" t="n">
        <x:v>0</x:v>
      </x:c>
      <x:c r="K1079" s="9" t="n">
        <x:v>0</x:v>
      </x:c>
      <x:c r="L1079" s="13" t="n">
        <x:f>SUMIFS('Payments'!$D$5:$D$3014,'Payments'!$B$5:$B$3014,A1079)</x:f>
        <x:v>150.15</x:v>
      </x:c>
      <x:c r="M1079" s="13" t="n">
        <x:f>G1079-L1079</x:f>
        <x:v>1814.4699999999998</x:v>
      </x:c>
      <x:c r="N1079" s="9" t="str">
        <x:f>IF(H1079=0,"0 Current",IF(H1079&lt;=30,"1 1-30",IF(H1079&lt;=60,"2 31-60",IF(H1079&lt;=90,"3 61-90",IF(H1079&lt;=120,"4 91-120","5 121+")))))</x:f>
        <x:v>5 121+</x:v>
      </x:c>
      <x:c r="O1079" s="9" t="n">
        <x:f>IF(J1079&gt;0,1,0)</x:f>
        <x:v>0</x:v>
      </x:c>
    </x:row>
    <x:row r="1080">
      <x:c r="A1080" s="15" t="str">
        <x:v>1076</x:v>
      </x:c>
      <x:c r="B1080" s="9" t="str">
        <x:v>Jordan</x:v>
      </x:c>
      <x:c r="C1080" s="9" t="str">
        <x:v>Medical</x:v>
      </x:c>
      <x:c r="D1080" s="9" t="str">
        <x:v>Northeast</x:v>
      </x:c>
      <x:c r="E1080" s="9" t="n">
        <x:v>781</x:v>
      </x:c>
      <x:c r="F1080" s="11" t="n">
        <x:v>46098</x:v>
      </x:c>
      <x:c r="G1080" s="13" t="n">
        <x:v>13209.41</x:v>
      </x:c>
      <x:c r="H1080" s="9" t="n">
        <x:v>153</x:v>
      </x:c>
      <x:c r="I1080" s="9" t="n">
        <x:v>5</x:v>
      </x:c>
      <x:c r="J1080" s="9" t="n">
        <x:v>2</x:v>
      </x:c>
      <x:c r="K1080" s="9" t="n">
        <x:v>0</x:v>
      </x:c>
      <x:c r="L1080" s="13" t="n">
        <x:f>SUMIFS('Payments'!$D$5:$D$3014,'Payments'!$B$5:$B$3014,A1080)</x:f>
        <x:v>3785.4500000000003</x:v>
      </x:c>
      <x:c r="M1080" s="13" t="n">
        <x:f>G1080-L1080</x:f>
        <x:v>9423.96</x:v>
      </x:c>
      <x:c r="N1080" s="9" t="str">
        <x:f>IF(H1080=0,"0 Current",IF(H1080&lt;=30,"1 1-30",IF(H1080&lt;=60,"2 31-60",IF(H1080&lt;=90,"3 61-90",IF(H1080&lt;=120,"4 91-120","5 121+")))))</x:f>
        <x:v>5 121+</x:v>
      </x:c>
      <x:c r="O1080" s="9" t="n">
        <x:f>IF(J1080&gt;0,1,0)</x:f>
        <x:v>1</x:v>
      </x:c>
    </x:row>
    <x:row r="1081">
      <x:c r="A1081" s="15" t="str">
        <x:v>1077</x:v>
      </x:c>
      <x:c r="B1081" s="9" t="str">
        <x:v>Casey</x:v>
      </x:c>
      <x:c r="C1081" s="9" t="str">
        <x:v>Personal Loan</x:v>
      </x:c>
      <x:c r="D1081" s="9" t="str">
        <x:v>South</x:v>
      </x:c>
      <x:c r="E1081" s="9" t="n">
        <x:v>685</x:v>
      </x:c>
      <x:c r="F1081" s="11" t="n">
        <x:v>46134</x:v>
      </x:c>
      <x:c r="G1081" s="13" t="n">
        <x:v>20535.63</x:v>
      </x:c>
      <x:c r="H1081" s="9" t="n">
        <x:v>238</x:v>
      </x:c>
      <x:c r="I1081" s="9" t="n">
        <x:v>5</x:v>
      </x:c>
      <x:c r="J1081" s="9" t="n">
        <x:v>0</x:v>
      </x:c>
      <x:c r="K1081" s="9" t="n">
        <x:v>0</x:v>
      </x:c>
      <x:c r="L1081" s="13" t="n">
        <x:f>SUMIFS('Payments'!$D$5:$D$3014,'Payments'!$B$5:$B$3014,A1081)</x:f>
        <x:v>2853.8999999999996</x:v>
      </x:c>
      <x:c r="M1081" s="13" t="n">
        <x:f>G1081-L1081</x:f>
        <x:v>17681.730000000003</x:v>
      </x:c>
      <x:c r="N1081" s="9" t="str">
        <x:f>IF(H1081=0,"0 Current",IF(H1081&lt;=30,"1 1-30",IF(H1081&lt;=60,"2 31-60",IF(H1081&lt;=90,"3 61-90",IF(H1081&lt;=120,"4 91-120","5 121+")))))</x:f>
        <x:v>5 121+</x:v>
      </x:c>
      <x:c r="O1081" s="9" t="n">
        <x:f>IF(J1081&gt;0,1,0)</x:f>
        <x:v>0</x:v>
      </x:c>
    </x:row>
    <x:row r="1082">
      <x:c r="A1082" s="15" t="str">
        <x:v>1078</x:v>
      </x:c>
      <x:c r="B1082" s="9" t="str">
        <x:v>Jordan</x:v>
      </x:c>
      <x:c r="C1082" s="9" t="str">
        <x:v>Medical</x:v>
      </x:c>
      <x:c r="D1082" s="9" t="str">
        <x:v>South</x:v>
      </x:c>
      <x:c r="E1082" s="9" t="n">
        <x:v>707</x:v>
      </x:c>
      <x:c r="F1082" s="11" t="n">
        <x:v>46096</x:v>
      </x:c>
      <x:c r="G1082" s="13" t="n">
        <x:v>14160.02</x:v>
      </x:c>
      <x:c r="H1082" s="9" t="n">
        <x:v>153</x:v>
      </x:c>
      <x:c r="I1082" s="9" t="n">
        <x:v>3</x:v>
      </x:c>
      <x:c r="J1082" s="9" t="n">
        <x:v>0</x:v>
      </x:c>
      <x:c r="K1082" s="9" t="n">
        <x:v>0</x:v>
      </x:c>
      <x:c r="L1082" s="13" t="n">
        <x:f>SUMIFS('Payments'!$D$5:$D$3014,'Payments'!$B$5:$B$3014,A1082)</x:f>
        <x:v>1745.47</x:v>
      </x:c>
      <x:c r="M1082" s="13" t="n">
        <x:f>G1082-L1082</x:f>
        <x:v>12414.550000000001</x:v>
      </x:c>
      <x:c r="N1082" s="9" t="str">
        <x:f>IF(H1082=0,"0 Current",IF(H1082&lt;=30,"1 1-30",IF(H1082&lt;=60,"2 31-60",IF(H1082&lt;=90,"3 61-90",IF(H1082&lt;=120,"4 91-120","5 121+")))))</x:f>
        <x:v>5 121+</x:v>
      </x:c>
      <x:c r="O1082" s="9" t="n">
        <x:f>IF(J1082&gt;0,1,0)</x:f>
        <x:v>0</x:v>
      </x:c>
    </x:row>
    <x:row r="1083">
      <x:c r="A1083" s="15" t="str">
        <x:v>1079</x:v>
      </x:c>
      <x:c r="B1083" s="9" t="str">
        <x:v>Alex</x:v>
      </x:c>
      <x:c r="C1083" s="9" t="str">
        <x:v>Medical</x:v>
      </x:c>
      <x:c r="D1083" s="9" t="str">
        <x:v>Midwest</x:v>
      </x:c>
      <x:c r="E1083" s="9" t="n">
        <x:v>759</x:v>
      </x:c>
      <x:c r="F1083" s="11" t="n">
        <x:v>46112</x:v>
      </x:c>
      <x:c r="G1083" s="13" t="n">
        <x:v>9650.35</x:v>
      </x:c>
      <x:c r="H1083" s="9" t="n">
        <x:v>179</x:v>
      </x:c>
      <x:c r="I1083" s="9" t="n">
        <x:v>1</x:v>
      </x:c>
      <x:c r="J1083" s="9" t="n">
        <x:v>1</x:v>
      </x:c>
      <x:c r="K1083" s="9" t="n">
        <x:v>1</x:v>
      </x:c>
      <x:c r="L1083" s="13" t="n">
        <x:f>SUMIFS('Payments'!$D$5:$D$3014,'Payments'!$B$5:$B$3014,A1083)</x:f>
        <x:v>2465.05</x:v>
      </x:c>
      <x:c r="M1083" s="13" t="n">
        <x:f>G1083-L1083</x:f>
        <x:v>7185.3</x:v>
      </x:c>
      <x:c r="N1083" s="9" t="str">
        <x:f>IF(H1083=0,"0 Current",IF(H1083&lt;=30,"1 1-30",IF(H1083&lt;=60,"2 31-60",IF(H1083&lt;=90,"3 61-90",IF(H1083&lt;=120,"4 91-120","5 121+")))))</x:f>
        <x:v>5 121+</x:v>
      </x:c>
      <x:c r="O1083" s="9" t="n">
        <x:f>IF(J1083&gt;0,1,0)</x:f>
        <x:v>1</x:v>
      </x:c>
    </x:row>
    <x:row r="1084">
      <x:c r="A1084" s="15" t="str">
        <x:v>1080</x:v>
      </x:c>
      <x:c r="B1084" s="9" t="str">
        <x:v>Taylor</x:v>
      </x:c>
      <x:c r="C1084" s="9" t="str">
        <x:v>Medical</x:v>
      </x:c>
      <x:c r="D1084" s="9" t="str">
        <x:v>West</x:v>
      </x:c>
      <x:c r="E1084" s="9" t="n">
        <x:v>689</x:v>
      </x:c>
      <x:c r="F1084" s="11" t="n">
        <x:v>46143</x:v>
      </x:c>
      <x:c r="G1084" s="13" t="n">
        <x:v>10433.3</x:v>
      </x:c>
      <x:c r="H1084" s="9" t="n">
        <x:v>162</x:v>
      </x:c>
      <x:c r="I1084" s="9" t="n">
        <x:v>8</x:v>
      </x:c>
      <x:c r="J1084" s="9" t="n">
        <x:v>2</x:v>
      </x:c>
      <x:c r="K1084" s="9" t="n">
        <x:v>0</x:v>
      </x:c>
      <x:c r="L1084" s="13" t="n">
        <x:f>SUMIFS('Payments'!$D$5:$D$3014,'Payments'!$B$5:$B$3014,A1084)</x:f>
        <x:v>1591</x:v>
      </x:c>
      <x:c r="M1084" s="13" t="n">
        <x:f>G1084-L1084</x:f>
        <x:v>8842.3</x:v>
      </x:c>
      <x:c r="N1084" s="9" t="str">
        <x:f>IF(H1084=0,"0 Current",IF(H1084&lt;=30,"1 1-30",IF(H1084&lt;=60,"2 31-60",IF(H1084&lt;=90,"3 61-90",IF(H1084&lt;=120,"4 91-120","5 121+")))))</x:f>
        <x:v>5 121+</x:v>
      </x:c>
      <x:c r="O1084" s="9" t="n">
        <x:f>IF(J1084&gt;0,1,0)</x:f>
        <x:v>1</x:v>
      </x:c>
    </x:row>
    <x:row r="1085">
      <x:c r="A1085" s="15" t="str">
        <x:v>1081</x:v>
      </x:c>
      <x:c r="B1085" s="9" t="str">
        <x:v>Alex</x:v>
      </x:c>
      <x:c r="C1085" s="9" t="str">
        <x:v>Personal Loan</x:v>
      </x:c>
      <x:c r="D1085" s="9" t="str">
        <x:v>West</x:v>
      </x:c>
      <x:c r="E1085" s="9" t="n">
        <x:v>580</x:v>
      </x:c>
      <x:c r="F1085" s="11" t="n">
        <x:v>46048</x:v>
      </x:c>
      <x:c r="G1085" s="13" t="n">
        <x:v>17532.23</x:v>
      </x:c>
      <x:c r="H1085" s="9" t="n">
        <x:v>125</x:v>
      </x:c>
      <x:c r="I1085" s="9" t="n">
        <x:v>0</x:v>
      </x:c>
      <x:c r="J1085" s="9" t="n">
        <x:v>0</x:v>
      </x:c>
      <x:c r="K1085" s="9" t="n">
        <x:v>0</x:v>
      </x:c>
      <x:c r="L1085" s="13" t="n">
        <x:f>SUMIFS('Payments'!$D$5:$D$3014,'Payments'!$B$5:$B$3014,A1085)</x:f>
        <x:v>2808.08</x:v>
      </x:c>
      <x:c r="M1085" s="13" t="n">
        <x:f>G1085-L1085</x:f>
        <x:v>14724.15</x:v>
      </x:c>
      <x:c r="N1085" s="9" t="str">
        <x:f>IF(H1085=0,"0 Current",IF(H1085&lt;=30,"1 1-30",IF(H1085&lt;=60,"2 31-60",IF(H1085&lt;=90,"3 61-90",IF(H1085&lt;=120,"4 91-120","5 121+")))))</x:f>
        <x:v>5 121+</x:v>
      </x:c>
      <x:c r="O1085" s="9" t="n">
        <x:f>IF(J1085&gt;0,1,0)</x:f>
        <x:v>0</x:v>
      </x:c>
    </x:row>
    <x:row r="1086">
      <x:c r="A1086" s="15" t="str">
        <x:v>1082</x:v>
      </x:c>
      <x:c r="B1086" s="9" t="str">
        <x:v>Riley</x:v>
      </x:c>
      <x:c r="C1086" s="9" t="str">
        <x:v>Credit Card</x:v>
      </x:c>
      <x:c r="D1086" s="9" t="str">
        <x:v>South</x:v>
      </x:c>
      <x:c r="E1086" s="9" t="n">
        <x:v>655</x:v>
      </x:c>
      <x:c r="F1086" s="11" t="n">
        <x:v>46109</x:v>
      </x:c>
      <x:c r="G1086" s="13" t="n">
        <x:v>2690.49</x:v>
      </x:c>
      <x:c r="H1086" s="9" t="n">
        <x:v>92</x:v>
      </x:c>
      <x:c r="I1086" s="9" t="n">
        <x:v>7</x:v>
      </x:c>
      <x:c r="J1086" s="9" t="n">
        <x:v>2</x:v>
      </x:c>
      <x:c r="K1086" s="9" t="n">
        <x:v>0</x:v>
      </x:c>
      <x:c r="L1086" s="13" t="n">
        <x:f>SUMIFS('Payments'!$D$5:$D$3014,'Payments'!$B$5:$B$3014,A1086)</x:f>
        <x:v>301.01</x:v>
      </x:c>
      <x:c r="M1086" s="13" t="n">
        <x:f>G1086-L1086</x:f>
        <x:v>2389.4799999999996</x:v>
      </x:c>
      <x:c r="N1086" s="9" t="str">
        <x:f>IF(H1086=0,"0 Current",IF(H1086&lt;=30,"1 1-30",IF(H1086&lt;=60,"2 31-60",IF(H1086&lt;=90,"3 61-90",IF(H1086&lt;=120,"4 91-120","5 121+")))))</x:f>
        <x:v>4 91-120</x:v>
      </x:c>
      <x:c r="O1086" s="9" t="n">
        <x:f>IF(J1086&gt;0,1,0)</x:f>
        <x:v>1</x:v>
      </x:c>
    </x:row>
    <x:row r="1087">
      <x:c r="A1087" s="15" t="str">
        <x:v>1083</x:v>
      </x:c>
      <x:c r="B1087" s="9" t="str">
        <x:v>Taylor</x:v>
      </x:c>
      <x:c r="C1087" s="9" t="str">
        <x:v>Auto</x:v>
      </x:c>
      <x:c r="D1087" s="9" t="str">
        <x:v>Midwest</x:v>
      </x:c>
      <x:c r="E1087" s="9" t="n">
        <x:v>699</x:v>
      </x:c>
      <x:c r="F1087" s="11" t="n">
        <x:v>46171</x:v>
      </x:c>
      <x:c r="G1087" s="13" t="n">
        <x:v>13094.66</x:v>
      </x:c>
      <x:c r="H1087" s="9" t="n">
        <x:v>51</x:v>
      </x:c>
      <x:c r="I1087" s="9" t="n">
        <x:v>3</x:v>
      </x:c>
      <x:c r="J1087" s="9" t="n">
        <x:v>0</x:v>
      </x:c>
      <x:c r="K1087" s="9" t="n">
        <x:v>0</x:v>
      </x:c>
      <x:c r="L1087" s="13" t="n">
        <x:f>SUMIFS('Payments'!$D$5:$D$3014,'Payments'!$B$5:$B$3014,A1087)</x:f>
        <x:v>874.6600000000001</x:v>
      </x:c>
      <x:c r="M1087" s="13" t="n">
        <x:f>G1087-L1087</x:f>
        <x:v>12220</x:v>
      </x:c>
      <x:c r="N1087" s="9" t="str">
        <x:f>IF(H1087=0,"0 Current",IF(H1087&lt;=30,"1 1-30",IF(H1087&lt;=60,"2 31-60",IF(H1087&lt;=90,"3 61-90",IF(H1087&lt;=120,"4 91-120","5 121+")))))</x:f>
        <x:v>2 31-60</x:v>
      </x:c>
      <x:c r="O1087" s="9" t="n">
        <x:f>IF(J1087&gt;0,1,0)</x:f>
        <x:v>0</x:v>
      </x:c>
    </x:row>
    <x:row r="1088">
      <x:c r="A1088" s="15" t="str">
        <x:v>1084</x:v>
      </x:c>
      <x:c r="B1088" s="9" t="str">
        <x:v>Alex</x:v>
      </x:c>
      <x:c r="C1088" s="9" t="str">
        <x:v>Medical</x:v>
      </x:c>
      <x:c r="D1088" s="9" t="str">
        <x:v>Midwest</x:v>
      </x:c>
      <x:c r="E1088" s="9" t="n">
        <x:v>766</x:v>
      </x:c>
      <x:c r="F1088" s="11" t="n">
        <x:v>46130</x:v>
      </x:c>
      <x:c r="G1088" s="13" t="n">
        <x:v>3987.39</x:v>
      </x:c>
      <x:c r="H1088" s="9" t="n">
        <x:v>61</x:v>
      </x:c>
      <x:c r="I1088" s="9" t="n">
        <x:v>2</x:v>
      </x:c>
      <x:c r="J1088" s="9" t="n">
        <x:v>0</x:v>
      </x:c>
      <x:c r="K1088" s="9" t="n">
        <x:v>0</x:v>
      </x:c>
      <x:c r="L1088" s="13" t="n">
        <x:f>SUMIFS('Payments'!$D$5:$D$3014,'Payments'!$B$5:$B$3014,A1088)</x:f>
        <x:v>1381.5</x:v>
      </x:c>
      <x:c r="M1088" s="13" t="n">
        <x:f>G1088-L1088</x:f>
        <x:v>2605.89</x:v>
      </x:c>
      <x:c r="N1088" s="9" t="str">
        <x:f>IF(H1088=0,"0 Current",IF(H1088&lt;=30,"1 1-30",IF(H1088&lt;=60,"2 31-60",IF(H1088&lt;=90,"3 61-90",IF(H1088&lt;=120,"4 91-120","5 121+")))))</x:f>
        <x:v>3 61-90</x:v>
      </x:c>
      <x:c r="O1088" s="9" t="n">
        <x:f>IF(J1088&gt;0,1,0)</x:f>
        <x:v>0</x:v>
      </x:c>
    </x:row>
    <x:row r="1089">
      <x:c r="A1089" s="15" t="str">
        <x:v>1085</x:v>
      </x:c>
      <x:c r="B1089" s="9" t="str">
        <x:v>Alex</x:v>
      </x:c>
      <x:c r="C1089" s="9" t="str">
        <x:v>Personal Loan</x:v>
      </x:c>
      <x:c r="D1089" s="9" t="str">
        <x:v>Midwest</x:v>
      </x:c>
      <x:c r="E1089" s="9" t="n">
        <x:v>732</x:v>
      </x:c>
      <x:c r="F1089" s="11" t="n">
        <x:v>46144</x:v>
      </x:c>
      <x:c r="G1089" s="13" t="n">
        <x:v>8733.38</x:v>
      </x:c>
      <x:c r="H1089" s="9" t="n">
        <x:v>211</x:v>
      </x:c>
      <x:c r="I1089" s="9" t="n">
        <x:v>7</x:v>
      </x:c>
      <x:c r="J1089" s="9" t="n">
        <x:v>3</x:v>
      </x:c>
      <x:c r="K1089" s="9" t="n">
        <x:v>1</x:v>
      </x:c>
      <x:c r="L1089" s="13" t="n">
        <x:f>SUMIFS('Payments'!$D$5:$D$3014,'Payments'!$B$5:$B$3014,A1089)</x:f>
        <x:v>1344.01</x:v>
      </x:c>
      <x:c r="M1089" s="13" t="n">
        <x:f>G1089-L1089</x:f>
        <x:v>7389.369999999999</x:v>
      </x:c>
      <x:c r="N1089" s="9" t="str">
        <x:f>IF(H1089=0,"0 Current",IF(H1089&lt;=30,"1 1-30",IF(H1089&lt;=60,"2 31-60",IF(H1089&lt;=90,"3 61-90",IF(H1089&lt;=120,"4 91-120","5 121+")))))</x:f>
        <x:v>5 121+</x:v>
      </x:c>
      <x:c r="O1089" s="9" t="n">
        <x:f>IF(J1089&gt;0,1,0)</x:f>
        <x:v>1</x:v>
      </x:c>
    </x:row>
    <x:row r="1090">
      <x:c r="A1090" s="15" t="str">
        <x:v>1086</x:v>
      </x:c>
      <x:c r="B1090" s="9" t="str">
        <x:v>Morgan</x:v>
      </x:c>
      <x:c r="C1090" s="9" t="str">
        <x:v>Auto</x:v>
      </x:c>
      <x:c r="D1090" s="9" t="str">
        <x:v>West</x:v>
      </x:c>
      <x:c r="E1090" s="9" t="n">
        <x:v>518</x:v>
      </x:c>
      <x:c r="F1090" s="11" t="n">
        <x:v>46050</x:v>
      </x:c>
      <x:c r="G1090" s="13" t="n">
        <x:v>15441.8</x:v>
      </x:c>
      <x:c r="H1090" s="9" t="n">
        <x:v>48</x:v>
      </x:c>
      <x:c r="I1090" s="9" t="n">
        <x:v>7</x:v>
      </x:c>
      <x:c r="J1090" s="9" t="n">
        <x:v>2</x:v>
      </x:c>
      <x:c r="K1090" s="9" t="n">
        <x:v>1</x:v>
      </x:c>
      <x:c r="L1090" s="13" t="n">
        <x:f>SUMIFS('Payments'!$D$5:$D$3014,'Payments'!$B$5:$B$3014,A1090)</x:f>
        <x:v>2053.65</x:v>
      </x:c>
      <x:c r="M1090" s="13" t="n">
        <x:f>G1090-L1090</x:f>
        <x:v>13388.15</x:v>
      </x:c>
      <x:c r="N1090" s="9" t="str">
        <x:f>IF(H1090=0,"0 Current",IF(H1090&lt;=30,"1 1-30",IF(H1090&lt;=60,"2 31-60",IF(H1090&lt;=90,"3 61-90",IF(H1090&lt;=120,"4 91-120","5 121+")))))</x:f>
        <x:v>2 31-60</x:v>
      </x:c>
      <x:c r="O1090" s="9" t="n">
        <x:f>IF(J1090&gt;0,1,0)</x:f>
        <x:v>1</x:v>
      </x:c>
    </x:row>
    <x:row r="1091">
      <x:c r="A1091" s="15" t="str">
        <x:v>1087</x:v>
      </x:c>
      <x:c r="B1091" s="9" t="str">
        <x:v>Jordan</x:v>
      </x:c>
      <x:c r="C1091" s="9" t="str">
        <x:v>Personal Loan</x:v>
      </x:c>
      <x:c r="D1091" s="9" t="str">
        <x:v>South</x:v>
      </x:c>
      <x:c r="E1091" s="9" t="n">
        <x:v>562</x:v>
      </x:c>
      <x:c r="F1091" s="11" t="n">
        <x:v>46119</x:v>
      </x:c>
      <x:c r="G1091" s="13" t="n">
        <x:v>18535.99</x:v>
      </x:c>
      <x:c r="H1091" s="9" t="n">
        <x:v>13</x:v>
      </x:c>
      <x:c r="I1091" s="9" t="n">
        <x:v>8</x:v>
      </x:c>
      <x:c r="J1091" s="9" t="n">
        <x:v>3</x:v>
      </x:c>
      <x:c r="K1091" s="9" t="n">
        <x:v>1</x:v>
      </x:c>
      <x:c r="L1091" s="13" t="n">
        <x:f>SUMIFS('Payments'!$D$5:$D$3014,'Payments'!$B$5:$B$3014,A1091)</x:f>
        <x:v>5217.42</x:v>
      </x:c>
      <x:c r="M1091" s="13" t="n">
        <x:f>G1091-L1091</x:f>
        <x:v>13318.570000000002</x:v>
      </x:c>
      <x:c r="N1091" s="9" t="str">
        <x:f>IF(H1091=0,"0 Current",IF(H1091&lt;=30,"1 1-30",IF(H1091&lt;=60,"2 31-60",IF(H1091&lt;=90,"3 61-90",IF(H1091&lt;=120,"4 91-120","5 121+")))))</x:f>
        <x:v>1 1-30</x:v>
      </x:c>
      <x:c r="O1091" s="9" t="n">
        <x:f>IF(J1091&gt;0,1,0)</x:f>
        <x:v>1</x:v>
      </x:c>
    </x:row>
    <x:row r="1092">
      <x:c r="A1092" s="15" t="str">
        <x:v>1088</x:v>
      </x:c>
      <x:c r="B1092" s="9" t="str">
        <x:v>Morgan</x:v>
      </x:c>
      <x:c r="C1092" s="9" t="str">
        <x:v>Personal Loan</x:v>
      </x:c>
      <x:c r="D1092" s="9" t="str">
        <x:v>Midwest</x:v>
      </x:c>
      <x:c r="E1092" s="9" t="n">
        <x:v>535</x:v>
      </x:c>
      <x:c r="F1092" s="11" t="n">
        <x:v>46066</x:v>
      </x:c>
      <x:c r="G1092" s="13" t="n">
        <x:v>12865.18</x:v>
      </x:c>
      <x:c r="H1092" s="9" t="n">
        <x:v>188</x:v>
      </x:c>
      <x:c r="I1092" s="9" t="n">
        <x:v>7</x:v>
      </x:c>
      <x:c r="J1092" s="9" t="n">
        <x:v>5</x:v>
      </x:c>
      <x:c r="K1092" s="9" t="n">
        <x:v>1</x:v>
      </x:c>
      <x:c r="L1092" s="13" t="n">
        <x:f>SUMIFS('Payments'!$D$5:$D$3014,'Payments'!$B$5:$B$3014,A1092)</x:f>
        <x:v>5213.67</x:v>
      </x:c>
      <x:c r="M1092" s="13" t="n">
        <x:f>G1092-L1092</x:f>
        <x:v>7651.51</x:v>
      </x:c>
      <x:c r="N1092" s="9" t="str">
        <x:f>IF(H1092=0,"0 Current",IF(H1092&lt;=30,"1 1-30",IF(H1092&lt;=60,"2 31-60",IF(H1092&lt;=90,"3 61-90",IF(H1092&lt;=120,"4 91-120","5 121+")))))</x:f>
        <x:v>5 121+</x:v>
      </x:c>
      <x:c r="O1092" s="9" t="n">
        <x:f>IF(J1092&gt;0,1,0)</x:f>
        <x:v>1</x:v>
      </x:c>
    </x:row>
    <x:row r="1093">
      <x:c r="A1093" s="15" t="str">
        <x:v>1089</x:v>
      </x:c>
      <x:c r="B1093" s="9" t="str">
        <x:v>Jordan</x:v>
      </x:c>
      <x:c r="C1093" s="9" t="str">
        <x:v>Medical</x:v>
      </x:c>
      <x:c r="D1093" s="9" t="str">
        <x:v>Midwest</x:v>
      </x:c>
      <x:c r="E1093" s="9" t="n">
        <x:v>814</x:v>
      </x:c>
      <x:c r="F1093" s="11" t="n">
        <x:v>46041</x:v>
      </x:c>
      <x:c r="G1093" s="13" t="n">
        <x:v>6273.83</x:v>
      </x:c>
      <x:c r="H1093" s="9" t="n">
        <x:v>163</x:v>
      </x:c>
      <x:c r="I1093" s="9" t="n">
        <x:v>4</x:v>
      </x:c>
      <x:c r="J1093" s="9" t="n">
        <x:v>2</x:v>
      </x:c>
      <x:c r="K1093" s="9" t="n">
        <x:v>0</x:v>
      </x:c>
      <x:c r="L1093" s="13" t="n">
        <x:f>SUMIFS('Payments'!$D$5:$D$3014,'Payments'!$B$5:$B$3014,A1093)</x:f>
        <x:v>2361.61</x:v>
      </x:c>
      <x:c r="M1093" s="13" t="n">
        <x:f>G1093-L1093</x:f>
        <x:v>3912.22</x:v>
      </x:c>
      <x:c r="N1093" s="9" t="str">
        <x:f>IF(H1093=0,"0 Current",IF(H1093&lt;=30,"1 1-30",IF(H1093&lt;=60,"2 31-60",IF(H1093&lt;=90,"3 61-90",IF(H1093&lt;=120,"4 91-120","5 121+")))))</x:f>
        <x:v>5 121+</x:v>
      </x:c>
      <x:c r="O1093" s="9" t="n">
        <x:f>IF(J1093&gt;0,1,0)</x:f>
        <x:v>1</x:v>
      </x:c>
    </x:row>
    <x:row r="1094">
      <x:c r="A1094" s="15" t="str">
        <x:v>1090</x:v>
      </x:c>
      <x:c r="B1094" s="9" t="str">
        <x:v>Alex</x:v>
      </x:c>
      <x:c r="C1094" s="9" t="str">
        <x:v>Credit Card</x:v>
      </x:c>
      <x:c r="D1094" s="9" t="str">
        <x:v>Midwest</x:v>
      </x:c>
      <x:c r="E1094" s="9" t="n">
        <x:v>780</x:v>
      </x:c>
      <x:c r="F1094" s="11" t="n">
        <x:v>46123</x:v>
      </x:c>
      <x:c r="G1094" s="13" t="n">
        <x:v>22451.73</x:v>
      </x:c>
      <x:c r="H1094" s="9" t="n">
        <x:v>46</x:v>
      </x:c>
      <x:c r="I1094" s="9" t="n">
        <x:v>8</x:v>
      </x:c>
      <x:c r="J1094" s="9" t="n">
        <x:v>4</x:v>
      </x:c>
      <x:c r="K1094" s="9" t="n">
        <x:v>0</x:v>
      </x:c>
      <x:c r="L1094" s="13" t="n">
        <x:f>SUMIFS('Payments'!$D$5:$D$3014,'Payments'!$B$5:$B$3014,A1094)</x:f>
        <x:v>165.63</x:v>
      </x:c>
      <x:c r="M1094" s="13" t="n">
        <x:f>G1094-L1094</x:f>
        <x:v>22286.1</x:v>
      </x:c>
      <x:c r="N1094" s="9" t="str">
        <x:f>IF(H1094=0,"0 Current",IF(H1094&lt;=30,"1 1-30",IF(H1094&lt;=60,"2 31-60",IF(H1094&lt;=90,"3 61-90",IF(H1094&lt;=120,"4 91-120","5 121+")))))</x:f>
        <x:v>2 31-60</x:v>
      </x:c>
      <x:c r="O1094" s="9" t="n">
        <x:f>IF(J1094&gt;0,1,0)</x:f>
        <x:v>1</x:v>
      </x:c>
    </x:row>
    <x:row r="1095">
      <x:c r="A1095" s="15" t="str">
        <x:v>1091</x:v>
      </x:c>
      <x:c r="B1095" s="9" t="str">
        <x:v>Alex</x:v>
      </x:c>
      <x:c r="C1095" s="9" t="str">
        <x:v>Auto</x:v>
      </x:c>
      <x:c r="D1095" s="9" t="str">
        <x:v>South</x:v>
      </x:c>
      <x:c r="E1095" s="9" t="n">
        <x:v>773</x:v>
      </x:c>
      <x:c r="F1095" s="11" t="n">
        <x:v>46169</x:v>
      </x:c>
      <x:c r="G1095" s="13" t="n">
        <x:v>7501.29</x:v>
      </x:c>
      <x:c r="H1095" s="9" t="n">
        <x:v>119</x:v>
      </x:c>
      <x:c r="I1095" s="9" t="n">
        <x:v>3</x:v>
      </x:c>
      <x:c r="J1095" s="9" t="n">
        <x:v>2</x:v>
      </x:c>
      <x:c r="K1095" s="9" t="n">
        <x:v>0</x:v>
      </x:c>
      <x:c r="L1095" s="13" t="n">
        <x:f>SUMIFS('Payments'!$D$5:$D$3014,'Payments'!$B$5:$B$3014,A1095)</x:f>
        <x:v>1804.02</x:v>
      </x:c>
      <x:c r="M1095" s="13" t="n">
        <x:f>G1095-L1095</x:f>
        <x:v>5697.27</x:v>
      </x:c>
      <x:c r="N1095" s="9" t="str">
        <x:f>IF(H1095=0,"0 Current",IF(H1095&lt;=30,"1 1-30",IF(H1095&lt;=60,"2 31-60",IF(H1095&lt;=90,"3 61-90",IF(H1095&lt;=120,"4 91-120","5 121+")))))</x:f>
        <x:v>4 91-120</x:v>
      </x:c>
      <x:c r="O1095" s="9" t="n">
        <x:f>IF(J1095&gt;0,1,0)</x:f>
        <x:v>1</x:v>
      </x:c>
    </x:row>
    <x:row r="1096">
      <x:c r="A1096" s="15" t="str">
        <x:v>1092</x:v>
      </x:c>
      <x:c r="B1096" s="9" t="str">
        <x:v>Taylor</x:v>
      </x:c>
      <x:c r="C1096" s="9" t="str">
        <x:v>Personal Loan</x:v>
      </x:c>
      <x:c r="D1096" s="9" t="str">
        <x:v>West</x:v>
      </x:c>
      <x:c r="E1096" s="9" t="n">
        <x:v>582</x:v>
      </x:c>
      <x:c r="F1096" s="11" t="n">
        <x:v>46141</x:v>
      </x:c>
      <x:c r="G1096" s="13" t="n">
        <x:v>998.64</x:v>
      </x:c>
      <x:c r="H1096" s="9" t="n">
        <x:v>49</x:v>
      </x:c>
      <x:c r="I1096" s="9" t="n">
        <x:v>0</x:v>
      </x:c>
      <x:c r="J1096" s="9" t="n">
        <x:v>0</x:v>
      </x:c>
      <x:c r="K1096" s="9" t="n">
        <x:v>0</x:v>
      </x:c>
      <x:c r="L1096" s="13" t="n">
        <x:f>SUMIFS('Payments'!$D$5:$D$3014,'Payments'!$B$5:$B$3014,A1096)</x:f>
        <x:v>120.31</x:v>
      </x:c>
      <x:c r="M1096" s="13" t="n">
        <x:f>G1096-L1096</x:f>
        <x:v>878.3299999999999</x:v>
      </x:c>
      <x:c r="N1096" s="9" t="str">
        <x:f>IF(H1096=0,"0 Current",IF(H1096&lt;=30,"1 1-30",IF(H1096&lt;=60,"2 31-60",IF(H1096&lt;=90,"3 61-90",IF(H1096&lt;=120,"4 91-120","5 121+")))))</x:f>
        <x:v>2 31-60</x:v>
      </x:c>
      <x:c r="O1096" s="9" t="n">
        <x:f>IF(J1096&gt;0,1,0)</x:f>
        <x:v>0</x:v>
      </x:c>
    </x:row>
    <x:row r="1097">
      <x:c r="A1097" s="15" t="str">
        <x:v>1093</x:v>
      </x:c>
      <x:c r="B1097" s="9" t="str">
        <x:v>Riley</x:v>
      </x:c>
      <x:c r="C1097" s="9" t="str">
        <x:v>Medical</x:v>
      </x:c>
      <x:c r="D1097" s="9" t="str">
        <x:v>West</x:v>
      </x:c>
      <x:c r="E1097" s="9" t="n">
        <x:v>598</x:v>
      </x:c>
      <x:c r="F1097" s="11" t="n">
        <x:v>46054</x:v>
      </x:c>
      <x:c r="G1097" s="13" t="n">
        <x:v>5611.2</x:v>
      </x:c>
      <x:c r="H1097" s="9" t="n">
        <x:v>201</x:v>
      </x:c>
      <x:c r="I1097" s="9" t="n">
        <x:v>2</x:v>
      </x:c>
      <x:c r="J1097" s="9" t="n">
        <x:v>1</x:v>
      </x:c>
      <x:c r="K1097" s="9" t="n">
        <x:v>0</x:v>
      </x:c>
      <x:c r="L1097" s="13" t="n">
        <x:f>SUMIFS('Payments'!$D$5:$D$3014,'Payments'!$B$5:$B$3014,A1097)</x:f>
        <x:v>1256.8600000000001</x:v>
      </x:c>
      <x:c r="M1097" s="13" t="n">
        <x:f>G1097-L1097</x:f>
        <x:v>4354.34</x:v>
      </x:c>
      <x:c r="N1097" s="9" t="str">
        <x:f>IF(H1097=0,"0 Current",IF(H1097&lt;=30,"1 1-30",IF(H1097&lt;=60,"2 31-60",IF(H1097&lt;=90,"3 61-90",IF(H1097&lt;=120,"4 91-120","5 121+")))))</x:f>
        <x:v>5 121+</x:v>
      </x:c>
      <x:c r="O1097" s="9" t="n">
        <x:f>IF(J1097&gt;0,1,0)</x:f>
        <x:v>1</x:v>
      </x:c>
    </x:row>
    <x:row r="1098">
      <x:c r="A1098" s="15" t="str">
        <x:v>1094</x:v>
      </x:c>
      <x:c r="B1098" s="9" t="str">
        <x:v>Alex</x:v>
      </x:c>
      <x:c r="C1098" s="9" t="str">
        <x:v>Personal Loan</x:v>
      </x:c>
      <x:c r="D1098" s="9" t="str">
        <x:v>Midwest</x:v>
      </x:c>
      <x:c r="E1098" s="9" t="n">
        <x:v>567</x:v>
      </x:c>
      <x:c r="F1098" s="11" t="n">
        <x:v>46033</x:v>
      </x:c>
      <x:c r="G1098" s="13" t="n">
        <x:v>24573.95</x:v>
      </x:c>
      <x:c r="H1098" s="9" t="n">
        <x:v>211</x:v>
      </x:c>
      <x:c r="I1098" s="9" t="n">
        <x:v>4</x:v>
      </x:c>
      <x:c r="J1098" s="9" t="n">
        <x:v>2</x:v>
      </x:c>
      <x:c r="K1098" s="9" t="n">
        <x:v>1</x:v>
      </x:c>
      <x:c r="L1098" s="13" t="n">
        <x:f>SUMIFS('Payments'!$D$5:$D$3014,'Payments'!$B$5:$B$3014,A1098)</x:f>
        <x:v>3020.4700000000003</x:v>
      </x:c>
      <x:c r="M1098" s="13" t="n">
        <x:f>G1098-L1098</x:f>
        <x:v>21553.48</x:v>
      </x:c>
      <x:c r="N1098" s="9" t="str">
        <x:f>IF(H1098=0,"0 Current",IF(H1098&lt;=30,"1 1-30",IF(H1098&lt;=60,"2 31-60",IF(H1098&lt;=90,"3 61-90",IF(H1098&lt;=120,"4 91-120","5 121+")))))</x:f>
        <x:v>5 121+</x:v>
      </x:c>
      <x:c r="O1098" s="9" t="n">
        <x:f>IF(J1098&gt;0,1,0)</x:f>
        <x:v>1</x:v>
      </x:c>
    </x:row>
    <x:row r="1099">
      <x:c r="A1099" s="15" t="str">
        <x:v>1095</x:v>
      </x:c>
      <x:c r="B1099" s="9" t="str">
        <x:v>Casey</x:v>
      </x:c>
      <x:c r="C1099" s="9" t="str">
        <x:v>Auto</x:v>
      </x:c>
      <x:c r="D1099" s="9" t="str">
        <x:v>Northeast</x:v>
      </x:c>
      <x:c r="E1099" s="9" t="n">
        <x:v>713</x:v>
      </x:c>
      <x:c r="F1099" s="11" t="n">
        <x:v>46120</x:v>
      </x:c>
      <x:c r="G1099" s="13" t="n">
        <x:v>17363.49</x:v>
      </x:c>
      <x:c r="H1099" s="9" t="n">
        <x:v>20</x:v>
      </x:c>
      <x:c r="I1099" s="9" t="n">
        <x:v>8</x:v>
      </x:c>
      <x:c r="J1099" s="9" t="n">
        <x:v>4</x:v>
      </x:c>
      <x:c r="K1099" s="9" t="n">
        <x:v>1</x:v>
      </x:c>
      <x:c r="L1099" s="13" t="n">
        <x:f>SUMIFS('Payments'!$D$5:$D$3014,'Payments'!$B$5:$B$3014,A1099)</x:f>
        <x:v>1819.33</x:v>
      </x:c>
      <x:c r="M1099" s="13" t="n">
        <x:f>G1099-L1099</x:f>
        <x:v>15544.160000000002</x:v>
      </x:c>
      <x:c r="N1099" s="9" t="str">
        <x:f>IF(H1099=0,"0 Current",IF(H1099&lt;=30,"1 1-30",IF(H1099&lt;=60,"2 31-60",IF(H1099&lt;=90,"3 61-90",IF(H1099&lt;=120,"4 91-120","5 121+")))))</x:f>
        <x:v>1 1-30</x:v>
      </x:c>
      <x:c r="O1099" s="9" t="n">
        <x:f>IF(J1099&gt;0,1,0)</x:f>
        <x:v>1</x:v>
      </x:c>
    </x:row>
    <x:row r="1100">
      <x:c r="A1100" s="15" t="str">
        <x:v>1096</x:v>
      </x:c>
      <x:c r="B1100" s="9" t="str">
        <x:v>Alex</x:v>
      </x:c>
      <x:c r="C1100" s="9" t="str">
        <x:v>Personal Loan</x:v>
      </x:c>
      <x:c r="D1100" s="9" t="str">
        <x:v>West</x:v>
      </x:c>
      <x:c r="E1100" s="9" t="n">
        <x:v>622</x:v>
      </x:c>
      <x:c r="F1100" s="11" t="n">
        <x:v>46138</x:v>
      </x:c>
      <x:c r="G1100" s="13" t="n">
        <x:v>10831</x:v>
      </x:c>
      <x:c r="H1100" s="9" t="n">
        <x:v>220</x:v>
      </x:c>
      <x:c r="I1100" s="9" t="n">
        <x:v>1</x:v>
      </x:c>
      <x:c r="J1100" s="9" t="n">
        <x:v>0</x:v>
      </x:c>
      <x:c r="K1100" s="9" t="n">
        <x:v>0</x:v>
      </x:c>
      <x:c r="L1100" s="13" t="n">
        <x:f>SUMIFS('Payments'!$D$5:$D$3014,'Payments'!$B$5:$B$3014,A1100)</x:f>
        <x:v>3228.1099999999997</x:v>
      </x:c>
      <x:c r="M1100" s="13" t="n">
        <x:f>G1100-L1100</x:f>
        <x:v>7602.89</x:v>
      </x:c>
      <x:c r="N1100" s="9" t="str">
        <x:f>IF(H1100=0,"0 Current",IF(H1100&lt;=30,"1 1-30",IF(H1100&lt;=60,"2 31-60",IF(H1100&lt;=90,"3 61-90",IF(H1100&lt;=120,"4 91-120","5 121+")))))</x:f>
        <x:v>5 121+</x:v>
      </x:c>
      <x:c r="O1100" s="9" t="n">
        <x:f>IF(J1100&gt;0,1,0)</x:f>
        <x:v>0</x:v>
      </x:c>
    </x:row>
    <x:row r="1101">
      <x:c r="A1101" s="15" t="str">
        <x:v>1097</x:v>
      </x:c>
      <x:c r="B1101" s="9" t="str">
        <x:v>Taylor</x:v>
      </x:c>
      <x:c r="C1101" s="9" t="str">
        <x:v>Credit Card</x:v>
      </x:c>
      <x:c r="D1101" s="9" t="str">
        <x:v>Midwest</x:v>
      </x:c>
      <x:c r="E1101" s="9" t="n">
        <x:v>815</x:v>
      </x:c>
      <x:c r="F1101" s="11" t="n">
        <x:v>46086</x:v>
      </x:c>
      <x:c r="G1101" s="13" t="n">
        <x:v>16978.89</x:v>
      </x:c>
      <x:c r="H1101" s="9" t="n">
        <x:v>168</x:v>
      </x:c>
      <x:c r="I1101" s="9" t="n">
        <x:v>3</x:v>
      </x:c>
      <x:c r="J1101" s="9" t="n">
        <x:v>0</x:v>
      </x:c>
      <x:c r="K1101" s="9" t="n">
        <x:v>0</x:v>
      </x:c>
      <x:c r="L1101" s="13" t="n">
        <x:f>SUMIFS('Payments'!$D$5:$D$3014,'Payments'!$B$5:$B$3014,A1101)</x:f>
        <x:v>1341.84</x:v>
      </x:c>
      <x:c r="M1101" s="13" t="n">
        <x:f>G1101-L1101</x:f>
        <x:v>15637.05</x:v>
      </x:c>
      <x:c r="N1101" s="9" t="str">
        <x:f>IF(H1101=0,"0 Current",IF(H1101&lt;=30,"1 1-30",IF(H1101&lt;=60,"2 31-60",IF(H1101&lt;=90,"3 61-90",IF(H1101&lt;=120,"4 91-120","5 121+")))))</x:f>
        <x:v>5 121+</x:v>
      </x:c>
      <x:c r="O1101" s="9" t="n">
        <x:f>IF(J1101&gt;0,1,0)</x:f>
        <x:v>0</x:v>
      </x:c>
    </x:row>
    <x:row r="1102">
      <x:c r="A1102" s="15" t="str">
        <x:v>1098</x:v>
      </x:c>
      <x:c r="B1102" s="9" t="str">
        <x:v>Morgan</x:v>
      </x:c>
      <x:c r="C1102" s="9" t="str">
        <x:v>Credit Card</x:v>
      </x:c>
      <x:c r="D1102" s="9" t="str">
        <x:v>South</x:v>
      </x:c>
      <x:c r="E1102" s="9" t="n">
        <x:v>568</x:v>
      </x:c>
      <x:c r="F1102" s="11" t="n">
        <x:v>46130</x:v>
      </x:c>
      <x:c r="G1102" s="13" t="n">
        <x:v>16363.29</x:v>
      </x:c>
      <x:c r="H1102" s="9" t="n">
        <x:v>87</x:v>
      </x:c>
      <x:c r="I1102" s="9" t="n">
        <x:v>8</x:v>
      </x:c>
      <x:c r="J1102" s="9" t="n">
        <x:v>3</x:v>
      </x:c>
      <x:c r="K1102" s="9" t="n">
        <x:v>1</x:v>
      </x:c>
      <x:c r="L1102" s="13" t="n">
        <x:f>SUMIFS('Payments'!$D$5:$D$3014,'Payments'!$B$5:$B$3014,A1102)</x:f>
        <x:v>783.28</x:v>
      </x:c>
      <x:c r="M1102" s="13" t="n">
        <x:f>G1102-L1102</x:f>
        <x:v>15580.01</x:v>
      </x:c>
      <x:c r="N1102" s="9" t="str">
        <x:f>IF(H1102=0,"0 Current",IF(H1102&lt;=30,"1 1-30",IF(H1102&lt;=60,"2 31-60",IF(H1102&lt;=90,"3 61-90",IF(H1102&lt;=120,"4 91-120","5 121+")))))</x:f>
        <x:v>3 61-90</x:v>
      </x:c>
      <x:c r="O1102" s="9" t="n">
        <x:f>IF(J1102&gt;0,1,0)</x:f>
        <x:v>1</x:v>
      </x:c>
    </x:row>
    <x:row r="1103">
      <x:c r="A1103" s="15" t="str">
        <x:v>1099</x:v>
      </x:c>
      <x:c r="B1103" s="9" t="str">
        <x:v>Jordan</x:v>
      </x:c>
      <x:c r="C1103" s="9" t="str">
        <x:v>Credit Card</x:v>
      </x:c>
      <x:c r="D1103" s="9" t="str">
        <x:v>Northeast</x:v>
      </x:c>
      <x:c r="E1103" s="9" t="n">
        <x:v>567</x:v>
      </x:c>
      <x:c r="F1103" s="11" t="n">
        <x:v>46090</x:v>
      </x:c>
      <x:c r="G1103" s="13" t="n">
        <x:v>2297.41</x:v>
      </x:c>
      <x:c r="H1103" s="9" t="n">
        <x:v>9</x:v>
      </x:c>
      <x:c r="I1103" s="9" t="n">
        <x:v>8</x:v>
      </x:c>
      <x:c r="J1103" s="9" t="n">
        <x:v>1</x:v>
      </x:c>
      <x:c r="K1103" s="9" t="n">
        <x:v>0</x:v>
      </x:c>
      <x:c r="L1103" s="13" t="n">
        <x:f>SUMIFS('Payments'!$D$5:$D$3014,'Payments'!$B$5:$B$3014,A1103)</x:f>
        <x:v>229.3</x:v>
      </x:c>
      <x:c r="M1103" s="13" t="n">
        <x:f>G1103-L1103</x:f>
        <x:v>2068.1099999999997</x:v>
      </x:c>
      <x:c r="N1103" s="9" t="str">
        <x:f>IF(H1103=0,"0 Current",IF(H1103&lt;=30,"1 1-30",IF(H1103&lt;=60,"2 31-60",IF(H1103&lt;=90,"3 61-90",IF(H1103&lt;=120,"4 91-120","5 121+")))))</x:f>
        <x:v>1 1-30</x:v>
      </x:c>
      <x:c r="O1103" s="9" t="n">
        <x:f>IF(J1103&gt;0,1,0)</x:f>
        <x:v>1</x:v>
      </x:c>
    </x:row>
    <x:row r="1104">
      <x:c r="A1104" s="15" t="str">
        <x:v>1100</x:v>
      </x:c>
      <x:c r="B1104" s="9" t="str">
        <x:v>Riley</x:v>
      </x:c>
      <x:c r="C1104" s="9" t="str">
        <x:v>Personal Loan</x:v>
      </x:c>
      <x:c r="D1104" s="9" t="str">
        <x:v>Northeast</x:v>
      </x:c>
      <x:c r="E1104" s="9" t="n">
        <x:v>597</x:v>
      </x:c>
      <x:c r="F1104" s="11" t="n">
        <x:v>46171</x:v>
      </x:c>
      <x:c r="G1104" s="13" t="n">
        <x:v>10143.4</x:v>
      </x:c>
      <x:c r="H1104" s="9" t="n">
        <x:v>203</x:v>
      </x:c>
      <x:c r="I1104" s="9" t="n">
        <x:v>6</x:v>
      </x:c>
      <x:c r="J1104" s="9" t="n">
        <x:v>1</x:v>
      </x:c>
      <x:c r="K1104" s="9" t="n">
        <x:v>1</x:v>
      </x:c>
      <x:c r="L1104" s="13" t="n">
        <x:f>SUMIFS('Payments'!$D$5:$D$3014,'Payments'!$B$5:$B$3014,A1104)</x:f>
        <x:v>1224.46</x:v>
      </x:c>
      <x:c r="M1104" s="13" t="n">
        <x:f>G1104-L1104</x:f>
        <x:v>8918.939999999999</x:v>
      </x:c>
      <x:c r="N1104" s="9" t="str">
        <x:f>IF(H1104=0,"0 Current",IF(H1104&lt;=30,"1 1-30",IF(H1104&lt;=60,"2 31-60",IF(H1104&lt;=90,"3 61-90",IF(H1104&lt;=120,"4 91-120","5 121+")))))</x:f>
        <x:v>5 121+</x:v>
      </x:c>
      <x:c r="O1104" s="9" t="n">
        <x:f>IF(J1104&gt;0,1,0)</x:f>
        <x:v>1</x:v>
      </x:c>
    </x:row>
    <x:row r="1105">
      <x:c r="A1105" s="15" t="str">
        <x:v>1101</x:v>
      </x:c>
      <x:c r="B1105" s="9" t="str">
        <x:v>Jordan</x:v>
      </x:c>
      <x:c r="C1105" s="9" t="str">
        <x:v>Credit Card</x:v>
      </x:c>
      <x:c r="D1105" s="9" t="str">
        <x:v>West</x:v>
      </x:c>
      <x:c r="E1105" s="9" t="n">
        <x:v>755</x:v>
      </x:c>
      <x:c r="F1105" s="11" t="n">
        <x:v>46092</x:v>
      </x:c>
      <x:c r="G1105" s="13" t="n">
        <x:v>13917.62</x:v>
      </x:c>
      <x:c r="H1105" s="9" t="n">
        <x:v>219</x:v>
      </x:c>
      <x:c r="I1105" s="9" t="n">
        <x:v>7</x:v>
      </x:c>
      <x:c r="J1105" s="9" t="n">
        <x:v>4</x:v>
      </x:c>
      <x:c r="K1105" s="9" t="n">
        <x:v>1</x:v>
      </x:c>
      <x:c r="L1105" s="13" t="n">
        <x:f>SUMIFS('Payments'!$D$5:$D$3014,'Payments'!$B$5:$B$3014,A1105)</x:f>
        <x:v>871.53</x:v>
      </x:c>
      <x:c r="M1105" s="13" t="n">
        <x:f>G1105-L1105</x:f>
        <x:v>13046.09</x:v>
      </x:c>
      <x:c r="N1105" s="9" t="str">
        <x:f>IF(H1105=0,"0 Current",IF(H1105&lt;=30,"1 1-30",IF(H1105&lt;=60,"2 31-60",IF(H1105&lt;=90,"3 61-90",IF(H1105&lt;=120,"4 91-120","5 121+")))))</x:f>
        <x:v>5 121+</x:v>
      </x:c>
      <x:c r="O1105" s="9" t="n">
        <x:f>IF(J1105&gt;0,1,0)</x:f>
        <x:v>1</x:v>
      </x:c>
    </x:row>
    <x:row r="1106">
      <x:c r="A1106" s="15" t="str">
        <x:v>1102</x:v>
      </x:c>
      <x:c r="B1106" s="9" t="str">
        <x:v>Casey</x:v>
      </x:c>
      <x:c r="C1106" s="9" t="str">
        <x:v>Personal Loan</x:v>
      </x:c>
      <x:c r="D1106" s="9" t="str">
        <x:v>Midwest</x:v>
      </x:c>
      <x:c r="E1106" s="9" t="n">
        <x:v>802</x:v>
      </x:c>
      <x:c r="F1106" s="11" t="n">
        <x:v>46092</x:v>
      </x:c>
      <x:c r="G1106" s="13" t="n">
        <x:v>1972.82</x:v>
      </x:c>
      <x:c r="H1106" s="9" t="n">
        <x:v>53</x:v>
      </x:c>
      <x:c r="I1106" s="9" t="n">
        <x:v>7</x:v>
      </x:c>
      <x:c r="J1106" s="9" t="n">
        <x:v>4</x:v>
      </x:c>
      <x:c r="K1106" s="9" t="n">
        <x:v>1</x:v>
      </x:c>
      <x:c r="L1106" s="13" t="n">
        <x:f>SUMIFS('Payments'!$D$5:$D$3014,'Payments'!$B$5:$B$3014,A1106)</x:f>
        <x:v>609.95</x:v>
      </x:c>
      <x:c r="M1106" s="13" t="n">
        <x:f>G1106-L1106</x:f>
        <x:v>1362.87</x:v>
      </x:c>
      <x:c r="N1106" s="9" t="str">
        <x:f>IF(H1106=0,"0 Current",IF(H1106&lt;=30,"1 1-30",IF(H1106&lt;=60,"2 31-60",IF(H1106&lt;=90,"3 61-90",IF(H1106&lt;=120,"4 91-120","5 121+")))))</x:f>
        <x:v>2 31-60</x:v>
      </x:c>
      <x:c r="O1106" s="9" t="n">
        <x:f>IF(J1106&gt;0,1,0)</x:f>
        <x:v>1</x:v>
      </x:c>
    </x:row>
    <x:row r="1107">
      <x:c r="A1107" s="15" t="str">
        <x:v>1103</x:v>
      </x:c>
      <x:c r="B1107" s="9" t="str">
        <x:v>Riley</x:v>
      </x:c>
      <x:c r="C1107" s="9" t="str">
        <x:v>Credit Card</x:v>
      </x:c>
      <x:c r="D1107" s="9" t="str">
        <x:v>West</x:v>
      </x:c>
      <x:c r="E1107" s="9" t="n">
        <x:v>529</x:v>
      </x:c>
      <x:c r="F1107" s="11" t="n">
        <x:v>46025</x:v>
      </x:c>
      <x:c r="G1107" s="13" t="n">
        <x:v>1022.45</x:v>
      </x:c>
      <x:c r="H1107" s="9" t="n">
        <x:v>89</x:v>
      </x:c>
      <x:c r="I1107" s="9" t="n">
        <x:v>6</x:v>
      </x:c>
      <x:c r="J1107" s="9" t="n">
        <x:v>2</x:v>
      </x:c>
      <x:c r="K1107" s="9" t="n">
        <x:v>1</x:v>
      </x:c>
      <x:c r="L1107" s="13" t="n">
        <x:f>SUMIFS('Payments'!$D$5:$D$3014,'Payments'!$B$5:$B$3014,A1107)</x:f>
        <x:v>93.99</x:v>
      </x:c>
      <x:c r="M1107" s="13" t="n">
        <x:f>G1107-L1107</x:f>
        <x:v>928.46</x:v>
      </x:c>
      <x:c r="N1107" s="9" t="str">
        <x:f>IF(H1107=0,"0 Current",IF(H1107&lt;=30,"1 1-30",IF(H1107&lt;=60,"2 31-60",IF(H1107&lt;=90,"3 61-90",IF(H1107&lt;=120,"4 91-120","5 121+")))))</x:f>
        <x:v>3 61-90</x:v>
      </x:c>
      <x:c r="O1107" s="9" t="n">
        <x:f>IF(J1107&gt;0,1,0)</x:f>
        <x:v>1</x:v>
      </x:c>
    </x:row>
    <x:row r="1108">
      <x:c r="A1108" s="15" t="str">
        <x:v>1104</x:v>
      </x:c>
      <x:c r="B1108" s="9" t="str">
        <x:v>Riley</x:v>
      </x:c>
      <x:c r="C1108" s="9" t="str">
        <x:v>Credit Card</x:v>
      </x:c>
      <x:c r="D1108" s="9" t="str">
        <x:v>South</x:v>
      </x:c>
      <x:c r="E1108" s="9" t="n">
        <x:v>695</x:v>
      </x:c>
      <x:c r="F1108" s="11" t="n">
        <x:v>46082</x:v>
      </x:c>
      <x:c r="G1108" s="13" t="n">
        <x:v>4064.84</x:v>
      </x:c>
      <x:c r="H1108" s="9" t="n">
        <x:v>185</x:v>
      </x:c>
      <x:c r="I1108" s="9" t="n">
        <x:v>4</x:v>
      </x:c>
      <x:c r="J1108" s="9" t="n">
        <x:v>1</x:v>
      </x:c>
      <x:c r="K1108" s="9" t="n">
        <x:v>0</x:v>
      </x:c>
      <x:c r="L1108" s="13" t="n">
        <x:f>SUMIFS('Payments'!$D$5:$D$3014,'Payments'!$B$5:$B$3014,A1108)</x:f>
        <x:v>402.82000000000005</x:v>
      </x:c>
      <x:c r="M1108" s="13" t="n">
        <x:f>G1108-L1108</x:f>
        <x:v>3662.02</x:v>
      </x:c>
      <x:c r="N1108" s="9" t="str">
        <x:f>IF(H1108=0,"0 Current",IF(H1108&lt;=30,"1 1-30",IF(H1108&lt;=60,"2 31-60",IF(H1108&lt;=90,"3 61-90",IF(H1108&lt;=120,"4 91-120","5 121+")))))</x:f>
        <x:v>5 121+</x:v>
      </x:c>
      <x:c r="O1108" s="9" t="n">
        <x:f>IF(J1108&gt;0,1,0)</x:f>
        <x:v>1</x:v>
      </x:c>
    </x:row>
    <x:row r="1109">
      <x:c r="A1109" s="15" t="str">
        <x:v>1105</x:v>
      </x:c>
      <x:c r="B1109" s="9" t="str">
        <x:v>Riley</x:v>
      </x:c>
      <x:c r="C1109" s="9" t="str">
        <x:v>Medical</x:v>
      </x:c>
      <x:c r="D1109" s="9" t="str">
        <x:v>Midwest</x:v>
      </x:c>
      <x:c r="E1109" s="9" t="n">
        <x:v>707</x:v>
      </x:c>
      <x:c r="F1109" s="11" t="n">
        <x:v>46092</x:v>
      </x:c>
      <x:c r="G1109" s="13" t="n">
        <x:v>4681.92</x:v>
      </x:c>
      <x:c r="H1109" s="9" t="n">
        <x:v>40</x:v>
      </x:c>
      <x:c r="I1109" s="9" t="n">
        <x:v>8</x:v>
      </x:c>
      <x:c r="J1109" s="9" t="n">
        <x:v>3</x:v>
      </x:c>
      <x:c r="K1109" s="9" t="n">
        <x:v>1</x:v>
      </x:c>
      <x:c r="L1109" s="13" t="n">
        <x:f>SUMIFS('Payments'!$D$5:$D$3014,'Payments'!$B$5:$B$3014,A1109)</x:f>
        <x:v>420.7</x:v>
      </x:c>
      <x:c r="M1109" s="13" t="n">
        <x:f>G1109-L1109</x:f>
        <x:v>4261.22</x:v>
      </x:c>
      <x:c r="N1109" s="9" t="str">
        <x:f>IF(H1109=0,"0 Current",IF(H1109&lt;=30,"1 1-30",IF(H1109&lt;=60,"2 31-60",IF(H1109&lt;=90,"3 61-90",IF(H1109&lt;=120,"4 91-120","5 121+")))))</x:f>
        <x:v>2 31-60</x:v>
      </x:c>
      <x:c r="O1109" s="9" t="n">
        <x:f>IF(J1109&gt;0,1,0)</x:f>
        <x:v>1</x:v>
      </x:c>
    </x:row>
    <x:row r="1110">
      <x:c r="A1110" s="15" t="str">
        <x:v>1106</x:v>
      </x:c>
      <x:c r="B1110" s="9" t="str">
        <x:v>Jordan</x:v>
      </x:c>
      <x:c r="C1110" s="9" t="str">
        <x:v>Auto</x:v>
      </x:c>
      <x:c r="D1110" s="9" t="str">
        <x:v>Midwest</x:v>
      </x:c>
      <x:c r="E1110" s="9" t="n">
        <x:v>490</x:v>
      </x:c>
      <x:c r="F1110" s="11" t="n">
        <x:v>46061</x:v>
      </x:c>
      <x:c r="G1110" s="13" t="n">
        <x:v>16848.33</x:v>
      </x:c>
      <x:c r="H1110" s="9" t="n">
        <x:v>52</x:v>
      </x:c>
      <x:c r="I1110" s="9" t="n">
        <x:v>1</x:v>
      </x:c>
      <x:c r="J1110" s="9" t="n">
        <x:v>1</x:v>
      </x:c>
      <x:c r="K1110" s="9" t="n">
        <x:v>0</x:v>
      </x:c>
      <x:c r="L1110" s="13" t="n">
        <x:f>SUMIFS('Payments'!$D$5:$D$3014,'Payments'!$B$5:$B$3014,A1110)</x:f>
        <x:v>475.19</x:v>
      </x:c>
      <x:c r="M1110" s="13" t="n">
        <x:f>G1110-L1110</x:f>
        <x:v>16373.140000000001</x:v>
      </x:c>
      <x:c r="N1110" s="9" t="str">
        <x:f>IF(H1110=0,"0 Current",IF(H1110&lt;=30,"1 1-30",IF(H1110&lt;=60,"2 31-60",IF(H1110&lt;=90,"3 61-90",IF(H1110&lt;=120,"4 91-120","5 121+")))))</x:f>
        <x:v>2 31-60</x:v>
      </x:c>
      <x:c r="O1110" s="9" t="n">
        <x:f>IF(J1110&gt;0,1,0)</x:f>
        <x:v>1</x:v>
      </x:c>
    </x:row>
    <x:row r="1111">
      <x:c r="A1111" s="15" t="str">
        <x:v>1107</x:v>
      </x:c>
      <x:c r="B1111" s="9" t="str">
        <x:v>Jordan</x:v>
      </x:c>
      <x:c r="C1111" s="9" t="str">
        <x:v>Credit Card</x:v>
      </x:c>
      <x:c r="D1111" s="9" t="str">
        <x:v>Northeast</x:v>
      </x:c>
      <x:c r="E1111" s="9" t="n">
        <x:v>735</x:v>
      </x:c>
      <x:c r="F1111" s="11" t="n">
        <x:v>46059</x:v>
      </x:c>
      <x:c r="G1111" s="13" t="n">
        <x:v>8281.36</x:v>
      </x:c>
      <x:c r="H1111" s="9" t="n">
        <x:v>67</x:v>
      </x:c>
      <x:c r="I1111" s="9" t="n">
        <x:v>1</x:v>
      </x:c>
      <x:c r="J1111" s="9" t="n">
        <x:v>0</x:v>
      </x:c>
      <x:c r="K1111" s="9" t="n">
        <x:v>0</x:v>
      </x:c>
      <x:c r="L1111" s="13" t="n">
        <x:f>SUMIFS('Payments'!$D$5:$D$3014,'Payments'!$B$5:$B$3014,A1111)</x:f>
        <x:v>235.95</x:v>
      </x:c>
      <x:c r="M1111" s="13" t="n">
        <x:f>G1111-L1111</x:f>
        <x:v>8045.410000000001</x:v>
      </x:c>
      <x:c r="N1111" s="9" t="str">
        <x:f>IF(H1111=0,"0 Current",IF(H1111&lt;=30,"1 1-30",IF(H1111&lt;=60,"2 31-60",IF(H1111&lt;=90,"3 61-90",IF(H1111&lt;=120,"4 91-120","5 121+")))))</x:f>
        <x:v>3 61-90</x:v>
      </x:c>
      <x:c r="O1111" s="9" t="n">
        <x:f>IF(J1111&gt;0,1,0)</x:f>
        <x:v>0</x:v>
      </x:c>
    </x:row>
    <x:row r="1112">
      <x:c r="A1112" s="15" t="str">
        <x:v>1108</x:v>
      </x:c>
      <x:c r="B1112" s="9" t="str">
        <x:v>Casey</x:v>
      </x:c>
      <x:c r="C1112" s="9" t="str">
        <x:v>Personal Loan</x:v>
      </x:c>
      <x:c r="D1112" s="9" t="str">
        <x:v>South</x:v>
      </x:c>
      <x:c r="E1112" s="9" t="n">
        <x:v>544</x:v>
      </x:c>
      <x:c r="F1112" s="11" t="n">
        <x:v>46036</x:v>
      </x:c>
      <x:c r="G1112" s="13" t="n">
        <x:v>1986.71</x:v>
      </x:c>
      <x:c r="H1112" s="9" t="n">
        <x:v>97</x:v>
      </x:c>
      <x:c r="I1112" s="9" t="n">
        <x:v>2</x:v>
      </x:c>
      <x:c r="J1112" s="9" t="n">
        <x:v>0</x:v>
      </x:c>
      <x:c r="K1112" s="9" t="n">
        <x:v>0</x:v>
      </x:c>
      <x:c r="L1112" s="13" t="n">
        <x:f>SUMIFS('Payments'!$D$5:$D$3014,'Payments'!$B$5:$B$3014,A1112)</x:f>
        <x:v>632.8100000000001</x:v>
      </x:c>
      <x:c r="M1112" s="13" t="n">
        <x:f>G1112-L1112</x:f>
        <x:v>1353.9</x:v>
      </x:c>
      <x:c r="N1112" s="9" t="str">
        <x:f>IF(H1112=0,"0 Current",IF(H1112&lt;=30,"1 1-30",IF(H1112&lt;=60,"2 31-60",IF(H1112&lt;=90,"3 61-90",IF(H1112&lt;=120,"4 91-120","5 121+")))))</x:f>
        <x:v>4 91-120</x:v>
      </x:c>
      <x:c r="O1112" s="9" t="n">
        <x:f>IF(J1112&gt;0,1,0)</x:f>
        <x:v>0</x:v>
      </x:c>
    </x:row>
    <x:row r="1113">
      <x:c r="A1113" s="15" t="str">
        <x:v>1109</x:v>
      </x:c>
      <x:c r="B1113" s="9" t="str">
        <x:v>Alex</x:v>
      </x:c>
      <x:c r="C1113" s="9" t="str">
        <x:v>Personal Loan</x:v>
      </x:c>
      <x:c r="D1113" s="9" t="str">
        <x:v>Northeast</x:v>
      </x:c>
      <x:c r="E1113" s="9" t="n">
        <x:v>762</x:v>
      </x:c>
      <x:c r="F1113" s="11" t="n">
        <x:v>46061</x:v>
      </x:c>
      <x:c r="G1113" s="13" t="n">
        <x:v>1974.21</x:v>
      </x:c>
      <x:c r="H1113" s="9" t="n">
        <x:v>199</x:v>
      </x:c>
      <x:c r="I1113" s="9" t="n">
        <x:v>2</x:v>
      </x:c>
      <x:c r="J1113" s="9" t="n">
        <x:v>0</x:v>
      </x:c>
      <x:c r="K1113" s="9" t="n">
        <x:v>0</x:v>
      </x:c>
      <x:c r="L1113" s="13" t="n">
        <x:f>SUMIFS('Payments'!$D$5:$D$3014,'Payments'!$B$5:$B$3014,A1113)</x:f>
        <x:v>138.09</x:v>
      </x:c>
      <x:c r="M1113" s="13" t="n">
        <x:f>G1113-L1113</x:f>
        <x:v>1836.1200000000001</x:v>
      </x:c>
      <x:c r="N1113" s="9" t="str">
        <x:f>IF(H1113=0,"0 Current",IF(H1113&lt;=30,"1 1-30",IF(H1113&lt;=60,"2 31-60",IF(H1113&lt;=90,"3 61-90",IF(H1113&lt;=120,"4 91-120","5 121+")))))</x:f>
        <x:v>5 121+</x:v>
      </x:c>
      <x:c r="O1113" s="9" t="n">
        <x:f>IF(J1113&gt;0,1,0)</x:f>
        <x:v>0</x:v>
      </x:c>
    </x:row>
    <x:row r="1114">
      <x:c r="A1114" s="15" t="str">
        <x:v>1110</x:v>
      </x:c>
      <x:c r="B1114" s="9" t="str">
        <x:v>Alex</x:v>
      </x:c>
      <x:c r="C1114" s="9" t="str">
        <x:v>Credit Card</x:v>
      </x:c>
      <x:c r="D1114" s="9" t="str">
        <x:v>South</x:v>
      </x:c>
      <x:c r="E1114" s="9" t="n">
        <x:v>746</x:v>
      </x:c>
      <x:c r="F1114" s="11" t="n">
        <x:v>46162</x:v>
      </x:c>
      <x:c r="G1114" s="13" t="n">
        <x:v>24969.25</x:v>
      </x:c>
      <x:c r="H1114" s="9" t="n">
        <x:v>86</x:v>
      </x:c>
      <x:c r="I1114" s="9" t="n">
        <x:v>7</x:v>
      </x:c>
      <x:c r="J1114" s="9" t="n">
        <x:v>4</x:v>
      </x:c>
      <x:c r="K1114" s="9" t="n">
        <x:v>1</x:v>
      </x:c>
      <x:c r="L1114" s="13" t="n">
        <x:f>SUMIFS('Payments'!$D$5:$D$3014,'Payments'!$B$5:$B$3014,A1114)</x:f>
        <x:v>4479.71</x:v>
      </x:c>
      <x:c r="M1114" s="13" t="n">
        <x:f>G1114-L1114</x:f>
        <x:v>20489.54</x:v>
      </x:c>
      <x:c r="N1114" s="9" t="str">
        <x:f>IF(H1114=0,"0 Current",IF(H1114&lt;=30,"1 1-30",IF(H1114&lt;=60,"2 31-60",IF(H1114&lt;=90,"3 61-90",IF(H1114&lt;=120,"4 91-120","5 121+")))))</x:f>
        <x:v>3 61-90</x:v>
      </x:c>
      <x:c r="O1114" s="9" t="n">
        <x:f>IF(J1114&gt;0,1,0)</x:f>
        <x:v>1</x:v>
      </x:c>
    </x:row>
    <x:row r="1115">
      <x:c r="A1115" s="15" t="str">
        <x:v>1111</x:v>
      </x:c>
      <x:c r="B1115" s="9" t="str">
        <x:v>Riley</x:v>
      </x:c>
      <x:c r="C1115" s="9" t="str">
        <x:v>Auto</x:v>
      </x:c>
      <x:c r="D1115" s="9" t="str">
        <x:v>South</x:v>
      </x:c>
      <x:c r="E1115" s="9" t="n">
        <x:v>446</x:v>
      </x:c>
      <x:c r="F1115" s="11" t="n">
        <x:v>46050</x:v>
      </x:c>
      <x:c r="G1115" s="13" t="n">
        <x:v>9064.51</x:v>
      </x:c>
      <x:c r="H1115" s="9" t="n">
        <x:v>144</x:v>
      </x:c>
      <x:c r="I1115" s="9" t="n">
        <x:v>8</x:v>
      </x:c>
      <x:c r="J1115" s="9" t="n">
        <x:v>4</x:v>
      </x:c>
      <x:c r="K1115" s="9" t="n">
        <x:v>1</x:v>
      </x:c>
      <x:c r="L1115" s="13" t="n">
        <x:f>SUMIFS('Payments'!$D$5:$D$3014,'Payments'!$B$5:$B$3014,A1115)</x:f>
        <x:v>0</x:v>
      </x:c>
      <x:c r="M1115" s="13" t="n">
        <x:f>G1115-L1115</x:f>
        <x:v>9064.51</x:v>
      </x:c>
      <x:c r="N1115" s="9" t="str">
        <x:f>IF(H1115=0,"0 Current",IF(H1115&lt;=30,"1 1-30",IF(H1115&lt;=60,"2 31-60",IF(H1115&lt;=90,"3 61-90",IF(H1115&lt;=120,"4 91-120","5 121+")))))</x:f>
        <x:v>5 121+</x:v>
      </x:c>
      <x:c r="O1115" s="9" t="n">
        <x:f>IF(J1115&gt;0,1,0)</x:f>
        <x:v>1</x:v>
      </x:c>
    </x:row>
    <x:row r="1116">
      <x:c r="A1116" s="15" t="str">
        <x:v>1112</x:v>
      </x:c>
      <x:c r="B1116" s="9" t="str">
        <x:v>Alex</x:v>
      </x:c>
      <x:c r="C1116" s="9" t="str">
        <x:v>Auto</x:v>
      </x:c>
      <x:c r="D1116" s="9" t="str">
        <x:v>Northeast</x:v>
      </x:c>
      <x:c r="E1116" s="9" t="n">
        <x:v>631</x:v>
      </x:c>
      <x:c r="F1116" s="11" t="n">
        <x:v>46040</x:v>
      </x:c>
      <x:c r="G1116" s="13" t="n">
        <x:v>20379.36</x:v>
      </x:c>
      <x:c r="H1116" s="9" t="n">
        <x:v>65</x:v>
      </x:c>
      <x:c r="I1116" s="9" t="n">
        <x:v>3</x:v>
      </x:c>
      <x:c r="J1116" s="9" t="n">
        <x:v>0</x:v>
      </x:c>
      <x:c r="K1116" s="9" t="n">
        <x:v>0</x:v>
      </x:c>
      <x:c r="L1116" s="13" t="n">
        <x:f>SUMIFS('Payments'!$D$5:$D$3014,'Payments'!$B$5:$B$3014,A1116)</x:f>
        <x:v>802.9399999999999</x:v>
      </x:c>
      <x:c r="M1116" s="13" t="n">
        <x:f>G1116-L1116</x:f>
        <x:v>19576.420000000002</x:v>
      </x:c>
      <x:c r="N1116" s="9" t="str">
        <x:f>IF(H1116=0,"0 Current",IF(H1116&lt;=30,"1 1-30",IF(H1116&lt;=60,"2 31-60",IF(H1116&lt;=90,"3 61-90",IF(H1116&lt;=120,"4 91-120","5 121+")))))</x:f>
        <x:v>3 61-90</x:v>
      </x:c>
      <x:c r="O1116" s="9" t="n">
        <x:f>IF(J1116&gt;0,1,0)</x:f>
        <x:v>0</x:v>
      </x:c>
    </x:row>
    <x:row r="1117">
      <x:c r="A1117" s="15" t="str">
        <x:v>1113</x:v>
      </x:c>
      <x:c r="B1117" s="9" t="str">
        <x:v>Casey</x:v>
      </x:c>
      <x:c r="C1117" s="9" t="str">
        <x:v>Personal Loan</x:v>
      </x:c>
      <x:c r="D1117" s="9" t="str">
        <x:v>Midwest</x:v>
      </x:c>
      <x:c r="E1117" s="9" t="n">
        <x:v>787</x:v>
      </x:c>
      <x:c r="F1117" s="11" t="n">
        <x:v>46124</x:v>
      </x:c>
      <x:c r="G1117" s="13" t="n">
        <x:v>1145.78</x:v>
      </x:c>
      <x:c r="H1117" s="9" t="n">
        <x:v>46</x:v>
      </x:c>
      <x:c r="I1117" s="9" t="n">
        <x:v>1</x:v>
      </x:c>
      <x:c r="J1117" s="9" t="n">
        <x:v>1</x:v>
      </x:c>
      <x:c r="K1117" s="9" t="n">
        <x:v>1</x:v>
      </x:c>
      <x:c r="L1117" s="13" t="n">
        <x:f>SUMIFS('Payments'!$D$5:$D$3014,'Payments'!$B$5:$B$3014,A1117)</x:f>
        <x:v>106.29</x:v>
      </x:c>
      <x:c r="M1117" s="13" t="n">
        <x:f>G1117-L1117</x:f>
        <x:v>1039.49</x:v>
      </x:c>
      <x:c r="N1117" s="9" t="str">
        <x:f>IF(H1117=0,"0 Current",IF(H1117&lt;=30,"1 1-30",IF(H1117&lt;=60,"2 31-60",IF(H1117&lt;=90,"3 61-90",IF(H1117&lt;=120,"4 91-120","5 121+")))))</x:f>
        <x:v>2 31-60</x:v>
      </x:c>
      <x:c r="O1117" s="9" t="n">
        <x:f>IF(J1117&gt;0,1,0)</x:f>
        <x:v>1</x:v>
      </x:c>
    </x:row>
    <x:row r="1118">
      <x:c r="A1118" s="15" t="str">
        <x:v>1114</x:v>
      </x:c>
      <x:c r="B1118" s="9" t="str">
        <x:v>Jordan</x:v>
      </x:c>
      <x:c r="C1118" s="9" t="str">
        <x:v>Personal Loan</x:v>
      </x:c>
      <x:c r="D1118" s="9" t="str">
        <x:v>West</x:v>
      </x:c>
      <x:c r="E1118" s="9" t="n">
        <x:v>471</x:v>
      </x:c>
      <x:c r="F1118" s="11" t="n">
        <x:v>46027</x:v>
      </x:c>
      <x:c r="G1118" s="13" t="n">
        <x:v>24967.09</x:v>
      </x:c>
      <x:c r="H1118" s="9" t="n">
        <x:v>189</x:v>
      </x:c>
      <x:c r="I1118" s="9" t="n">
        <x:v>2</x:v>
      </x:c>
      <x:c r="J1118" s="9" t="n">
        <x:v>1</x:v>
      </x:c>
      <x:c r="K1118" s="9" t="n">
        <x:v>0</x:v>
      </x:c>
      <x:c r="L1118" s="13" t="n">
        <x:f>SUMIFS('Payments'!$D$5:$D$3014,'Payments'!$B$5:$B$3014,A1118)</x:f>
        <x:v>4606.4400000000005</x:v>
      </x:c>
      <x:c r="M1118" s="13" t="n">
        <x:f>G1118-L1118</x:f>
        <x:v>20360.65</x:v>
      </x:c>
      <x:c r="N1118" s="9" t="str">
        <x:f>IF(H1118=0,"0 Current",IF(H1118&lt;=30,"1 1-30",IF(H1118&lt;=60,"2 31-60",IF(H1118&lt;=90,"3 61-90",IF(H1118&lt;=120,"4 91-120","5 121+")))))</x:f>
        <x:v>5 121+</x:v>
      </x:c>
      <x:c r="O1118" s="9" t="n">
        <x:f>IF(J1118&gt;0,1,0)</x:f>
        <x:v>1</x:v>
      </x:c>
    </x:row>
    <x:row r="1119">
      <x:c r="A1119" s="15" t="str">
        <x:v>1115</x:v>
      </x:c>
      <x:c r="B1119" s="9" t="str">
        <x:v>Morgan</x:v>
      </x:c>
      <x:c r="C1119" s="9" t="str">
        <x:v>Auto</x:v>
      </x:c>
      <x:c r="D1119" s="9" t="str">
        <x:v>South</x:v>
      </x:c>
      <x:c r="E1119" s="9" t="n">
        <x:v>422</x:v>
      </x:c>
      <x:c r="F1119" s="11" t="n">
        <x:v>46080</x:v>
      </x:c>
      <x:c r="G1119" s="13" t="n">
        <x:v>5975.66</x:v>
      </x:c>
      <x:c r="H1119" s="9" t="n">
        <x:v>20</x:v>
      </x:c>
      <x:c r="I1119" s="9" t="n">
        <x:v>5</x:v>
      </x:c>
      <x:c r="J1119" s="9" t="n">
        <x:v>2</x:v>
      </x:c>
      <x:c r="K1119" s="9" t="n">
        <x:v>0</x:v>
      </x:c>
      <x:c r="L1119" s="13" t="n">
        <x:f>SUMIFS('Payments'!$D$5:$D$3014,'Payments'!$B$5:$B$3014,A1119)</x:f>
        <x:v>1329.22</x:v>
      </x:c>
      <x:c r="M1119" s="13" t="n">
        <x:f>G1119-L1119</x:f>
        <x:v>4646.44</x:v>
      </x:c>
      <x:c r="N1119" s="9" t="str">
        <x:f>IF(H1119=0,"0 Current",IF(H1119&lt;=30,"1 1-30",IF(H1119&lt;=60,"2 31-60",IF(H1119&lt;=90,"3 61-90",IF(H1119&lt;=120,"4 91-120","5 121+")))))</x:f>
        <x:v>1 1-30</x:v>
      </x:c>
      <x:c r="O1119" s="9" t="n">
        <x:f>IF(J1119&gt;0,1,0)</x:f>
        <x:v>1</x:v>
      </x:c>
    </x:row>
    <x:row r="1120">
      <x:c r="A1120" s="15" t="str">
        <x:v>1116</x:v>
      </x:c>
      <x:c r="B1120" s="9" t="str">
        <x:v>Riley</x:v>
      </x:c>
      <x:c r="C1120" s="9" t="str">
        <x:v>Credit Card</x:v>
      </x:c>
      <x:c r="D1120" s="9" t="str">
        <x:v>South</x:v>
      </x:c>
      <x:c r="E1120" s="9" t="n">
        <x:v>628</x:v>
      </x:c>
      <x:c r="F1120" s="11" t="n">
        <x:v>46104</x:v>
      </x:c>
      <x:c r="G1120" s="13" t="n">
        <x:v>23024.42</x:v>
      </x:c>
      <x:c r="H1120" s="9" t="n">
        <x:v>43</x:v>
      </x:c>
      <x:c r="I1120" s="9" t="n">
        <x:v>4</x:v>
      </x:c>
      <x:c r="J1120" s="9" t="n">
        <x:v>2</x:v>
      </x:c>
      <x:c r="K1120" s="9" t="n">
        <x:v>1</x:v>
      </x:c>
      <x:c r="L1120" s="13" t="n">
        <x:f>SUMIFS('Payments'!$D$5:$D$3014,'Payments'!$B$5:$B$3014,A1120)</x:f>
        <x:v>7170.2</x:v>
      </x:c>
      <x:c r="M1120" s="13" t="n">
        <x:f>G1120-L1120</x:f>
        <x:v>15854.219999999998</x:v>
      </x:c>
      <x:c r="N1120" s="9" t="str">
        <x:f>IF(H1120=0,"0 Current",IF(H1120&lt;=30,"1 1-30",IF(H1120&lt;=60,"2 31-60",IF(H1120&lt;=90,"3 61-90",IF(H1120&lt;=120,"4 91-120","5 121+")))))</x:f>
        <x:v>2 31-60</x:v>
      </x:c>
      <x:c r="O1120" s="9" t="n">
        <x:f>IF(J1120&gt;0,1,0)</x:f>
        <x:v>1</x:v>
      </x:c>
    </x:row>
    <x:row r="1121">
      <x:c r="A1121" s="15" t="str">
        <x:v>1117</x:v>
      </x:c>
      <x:c r="B1121" s="9" t="str">
        <x:v>Riley</x:v>
      </x:c>
      <x:c r="C1121" s="9" t="str">
        <x:v>Personal Loan</x:v>
      </x:c>
      <x:c r="D1121" s="9" t="str">
        <x:v>West</x:v>
      </x:c>
      <x:c r="E1121" s="9" t="n">
        <x:v>664</x:v>
      </x:c>
      <x:c r="F1121" s="11" t="n">
        <x:v>46025</x:v>
      </x:c>
      <x:c r="G1121" s="13" t="n">
        <x:v>21479.9</x:v>
      </x:c>
      <x:c r="H1121" s="9" t="n">
        <x:v>79</x:v>
      </x:c>
      <x:c r="I1121" s="9" t="n">
        <x:v>1</x:v>
      </x:c>
      <x:c r="J1121" s="9" t="n">
        <x:v>0</x:v>
      </x:c>
      <x:c r="K1121" s="9" t="n">
        <x:v>0</x:v>
      </x:c>
      <x:c r="L1121" s="13" t="n">
        <x:f>SUMIFS('Payments'!$D$5:$D$3014,'Payments'!$B$5:$B$3014,A1121)</x:f>
        <x:v>3060.9500000000003</x:v>
      </x:c>
      <x:c r="M1121" s="13" t="n">
        <x:f>G1121-L1121</x:f>
        <x:v>18418.95</x:v>
      </x:c>
      <x:c r="N1121" s="9" t="str">
        <x:f>IF(H1121=0,"0 Current",IF(H1121&lt;=30,"1 1-30",IF(H1121&lt;=60,"2 31-60",IF(H1121&lt;=90,"3 61-90",IF(H1121&lt;=120,"4 91-120","5 121+")))))</x:f>
        <x:v>3 61-90</x:v>
      </x:c>
      <x:c r="O1121" s="9" t="n">
        <x:f>IF(J1121&gt;0,1,0)</x:f>
        <x:v>0</x:v>
      </x:c>
    </x:row>
    <x:row r="1122">
      <x:c r="A1122" s="15" t="str">
        <x:v>1118</x:v>
      </x:c>
      <x:c r="B1122" s="9" t="str">
        <x:v>Casey</x:v>
      </x:c>
      <x:c r="C1122" s="9" t="str">
        <x:v>Credit Card</x:v>
      </x:c>
      <x:c r="D1122" s="9" t="str">
        <x:v>South</x:v>
      </x:c>
      <x:c r="E1122" s="9" t="n">
        <x:v>807</x:v>
      </x:c>
      <x:c r="F1122" s="11" t="n">
        <x:v>46097</x:v>
      </x:c>
      <x:c r="G1122" s="13" t="n">
        <x:v>24292.34</x:v>
      </x:c>
      <x:c r="H1122" s="9" t="n">
        <x:v>111</x:v>
      </x:c>
      <x:c r="I1122" s="9" t="n">
        <x:v>8</x:v>
      </x:c>
      <x:c r="J1122" s="9" t="n">
        <x:v>4</x:v>
      </x:c>
      <x:c r="K1122" s="9" t="n">
        <x:v>1</x:v>
      </x:c>
      <x:c r="L1122" s="13" t="n">
        <x:f>SUMIFS('Payments'!$D$5:$D$3014,'Payments'!$B$5:$B$3014,A1122)</x:f>
        <x:v>2365.01</x:v>
      </x:c>
      <x:c r="M1122" s="13" t="n">
        <x:f>G1122-L1122</x:f>
        <x:v>21927.33</x:v>
      </x:c>
      <x:c r="N1122" s="9" t="str">
        <x:f>IF(H1122=0,"0 Current",IF(H1122&lt;=30,"1 1-30",IF(H1122&lt;=60,"2 31-60",IF(H1122&lt;=90,"3 61-90",IF(H1122&lt;=120,"4 91-120","5 121+")))))</x:f>
        <x:v>4 91-120</x:v>
      </x:c>
      <x:c r="O1122" s="9" t="n">
        <x:f>IF(J1122&gt;0,1,0)</x:f>
        <x:v>1</x:v>
      </x:c>
    </x:row>
    <x:row r="1123">
      <x:c r="A1123" s="15" t="str">
        <x:v>1119</x:v>
      </x:c>
      <x:c r="B1123" s="9" t="str">
        <x:v>Casey</x:v>
      </x:c>
      <x:c r="C1123" s="9" t="str">
        <x:v>Credit Card</x:v>
      </x:c>
      <x:c r="D1123" s="9" t="str">
        <x:v>Midwest</x:v>
      </x:c>
      <x:c r="E1123" s="9" t="n">
        <x:v>584</x:v>
      </x:c>
      <x:c r="F1123" s="11" t="n">
        <x:v>46033</x:v>
      </x:c>
      <x:c r="G1123" s="13" t="n">
        <x:v>21646.4</x:v>
      </x:c>
      <x:c r="H1123" s="9" t="n">
        <x:v>57</x:v>
      </x:c>
      <x:c r="I1123" s="9" t="n">
        <x:v>1</x:v>
      </x:c>
      <x:c r="J1123" s="9" t="n">
        <x:v>0</x:v>
      </x:c>
      <x:c r="K1123" s="9" t="n">
        <x:v>0</x:v>
      </x:c>
      <x:c r="L1123" s="13" t="n">
        <x:f>SUMIFS('Payments'!$D$5:$D$3014,'Payments'!$B$5:$B$3014,A1123)</x:f>
        <x:v>4662.94</x:v>
      </x:c>
      <x:c r="M1123" s="13" t="n">
        <x:f>G1123-L1123</x:f>
        <x:v>16983.460000000003</x:v>
      </x:c>
      <x:c r="N1123" s="9" t="str">
        <x:f>IF(H1123=0,"0 Current",IF(H1123&lt;=30,"1 1-30",IF(H1123&lt;=60,"2 31-60",IF(H1123&lt;=90,"3 61-90",IF(H1123&lt;=120,"4 91-120","5 121+")))))</x:f>
        <x:v>2 31-60</x:v>
      </x:c>
      <x:c r="O1123" s="9" t="n">
        <x:f>IF(J1123&gt;0,1,0)</x:f>
        <x:v>0</x:v>
      </x:c>
    </x:row>
    <x:row r="1124">
      <x:c r="A1124" s="15" t="str">
        <x:v>1120</x:v>
      </x:c>
      <x:c r="B1124" s="9" t="str">
        <x:v>Alex</x:v>
      </x:c>
      <x:c r="C1124" s="9" t="str">
        <x:v>Personal Loan</x:v>
      </x:c>
      <x:c r="D1124" s="9" t="str">
        <x:v>Midwest</x:v>
      </x:c>
      <x:c r="E1124" s="9" t="n">
        <x:v>750</x:v>
      </x:c>
      <x:c r="F1124" s="11" t="n">
        <x:v>46148</x:v>
      </x:c>
      <x:c r="G1124" s="13" t="n">
        <x:v>6723.69</x:v>
      </x:c>
      <x:c r="H1124" s="9" t="n">
        <x:v>231</x:v>
      </x:c>
      <x:c r="I1124" s="9" t="n">
        <x:v>0</x:v>
      </x:c>
      <x:c r="J1124" s="9" t="n">
        <x:v>0</x:v>
      </x:c>
      <x:c r="K1124" s="9" t="n">
        <x:v>0</x:v>
      </x:c>
      <x:c r="L1124" s="13" t="n">
        <x:f>SUMIFS('Payments'!$D$5:$D$3014,'Payments'!$B$5:$B$3014,A1124)</x:f>
        <x:v>307.43</x:v>
      </x:c>
      <x:c r="M1124" s="13" t="n">
        <x:f>G1124-L1124</x:f>
        <x:v>6416.259999999999</x:v>
      </x:c>
      <x:c r="N1124" s="9" t="str">
        <x:f>IF(H1124=0,"0 Current",IF(H1124&lt;=30,"1 1-30",IF(H1124&lt;=60,"2 31-60",IF(H1124&lt;=90,"3 61-90",IF(H1124&lt;=120,"4 91-120","5 121+")))))</x:f>
        <x:v>5 121+</x:v>
      </x:c>
      <x:c r="O1124" s="9" t="n">
        <x:f>IF(J1124&gt;0,1,0)</x:f>
        <x:v>0</x:v>
      </x:c>
    </x:row>
    <x:row r="1125">
      <x:c r="A1125" s="15" t="str">
        <x:v>1121</x:v>
      </x:c>
      <x:c r="B1125" s="9" t="str">
        <x:v>Riley</x:v>
      </x:c>
      <x:c r="C1125" s="9" t="str">
        <x:v>Auto</x:v>
      </x:c>
      <x:c r="D1125" s="9" t="str">
        <x:v>Northeast</x:v>
      </x:c>
      <x:c r="E1125" s="9" t="n">
        <x:v>813</x:v>
      </x:c>
      <x:c r="F1125" s="11" t="n">
        <x:v>46028</x:v>
      </x:c>
      <x:c r="G1125" s="13" t="n">
        <x:v>1262.26</x:v>
      </x:c>
      <x:c r="H1125" s="9" t="n">
        <x:v>63</x:v>
      </x:c>
      <x:c r="I1125" s="9" t="n">
        <x:v>1</x:v>
      </x:c>
      <x:c r="J1125" s="9" t="n">
        <x:v>0</x:v>
      </x:c>
      <x:c r="K1125" s="9" t="n">
        <x:v>0</x:v>
      </x:c>
      <x:c r="L1125" s="13" t="n">
        <x:f>SUMIFS('Payments'!$D$5:$D$3014,'Payments'!$B$5:$B$3014,A1125)</x:f>
        <x:v>216.15000000000003</x:v>
      </x:c>
      <x:c r="M1125" s="13" t="n">
        <x:f>G1125-L1125</x:f>
        <x:v>1046.11</x:v>
      </x:c>
      <x:c r="N1125" s="9" t="str">
        <x:f>IF(H1125=0,"0 Current",IF(H1125&lt;=30,"1 1-30",IF(H1125&lt;=60,"2 31-60",IF(H1125&lt;=90,"3 61-90",IF(H1125&lt;=120,"4 91-120","5 121+")))))</x:f>
        <x:v>3 61-90</x:v>
      </x:c>
      <x:c r="O1125" s="9" t="n">
        <x:f>IF(J1125&gt;0,1,0)</x:f>
        <x:v>0</x:v>
      </x:c>
    </x:row>
    <x:row r="1126">
      <x:c r="A1126" s="15" t="str">
        <x:v>1122</x:v>
      </x:c>
      <x:c r="B1126" s="9" t="str">
        <x:v>Riley</x:v>
      </x:c>
      <x:c r="C1126" s="9" t="str">
        <x:v>Credit Card</x:v>
      </x:c>
      <x:c r="D1126" s="9" t="str">
        <x:v>Northeast</x:v>
      </x:c>
      <x:c r="E1126" s="9" t="n">
        <x:v>753</x:v>
      </x:c>
      <x:c r="F1126" s="11" t="n">
        <x:v>46155</x:v>
      </x:c>
      <x:c r="G1126" s="13" t="n">
        <x:v>22356.19</x:v>
      </x:c>
      <x:c r="H1126" s="9" t="n">
        <x:v>31</x:v>
      </x:c>
      <x:c r="I1126" s="9" t="n">
        <x:v>1</x:v>
      </x:c>
      <x:c r="J1126" s="9" t="n">
        <x:v>0</x:v>
      </x:c>
      <x:c r="K1126" s="9" t="n">
        <x:v>0</x:v>
      </x:c>
      <x:c r="L1126" s="13" t="n">
        <x:f>SUMIFS('Payments'!$D$5:$D$3014,'Payments'!$B$5:$B$3014,A1126)</x:f>
        <x:v>658.37</x:v>
      </x:c>
      <x:c r="M1126" s="13" t="n">
        <x:f>G1126-L1126</x:f>
        <x:v>21697.82</x:v>
      </x:c>
      <x:c r="N1126" s="9" t="str">
        <x:f>IF(H1126=0,"0 Current",IF(H1126&lt;=30,"1 1-30",IF(H1126&lt;=60,"2 31-60",IF(H1126&lt;=90,"3 61-90",IF(H1126&lt;=120,"4 91-120","5 121+")))))</x:f>
        <x:v>2 31-60</x:v>
      </x:c>
      <x:c r="O1126" s="9" t="n">
        <x:f>IF(J1126&gt;0,1,0)</x:f>
        <x:v>0</x:v>
      </x:c>
    </x:row>
    <x:row r="1127">
      <x:c r="A1127" s="15" t="str">
        <x:v>1123</x:v>
      </x:c>
      <x:c r="B1127" s="9" t="str">
        <x:v>Casey</x:v>
      </x:c>
      <x:c r="C1127" s="9" t="str">
        <x:v>Auto</x:v>
      </x:c>
      <x:c r="D1127" s="9" t="str">
        <x:v>South</x:v>
      </x:c>
      <x:c r="E1127" s="9" t="n">
        <x:v>693</x:v>
      </x:c>
      <x:c r="F1127" s="11" t="n">
        <x:v>46061</x:v>
      </x:c>
      <x:c r="G1127" s="13" t="n">
        <x:v>10360.68</x:v>
      </x:c>
      <x:c r="H1127" s="9" t="n">
        <x:v>51</x:v>
      </x:c>
      <x:c r="I1127" s="9" t="n">
        <x:v>6</x:v>
      </x:c>
      <x:c r="J1127" s="9" t="n">
        <x:v>1</x:v>
      </x:c>
      <x:c r="K1127" s="9" t="n">
        <x:v>1</x:v>
      </x:c>
      <x:c r="L1127" s="13" t="n">
        <x:f>SUMIFS('Payments'!$D$5:$D$3014,'Payments'!$B$5:$B$3014,A1127)</x:f>
        <x:v>3211.42</x:v>
      </x:c>
      <x:c r="M1127" s="13" t="n">
        <x:f>G1127-L1127</x:f>
        <x:v>7149.26</x:v>
      </x:c>
      <x:c r="N1127" s="9" t="str">
        <x:f>IF(H1127=0,"0 Current",IF(H1127&lt;=30,"1 1-30",IF(H1127&lt;=60,"2 31-60",IF(H1127&lt;=90,"3 61-90",IF(H1127&lt;=120,"4 91-120","5 121+")))))</x:f>
        <x:v>2 31-60</x:v>
      </x:c>
      <x:c r="O1127" s="9" t="n">
        <x:f>IF(J1127&gt;0,1,0)</x:f>
        <x:v>1</x:v>
      </x:c>
    </x:row>
    <x:row r="1128">
      <x:c r="A1128" s="15" t="str">
        <x:v>1124</x:v>
      </x:c>
      <x:c r="B1128" s="9" t="str">
        <x:v>Taylor</x:v>
      </x:c>
      <x:c r="C1128" s="9" t="str">
        <x:v>Medical</x:v>
      </x:c>
      <x:c r="D1128" s="9" t="str">
        <x:v>Northeast</x:v>
      </x:c>
      <x:c r="E1128" s="9" t="n">
        <x:v>509</x:v>
      </x:c>
      <x:c r="F1128" s="11" t="n">
        <x:v>46154</x:v>
      </x:c>
      <x:c r="G1128" s="13" t="n">
        <x:v>12132.06</x:v>
      </x:c>
      <x:c r="H1128" s="9" t="n">
        <x:v>63</x:v>
      </x:c>
      <x:c r="I1128" s="9" t="n">
        <x:v>8</x:v>
      </x:c>
      <x:c r="J1128" s="9" t="n">
        <x:v>3</x:v>
      </x:c>
      <x:c r="K1128" s="9" t="n">
        <x:v>0</x:v>
      </x:c>
      <x:c r="L1128" s="13" t="n">
        <x:f>SUMIFS('Payments'!$D$5:$D$3014,'Payments'!$B$5:$B$3014,A1128)</x:f>
        <x:v>1197.95</x:v>
      </x:c>
      <x:c r="M1128" s="13" t="n">
        <x:f>G1128-L1128</x:f>
        <x:v>10934.109999999999</x:v>
      </x:c>
      <x:c r="N1128" s="9" t="str">
        <x:f>IF(H1128=0,"0 Current",IF(H1128&lt;=30,"1 1-30",IF(H1128&lt;=60,"2 31-60",IF(H1128&lt;=90,"3 61-90",IF(H1128&lt;=120,"4 91-120","5 121+")))))</x:f>
        <x:v>3 61-90</x:v>
      </x:c>
      <x:c r="O1128" s="9" t="n">
        <x:f>IF(J1128&gt;0,1,0)</x:f>
        <x:v>1</x:v>
      </x:c>
    </x:row>
    <x:row r="1129">
      <x:c r="A1129" s="15" t="str">
        <x:v>1125</x:v>
      </x:c>
      <x:c r="B1129" s="9" t="str">
        <x:v>Jordan</x:v>
      </x:c>
      <x:c r="C1129" s="9" t="str">
        <x:v>Medical</x:v>
      </x:c>
      <x:c r="D1129" s="9" t="str">
        <x:v>West</x:v>
      </x:c>
      <x:c r="E1129" s="9" t="n">
        <x:v>510</x:v>
      </x:c>
      <x:c r="F1129" s="11" t="n">
        <x:v>46026</x:v>
      </x:c>
      <x:c r="G1129" s="13" t="n">
        <x:v>3369.47</x:v>
      </x:c>
      <x:c r="H1129" s="9" t="n">
        <x:v>82</x:v>
      </x:c>
      <x:c r="I1129" s="9" t="n">
        <x:v>6</x:v>
      </x:c>
      <x:c r="J1129" s="9" t="n">
        <x:v>2</x:v>
      </x:c>
      <x:c r="K1129" s="9" t="n">
        <x:v>1</x:v>
      </x:c>
      <x:c r="L1129" s="13" t="n">
        <x:f>SUMIFS('Payments'!$D$5:$D$3014,'Payments'!$B$5:$B$3014,A1129)</x:f>
        <x:v>192.01</x:v>
      </x:c>
      <x:c r="M1129" s="13" t="n">
        <x:f>G1129-L1129</x:f>
        <x:v>3177.46</x:v>
      </x:c>
      <x:c r="N1129" s="9" t="str">
        <x:f>IF(H1129=0,"0 Current",IF(H1129&lt;=30,"1 1-30",IF(H1129&lt;=60,"2 31-60",IF(H1129&lt;=90,"3 61-90",IF(H1129&lt;=120,"4 91-120","5 121+")))))</x:f>
        <x:v>3 61-90</x:v>
      </x:c>
      <x:c r="O1129" s="9" t="n">
        <x:f>IF(J1129&gt;0,1,0)</x:f>
        <x:v>1</x:v>
      </x:c>
    </x:row>
    <x:row r="1130">
      <x:c r="A1130" s="15" t="str">
        <x:v>1126</x:v>
      </x:c>
      <x:c r="B1130" s="9" t="str">
        <x:v>Alex</x:v>
      </x:c>
      <x:c r="C1130" s="9" t="str">
        <x:v>Medical</x:v>
      </x:c>
      <x:c r="D1130" s="9" t="str">
        <x:v>Northeast</x:v>
      </x:c>
      <x:c r="E1130" s="9" t="n">
        <x:v>623</x:v>
      </x:c>
      <x:c r="F1130" s="11" t="n">
        <x:v>46036</x:v>
      </x:c>
      <x:c r="G1130" s="13" t="n">
        <x:v>4505.16</x:v>
      </x:c>
      <x:c r="H1130" s="9" t="n">
        <x:v>68</x:v>
      </x:c>
      <x:c r="I1130" s="9" t="n">
        <x:v>2</x:v>
      </x:c>
      <x:c r="J1130" s="9" t="n">
        <x:v>1</x:v>
      </x:c>
      <x:c r="K1130" s="9" t="n">
        <x:v>1</x:v>
      </x:c>
      <x:c r="L1130" s="13" t="n">
        <x:f>SUMIFS('Payments'!$D$5:$D$3014,'Payments'!$B$5:$B$3014,A1130)</x:f>
        <x:v>0</x:v>
      </x:c>
      <x:c r="M1130" s="13" t="n">
        <x:f>G1130-L1130</x:f>
        <x:v>4505.16</x:v>
      </x:c>
      <x:c r="N1130" s="9" t="str">
        <x:f>IF(H1130=0,"0 Current",IF(H1130&lt;=30,"1 1-30",IF(H1130&lt;=60,"2 31-60",IF(H1130&lt;=90,"3 61-90",IF(H1130&lt;=120,"4 91-120","5 121+")))))</x:f>
        <x:v>3 61-90</x:v>
      </x:c>
      <x:c r="O1130" s="9" t="n">
        <x:f>IF(J1130&gt;0,1,0)</x:f>
        <x:v>1</x:v>
      </x:c>
    </x:row>
    <x:row r="1131">
      <x:c r="A1131" s="15" t="str">
        <x:v>1127</x:v>
      </x:c>
      <x:c r="B1131" s="9" t="str">
        <x:v>Riley</x:v>
      </x:c>
      <x:c r="C1131" s="9" t="str">
        <x:v>Auto</x:v>
      </x:c>
      <x:c r="D1131" s="9" t="str">
        <x:v>West</x:v>
      </x:c>
      <x:c r="E1131" s="9" t="n">
        <x:v>515</x:v>
      </x:c>
      <x:c r="F1131" s="11" t="n">
        <x:v>46058</x:v>
      </x:c>
      <x:c r="G1131" s="13" t="n">
        <x:v>9831.99</x:v>
      </x:c>
      <x:c r="H1131" s="9" t="n">
        <x:v>152</x:v>
      </x:c>
      <x:c r="I1131" s="9" t="n">
        <x:v>2</x:v>
      </x:c>
      <x:c r="J1131" s="9" t="n">
        <x:v>1</x:v>
      </x:c>
      <x:c r="K1131" s="9" t="n">
        <x:v>0</x:v>
      </x:c>
      <x:c r="L1131" s="13" t="n">
        <x:f>SUMIFS('Payments'!$D$5:$D$3014,'Payments'!$B$5:$B$3014,A1131)</x:f>
        <x:v>1188.9</x:v>
      </x:c>
      <x:c r="M1131" s="13" t="n">
        <x:f>G1131-L1131</x:f>
        <x:v>8643.09</x:v>
      </x:c>
      <x:c r="N1131" s="9" t="str">
        <x:f>IF(H1131=0,"0 Current",IF(H1131&lt;=30,"1 1-30",IF(H1131&lt;=60,"2 31-60",IF(H1131&lt;=90,"3 61-90",IF(H1131&lt;=120,"4 91-120","5 121+")))))</x:f>
        <x:v>5 121+</x:v>
      </x:c>
      <x:c r="O1131" s="9" t="n">
        <x:f>IF(J1131&gt;0,1,0)</x:f>
        <x:v>1</x:v>
      </x:c>
    </x:row>
    <x:row r="1132">
      <x:c r="A1132" s="15" t="str">
        <x:v>1128</x:v>
      </x:c>
      <x:c r="B1132" s="9" t="str">
        <x:v>Taylor</x:v>
      </x:c>
      <x:c r="C1132" s="9" t="str">
        <x:v>Personal Loan</x:v>
      </x:c>
      <x:c r="D1132" s="9" t="str">
        <x:v>Midwest</x:v>
      </x:c>
      <x:c r="E1132" s="9" t="n">
        <x:v>439</x:v>
      </x:c>
      <x:c r="F1132" s="11" t="n">
        <x:v>46150</x:v>
      </x:c>
      <x:c r="G1132" s="13" t="n">
        <x:v>11492.42</x:v>
      </x:c>
      <x:c r="H1132" s="9" t="n">
        <x:v>231</x:v>
      </x:c>
      <x:c r="I1132" s="9" t="n">
        <x:v>5</x:v>
      </x:c>
      <x:c r="J1132" s="9" t="n">
        <x:v>1</x:v>
      </x:c>
      <x:c r="K1132" s="9" t="n">
        <x:v>1</x:v>
      </x:c>
      <x:c r="L1132" s="13" t="n">
        <x:f>SUMIFS('Payments'!$D$5:$D$3014,'Payments'!$B$5:$B$3014,A1132)</x:f>
        <x:v>1235.7</x:v>
      </x:c>
      <x:c r="M1132" s="13" t="n">
        <x:f>G1132-L1132</x:f>
        <x:v>10256.72</x:v>
      </x:c>
      <x:c r="N1132" s="9" t="str">
        <x:f>IF(H1132=0,"0 Current",IF(H1132&lt;=30,"1 1-30",IF(H1132&lt;=60,"2 31-60",IF(H1132&lt;=90,"3 61-90",IF(H1132&lt;=120,"4 91-120","5 121+")))))</x:f>
        <x:v>5 121+</x:v>
      </x:c>
      <x:c r="O1132" s="9" t="n">
        <x:f>IF(J1132&gt;0,1,0)</x:f>
        <x:v>1</x:v>
      </x:c>
    </x:row>
    <x:row r="1133">
      <x:c r="A1133" s="15" t="str">
        <x:v>1129</x:v>
      </x:c>
      <x:c r="B1133" s="9" t="str">
        <x:v>Casey</x:v>
      </x:c>
      <x:c r="C1133" s="9" t="str">
        <x:v>Personal Loan</x:v>
      </x:c>
      <x:c r="D1133" s="9" t="str">
        <x:v>Northeast</x:v>
      </x:c>
      <x:c r="E1133" s="9" t="n">
        <x:v>572</x:v>
      </x:c>
      <x:c r="F1133" s="11" t="n">
        <x:v>46047</x:v>
      </x:c>
      <x:c r="G1133" s="13" t="n">
        <x:v>23988.67</x:v>
      </x:c>
      <x:c r="H1133" s="9" t="n">
        <x:v>27</x:v>
      </x:c>
      <x:c r="I1133" s="9" t="n">
        <x:v>4</x:v>
      </x:c>
      <x:c r="J1133" s="9" t="n">
        <x:v>0</x:v>
      </x:c>
      <x:c r="K1133" s="9" t="n">
        <x:v>0</x:v>
      </x:c>
      <x:c r="L1133" s="13" t="n">
        <x:f>SUMIFS('Payments'!$D$5:$D$3014,'Payments'!$B$5:$B$3014,A1133)</x:f>
        <x:v>5689</x:v>
      </x:c>
      <x:c r="M1133" s="13" t="n">
        <x:f>G1133-L1133</x:f>
        <x:v>18299.67</x:v>
      </x:c>
      <x:c r="N1133" s="9" t="str">
        <x:f>IF(H1133=0,"0 Current",IF(H1133&lt;=30,"1 1-30",IF(H1133&lt;=60,"2 31-60",IF(H1133&lt;=90,"3 61-90",IF(H1133&lt;=120,"4 91-120","5 121+")))))</x:f>
        <x:v>1 1-30</x:v>
      </x:c>
      <x:c r="O1133" s="9" t="n">
        <x:f>IF(J1133&gt;0,1,0)</x:f>
        <x:v>0</x:v>
      </x:c>
    </x:row>
    <x:row r="1134">
      <x:c r="A1134" s="15" t="str">
        <x:v>1130</x:v>
      </x:c>
      <x:c r="B1134" s="9" t="str">
        <x:v>Alex</x:v>
      </x:c>
      <x:c r="C1134" s="9" t="str">
        <x:v>Credit Card</x:v>
      </x:c>
      <x:c r="D1134" s="9" t="str">
        <x:v>Northeast</x:v>
      </x:c>
      <x:c r="E1134" s="9" t="n">
        <x:v>591</x:v>
      </x:c>
      <x:c r="F1134" s="11" t="n">
        <x:v>46127</x:v>
      </x:c>
      <x:c r="G1134" s="13" t="n">
        <x:v>1486.98</x:v>
      </x:c>
      <x:c r="H1134" s="9" t="n">
        <x:v>32</x:v>
      </x:c>
      <x:c r="I1134" s="9" t="n">
        <x:v>3</x:v>
      </x:c>
      <x:c r="J1134" s="9" t="n">
        <x:v>0</x:v>
      </x:c>
      <x:c r="K1134" s="9" t="n">
        <x:v>0</x:v>
      </x:c>
      <x:c r="L1134" s="13" t="n">
        <x:f>SUMIFS('Payments'!$D$5:$D$3014,'Payments'!$B$5:$B$3014,A1134)</x:f>
        <x:v>224.14000000000001</x:v>
      </x:c>
      <x:c r="M1134" s="13" t="n">
        <x:f>G1134-L1134</x:f>
        <x:v>1262.84</x:v>
      </x:c>
      <x:c r="N1134" s="9" t="str">
        <x:f>IF(H1134=0,"0 Current",IF(H1134&lt;=30,"1 1-30",IF(H1134&lt;=60,"2 31-60",IF(H1134&lt;=90,"3 61-90",IF(H1134&lt;=120,"4 91-120","5 121+")))))</x:f>
        <x:v>2 31-60</x:v>
      </x:c>
      <x:c r="O1134" s="9" t="n">
        <x:f>IF(J1134&gt;0,1,0)</x:f>
        <x:v>0</x:v>
      </x:c>
    </x:row>
    <x:row r="1135">
      <x:c r="A1135" s="15" t="str">
        <x:v>1131</x:v>
      </x:c>
      <x:c r="B1135" s="9" t="str">
        <x:v>Taylor</x:v>
      </x:c>
      <x:c r="C1135" s="9" t="str">
        <x:v>Personal Loan</x:v>
      </x:c>
      <x:c r="D1135" s="9" t="str">
        <x:v>Midwest</x:v>
      </x:c>
      <x:c r="E1135" s="9" t="n">
        <x:v>652</x:v>
      </x:c>
      <x:c r="F1135" s="11" t="n">
        <x:v>46090</x:v>
      </x:c>
      <x:c r="G1135" s="13" t="n">
        <x:v>22828.44</x:v>
      </x:c>
      <x:c r="H1135" s="9" t="n">
        <x:v>2</x:v>
      </x:c>
      <x:c r="I1135" s="9" t="n">
        <x:v>6</x:v>
      </x:c>
      <x:c r="J1135" s="9" t="n">
        <x:v>2</x:v>
      </x:c>
      <x:c r="K1135" s="9" t="n">
        <x:v>0</x:v>
      </x:c>
      <x:c r="L1135" s="13" t="n">
        <x:f>SUMIFS('Payments'!$D$5:$D$3014,'Payments'!$B$5:$B$3014,A1135)</x:f>
        <x:v>5341.21</x:v>
      </x:c>
      <x:c r="M1135" s="13" t="n">
        <x:f>G1135-L1135</x:f>
        <x:v>17487.23</x:v>
      </x:c>
      <x:c r="N1135" s="9" t="str">
        <x:f>IF(H1135=0,"0 Current",IF(H1135&lt;=30,"1 1-30",IF(H1135&lt;=60,"2 31-60",IF(H1135&lt;=90,"3 61-90",IF(H1135&lt;=120,"4 91-120","5 121+")))))</x:f>
        <x:v>1 1-30</x:v>
      </x:c>
      <x:c r="O1135" s="9" t="n">
        <x:f>IF(J1135&gt;0,1,0)</x:f>
        <x:v>1</x:v>
      </x:c>
    </x:row>
    <x:row r="1136">
      <x:c r="A1136" s="15" t="str">
        <x:v>1132</x:v>
      </x:c>
      <x:c r="B1136" s="9" t="str">
        <x:v>Riley</x:v>
      </x:c>
      <x:c r="C1136" s="9" t="str">
        <x:v>Credit Card</x:v>
      </x:c>
      <x:c r="D1136" s="9" t="str">
        <x:v>West</x:v>
      </x:c>
      <x:c r="E1136" s="9" t="n">
        <x:v>488</x:v>
      </x:c>
      <x:c r="F1136" s="11" t="n">
        <x:v>46029</x:v>
      </x:c>
      <x:c r="G1136" s="13" t="n">
        <x:v>4990.88</x:v>
      </x:c>
      <x:c r="H1136" s="9" t="n">
        <x:v>85</x:v>
      </x:c>
      <x:c r="I1136" s="9" t="n">
        <x:v>7</x:v>
      </x:c>
      <x:c r="J1136" s="9" t="n">
        <x:v>2</x:v>
      </x:c>
      <x:c r="K1136" s="9" t="n">
        <x:v>1</x:v>
      </x:c>
      <x:c r="L1136" s="13" t="n">
        <x:f>SUMIFS('Payments'!$D$5:$D$3014,'Payments'!$B$5:$B$3014,A1136)</x:f>
        <x:v>14.48</x:v>
      </x:c>
      <x:c r="M1136" s="13" t="n">
        <x:f>G1136-L1136</x:f>
        <x:v>4976.400000000001</x:v>
      </x:c>
      <x:c r="N1136" s="9" t="str">
        <x:f>IF(H1136=0,"0 Current",IF(H1136&lt;=30,"1 1-30",IF(H1136&lt;=60,"2 31-60",IF(H1136&lt;=90,"3 61-90",IF(H1136&lt;=120,"4 91-120","5 121+")))))</x:f>
        <x:v>3 61-90</x:v>
      </x:c>
      <x:c r="O1136" s="9" t="n">
        <x:f>IF(J1136&gt;0,1,0)</x:f>
        <x:v>1</x:v>
      </x:c>
    </x:row>
    <x:row r="1137">
      <x:c r="A1137" s="15" t="str">
        <x:v>1133</x:v>
      </x:c>
      <x:c r="B1137" s="9" t="str">
        <x:v>Morgan</x:v>
      </x:c>
      <x:c r="C1137" s="9" t="str">
        <x:v>Medical</x:v>
      </x:c>
      <x:c r="D1137" s="9" t="str">
        <x:v>West</x:v>
      </x:c>
      <x:c r="E1137" s="9" t="n">
        <x:v>559</x:v>
      </x:c>
      <x:c r="F1137" s="11" t="n">
        <x:v>46048</x:v>
      </x:c>
      <x:c r="G1137" s="13" t="n">
        <x:v>5793.94</x:v>
      </x:c>
      <x:c r="H1137" s="9" t="n">
        <x:v>100</x:v>
      </x:c>
      <x:c r="I1137" s="9" t="n">
        <x:v>6</x:v>
      </x:c>
      <x:c r="J1137" s="9" t="n">
        <x:v>5</x:v>
      </x:c>
      <x:c r="K1137" s="9" t="n">
        <x:v>1</x:v>
      </x:c>
      <x:c r="L1137" s="13" t="n">
        <x:f>SUMIFS('Payments'!$D$5:$D$3014,'Payments'!$B$5:$B$3014,A1137)</x:f>
        <x:v>1056.55</x:v>
      </x:c>
      <x:c r="M1137" s="13" t="n">
        <x:f>G1137-L1137</x:f>
        <x:v>4737.389999999999</x:v>
      </x:c>
      <x:c r="N1137" s="9" t="str">
        <x:f>IF(H1137=0,"0 Current",IF(H1137&lt;=30,"1 1-30",IF(H1137&lt;=60,"2 31-60",IF(H1137&lt;=90,"3 61-90",IF(H1137&lt;=120,"4 91-120","5 121+")))))</x:f>
        <x:v>4 91-120</x:v>
      </x:c>
      <x:c r="O1137" s="9" t="n">
        <x:f>IF(J1137&gt;0,1,0)</x:f>
        <x:v>1</x:v>
      </x:c>
    </x:row>
    <x:row r="1138">
      <x:c r="A1138" s="15" t="str">
        <x:v>1134</x:v>
      </x:c>
      <x:c r="B1138" s="9" t="str">
        <x:v>Morgan</x:v>
      </x:c>
      <x:c r="C1138" s="9" t="str">
        <x:v>Credit Card</x:v>
      </x:c>
      <x:c r="D1138" s="9" t="str">
        <x:v>South</x:v>
      </x:c>
      <x:c r="E1138" s="9" t="n">
        <x:v>477</x:v>
      </x:c>
      <x:c r="F1138" s="11" t="n">
        <x:v>46098</x:v>
      </x:c>
      <x:c r="G1138" s="13" t="n">
        <x:v>20351.84</x:v>
      </x:c>
      <x:c r="H1138" s="9" t="n">
        <x:v>169</x:v>
      </x:c>
      <x:c r="I1138" s="9" t="n">
        <x:v>3</x:v>
      </x:c>
      <x:c r="J1138" s="9" t="n">
        <x:v>2</x:v>
      </x:c>
      <x:c r="K1138" s="9" t="n">
        <x:v>1</x:v>
      </x:c>
      <x:c r="L1138" s="13" t="n">
        <x:f>SUMIFS('Payments'!$D$5:$D$3014,'Payments'!$B$5:$B$3014,A1138)</x:f>
        <x:v>1525.66</x:v>
      </x:c>
      <x:c r="M1138" s="13" t="n">
        <x:f>G1138-L1138</x:f>
        <x:v>18826.18</x:v>
      </x:c>
      <x:c r="N1138" s="9" t="str">
        <x:f>IF(H1138=0,"0 Current",IF(H1138&lt;=30,"1 1-30",IF(H1138&lt;=60,"2 31-60",IF(H1138&lt;=90,"3 61-90",IF(H1138&lt;=120,"4 91-120","5 121+")))))</x:f>
        <x:v>5 121+</x:v>
      </x:c>
      <x:c r="O1138" s="9" t="n">
        <x:f>IF(J1138&gt;0,1,0)</x:f>
        <x:v>1</x:v>
      </x:c>
    </x:row>
    <x:row r="1139">
      <x:c r="A1139" s="15" t="str">
        <x:v>1135</x:v>
      </x:c>
      <x:c r="B1139" s="9" t="str">
        <x:v>Riley</x:v>
      </x:c>
      <x:c r="C1139" s="9" t="str">
        <x:v>Auto</x:v>
      </x:c>
      <x:c r="D1139" s="9" t="str">
        <x:v>Midwest</x:v>
      </x:c>
      <x:c r="E1139" s="9" t="n">
        <x:v>503</x:v>
      </x:c>
      <x:c r="F1139" s="11" t="n">
        <x:v>46100</x:v>
      </x:c>
      <x:c r="G1139" s="13" t="n">
        <x:v>21496.62</x:v>
      </x:c>
      <x:c r="H1139" s="9" t="n">
        <x:v>77</x:v>
      </x:c>
      <x:c r="I1139" s="9" t="n">
        <x:v>5</x:v>
      </x:c>
      <x:c r="J1139" s="9" t="n">
        <x:v>2</x:v>
      </x:c>
      <x:c r="K1139" s="9" t="n">
        <x:v>0</x:v>
      </x:c>
      <x:c r="L1139" s="13" t="n">
        <x:f>SUMIFS('Payments'!$D$5:$D$3014,'Payments'!$B$5:$B$3014,A1139)</x:f>
        <x:v>668.26</x:v>
      </x:c>
      <x:c r="M1139" s="13" t="n">
        <x:f>G1139-L1139</x:f>
        <x:v>20828.36</x:v>
      </x:c>
      <x:c r="N1139" s="9" t="str">
        <x:f>IF(H1139=0,"0 Current",IF(H1139&lt;=30,"1 1-30",IF(H1139&lt;=60,"2 31-60",IF(H1139&lt;=90,"3 61-90",IF(H1139&lt;=120,"4 91-120","5 121+")))))</x:f>
        <x:v>3 61-90</x:v>
      </x:c>
      <x:c r="O1139" s="9" t="n">
        <x:f>IF(J1139&gt;0,1,0)</x:f>
        <x:v>1</x:v>
      </x:c>
    </x:row>
    <x:row r="1140">
      <x:c r="A1140" s="15" t="str">
        <x:v>1136</x:v>
      </x:c>
      <x:c r="B1140" s="9" t="str">
        <x:v>Alex</x:v>
      </x:c>
      <x:c r="C1140" s="9" t="str">
        <x:v>Personal Loan</x:v>
      </x:c>
      <x:c r="D1140" s="9" t="str">
        <x:v>West</x:v>
      </x:c>
      <x:c r="E1140" s="9" t="n">
        <x:v>751</x:v>
      </x:c>
      <x:c r="F1140" s="11" t="n">
        <x:v>46051</x:v>
      </x:c>
      <x:c r="G1140" s="13" t="n">
        <x:v>6825.67</x:v>
      </x:c>
      <x:c r="H1140" s="9" t="n">
        <x:v>202</x:v>
      </x:c>
      <x:c r="I1140" s="9" t="n">
        <x:v>2</x:v>
      </x:c>
      <x:c r="J1140" s="9" t="n">
        <x:v>2</x:v>
      </x:c>
      <x:c r="K1140" s="9" t="n">
        <x:v>1</x:v>
      </x:c>
      <x:c r="L1140" s="13" t="n">
        <x:f>SUMIFS('Payments'!$D$5:$D$3014,'Payments'!$B$5:$B$3014,A1140)</x:f>
        <x:v>912.3399999999999</x:v>
      </x:c>
      <x:c r="M1140" s="13" t="n">
        <x:f>G1140-L1140</x:f>
        <x:v>5913.33</x:v>
      </x:c>
      <x:c r="N1140" s="9" t="str">
        <x:f>IF(H1140=0,"0 Current",IF(H1140&lt;=30,"1 1-30",IF(H1140&lt;=60,"2 31-60",IF(H1140&lt;=90,"3 61-90",IF(H1140&lt;=120,"4 91-120","5 121+")))))</x:f>
        <x:v>5 121+</x:v>
      </x:c>
      <x:c r="O1140" s="9" t="n">
        <x:f>IF(J1140&gt;0,1,0)</x:f>
        <x:v>1</x:v>
      </x:c>
    </x:row>
    <x:row r="1141">
      <x:c r="A1141" s="15" t="str">
        <x:v>1137</x:v>
      </x:c>
      <x:c r="B1141" s="9" t="str">
        <x:v>Alex</x:v>
      </x:c>
      <x:c r="C1141" s="9" t="str">
        <x:v>Auto</x:v>
      </x:c>
      <x:c r="D1141" s="9" t="str">
        <x:v>Midwest</x:v>
      </x:c>
      <x:c r="E1141" s="9" t="n">
        <x:v>787</x:v>
      </x:c>
      <x:c r="F1141" s="11" t="n">
        <x:v>46045</x:v>
      </x:c>
      <x:c r="G1141" s="13" t="n">
        <x:v>5689.39</x:v>
      </x:c>
      <x:c r="H1141" s="9" t="n">
        <x:v>198</x:v>
      </x:c>
      <x:c r="I1141" s="9" t="n">
        <x:v>2</x:v>
      </x:c>
      <x:c r="J1141" s="9" t="n">
        <x:v>0</x:v>
      </x:c>
      <x:c r="K1141" s="9" t="n">
        <x:v>0</x:v>
      </x:c>
      <x:c r="L1141" s="13" t="n">
        <x:f>SUMIFS('Payments'!$D$5:$D$3014,'Payments'!$B$5:$B$3014,A1141)</x:f>
        <x:v>115.26</x:v>
      </x:c>
      <x:c r="M1141" s="13" t="n">
        <x:f>G1141-L1141</x:f>
        <x:v>5574.13</x:v>
      </x:c>
      <x:c r="N1141" s="9" t="str">
        <x:f>IF(H1141=0,"0 Current",IF(H1141&lt;=30,"1 1-30",IF(H1141&lt;=60,"2 31-60",IF(H1141&lt;=90,"3 61-90",IF(H1141&lt;=120,"4 91-120","5 121+")))))</x:f>
        <x:v>5 121+</x:v>
      </x:c>
      <x:c r="O1141" s="9" t="n">
        <x:f>IF(J1141&gt;0,1,0)</x:f>
        <x:v>0</x:v>
      </x:c>
    </x:row>
    <x:row r="1142">
      <x:c r="A1142" s="15" t="str">
        <x:v>1138</x:v>
      </x:c>
      <x:c r="B1142" s="9" t="str">
        <x:v>Taylor</x:v>
      </x:c>
      <x:c r="C1142" s="9" t="str">
        <x:v>Personal Loan</x:v>
      </x:c>
      <x:c r="D1142" s="9" t="str">
        <x:v>South</x:v>
      </x:c>
      <x:c r="E1142" s="9" t="n">
        <x:v>427</x:v>
      </x:c>
      <x:c r="F1142" s="11" t="n">
        <x:v>46080</x:v>
      </x:c>
      <x:c r="G1142" s="13" t="n">
        <x:v>14650.03</x:v>
      </x:c>
      <x:c r="H1142" s="9" t="n">
        <x:v>128</x:v>
      </x:c>
      <x:c r="I1142" s="9" t="n">
        <x:v>6</x:v>
      </x:c>
      <x:c r="J1142" s="9" t="n">
        <x:v>2</x:v>
      </x:c>
      <x:c r="K1142" s="9" t="n">
        <x:v>0</x:v>
      </x:c>
      <x:c r="L1142" s="13" t="n">
        <x:f>SUMIFS('Payments'!$D$5:$D$3014,'Payments'!$B$5:$B$3014,A1142)</x:f>
        <x:v>3571.18</x:v>
      </x:c>
      <x:c r="M1142" s="13" t="n">
        <x:f>G1142-L1142</x:f>
        <x:v>11078.85</x:v>
      </x:c>
      <x:c r="N1142" s="9" t="str">
        <x:f>IF(H1142=0,"0 Current",IF(H1142&lt;=30,"1 1-30",IF(H1142&lt;=60,"2 31-60",IF(H1142&lt;=90,"3 61-90",IF(H1142&lt;=120,"4 91-120","5 121+")))))</x:f>
        <x:v>5 121+</x:v>
      </x:c>
      <x:c r="O1142" s="9" t="n">
        <x:f>IF(J1142&gt;0,1,0)</x:f>
        <x:v>1</x:v>
      </x:c>
    </x:row>
    <x:row r="1143">
      <x:c r="A1143" s="15" t="str">
        <x:v>1139</x:v>
      </x:c>
      <x:c r="B1143" s="9" t="str">
        <x:v>Jordan</x:v>
      </x:c>
      <x:c r="C1143" s="9" t="str">
        <x:v>Medical</x:v>
      </x:c>
      <x:c r="D1143" s="9" t="str">
        <x:v>Midwest</x:v>
      </x:c>
      <x:c r="E1143" s="9" t="n">
        <x:v>571</x:v>
      </x:c>
      <x:c r="F1143" s="11" t="n">
        <x:v>46064</x:v>
      </x:c>
      <x:c r="G1143" s="13" t="n">
        <x:v>16063.8</x:v>
      </x:c>
      <x:c r="H1143" s="9" t="n">
        <x:v>168</x:v>
      </x:c>
      <x:c r="I1143" s="9" t="n">
        <x:v>1</x:v>
      </x:c>
      <x:c r="J1143" s="9" t="n">
        <x:v>0</x:v>
      </x:c>
      <x:c r="K1143" s="9" t="n">
        <x:v>0</x:v>
      </x:c>
      <x:c r="L1143" s="13" t="n">
        <x:f>SUMIFS('Payments'!$D$5:$D$3014,'Payments'!$B$5:$B$3014,A1143)</x:f>
        <x:v>883.48</x:v>
      </x:c>
      <x:c r="M1143" s="13" t="n">
        <x:f>G1143-L1143</x:f>
        <x:v>15180.32</x:v>
      </x:c>
      <x:c r="N1143" s="9" t="str">
        <x:f>IF(H1143=0,"0 Current",IF(H1143&lt;=30,"1 1-30",IF(H1143&lt;=60,"2 31-60",IF(H1143&lt;=90,"3 61-90",IF(H1143&lt;=120,"4 91-120","5 121+")))))</x:f>
        <x:v>5 121+</x:v>
      </x:c>
      <x:c r="O1143" s="9" t="n">
        <x:f>IF(J1143&gt;0,1,0)</x:f>
        <x:v>0</x:v>
      </x:c>
    </x:row>
    <x:row r="1144">
      <x:c r="A1144" s="15" t="str">
        <x:v>1140</x:v>
      </x:c>
      <x:c r="B1144" s="9" t="str">
        <x:v>Alex</x:v>
      </x:c>
      <x:c r="C1144" s="9" t="str">
        <x:v>Medical</x:v>
      </x:c>
      <x:c r="D1144" s="9" t="str">
        <x:v>South</x:v>
      </x:c>
      <x:c r="E1144" s="9" t="n">
        <x:v>509</x:v>
      </x:c>
      <x:c r="F1144" s="11" t="n">
        <x:v>46158</x:v>
      </x:c>
      <x:c r="G1144" s="13" t="n">
        <x:v>18278.98</x:v>
      </x:c>
      <x:c r="H1144" s="9" t="n">
        <x:v>127</x:v>
      </x:c>
      <x:c r="I1144" s="9" t="n">
        <x:v>8</x:v>
      </x:c>
      <x:c r="J1144" s="9" t="n">
        <x:v>2</x:v>
      </x:c>
      <x:c r="K1144" s="9" t="n">
        <x:v>1</x:v>
      </x:c>
      <x:c r="L1144" s="13" t="n">
        <x:f>SUMIFS('Payments'!$D$5:$D$3014,'Payments'!$B$5:$B$3014,A1144)</x:f>
        <x:v>273.4</x:v>
      </x:c>
      <x:c r="M1144" s="13" t="n">
        <x:f>G1144-L1144</x:f>
        <x:v>18005.579999999998</x:v>
      </x:c>
      <x:c r="N1144" s="9" t="str">
        <x:f>IF(H1144=0,"0 Current",IF(H1144&lt;=30,"1 1-30",IF(H1144&lt;=60,"2 31-60",IF(H1144&lt;=90,"3 61-90",IF(H1144&lt;=120,"4 91-120","5 121+")))))</x:f>
        <x:v>5 121+</x:v>
      </x:c>
      <x:c r="O1144" s="9" t="n">
        <x:f>IF(J1144&gt;0,1,0)</x:f>
        <x:v>1</x:v>
      </x:c>
    </x:row>
    <x:row r="1145">
      <x:c r="A1145" s="15" t="str">
        <x:v>1141</x:v>
      </x:c>
      <x:c r="B1145" s="9" t="str">
        <x:v>Jordan</x:v>
      </x:c>
      <x:c r="C1145" s="9" t="str">
        <x:v>Auto</x:v>
      </x:c>
      <x:c r="D1145" s="9" t="str">
        <x:v>West</x:v>
      </x:c>
      <x:c r="E1145" s="9" t="n">
        <x:v>638</x:v>
      </x:c>
      <x:c r="F1145" s="11" t="n">
        <x:v>46026</x:v>
      </x:c>
      <x:c r="G1145" s="13" t="n">
        <x:v>9302.02</x:v>
      </x:c>
      <x:c r="H1145" s="9" t="n">
        <x:v>208</x:v>
      </x:c>
      <x:c r="I1145" s="9" t="n">
        <x:v>3</x:v>
      </x:c>
      <x:c r="J1145" s="9" t="n">
        <x:v>3</x:v>
      </x:c>
      <x:c r="K1145" s="9" t="n">
        <x:v>0</x:v>
      </x:c>
      <x:c r="L1145" s="13" t="n">
        <x:f>SUMIFS('Payments'!$D$5:$D$3014,'Payments'!$B$5:$B$3014,A1145)</x:f>
        <x:v>0</x:v>
      </x:c>
      <x:c r="M1145" s="13" t="n">
        <x:f>G1145-L1145</x:f>
        <x:v>9302.02</x:v>
      </x:c>
      <x:c r="N1145" s="9" t="str">
        <x:f>IF(H1145=0,"0 Current",IF(H1145&lt;=30,"1 1-30",IF(H1145&lt;=60,"2 31-60",IF(H1145&lt;=90,"3 61-90",IF(H1145&lt;=120,"4 91-120","5 121+")))))</x:f>
        <x:v>5 121+</x:v>
      </x:c>
      <x:c r="O1145" s="9" t="n">
        <x:f>IF(J1145&gt;0,1,0)</x:f>
        <x:v>1</x:v>
      </x:c>
    </x:row>
    <x:row r="1146">
      <x:c r="A1146" s="15" t="str">
        <x:v>1142</x:v>
      </x:c>
      <x:c r="B1146" s="9" t="str">
        <x:v>Alex</x:v>
      </x:c>
      <x:c r="C1146" s="9" t="str">
        <x:v>Credit Card</x:v>
      </x:c>
      <x:c r="D1146" s="9" t="str">
        <x:v>Midwest</x:v>
      </x:c>
      <x:c r="E1146" s="9" t="n">
        <x:v>464</x:v>
      </x:c>
      <x:c r="F1146" s="11" t="n">
        <x:v>46165</x:v>
      </x:c>
      <x:c r="G1146" s="13" t="n">
        <x:v>17903.88</x:v>
      </x:c>
      <x:c r="H1146" s="9" t="n">
        <x:v>226</x:v>
      </x:c>
      <x:c r="I1146" s="9" t="n">
        <x:v>4</x:v>
      </x:c>
      <x:c r="J1146" s="9" t="n">
        <x:v>3</x:v>
      </x:c>
      <x:c r="K1146" s="9" t="n">
        <x:v>0</x:v>
      </x:c>
      <x:c r="L1146" s="13" t="n">
        <x:f>SUMIFS('Payments'!$D$5:$D$3014,'Payments'!$B$5:$B$3014,A1146)</x:f>
        <x:v>4122.29</x:v>
      </x:c>
      <x:c r="M1146" s="13" t="n">
        <x:f>G1146-L1146</x:f>
        <x:v>13781.59</x:v>
      </x:c>
      <x:c r="N1146" s="9" t="str">
        <x:f>IF(H1146=0,"0 Current",IF(H1146&lt;=30,"1 1-30",IF(H1146&lt;=60,"2 31-60",IF(H1146&lt;=90,"3 61-90",IF(H1146&lt;=120,"4 91-120","5 121+")))))</x:f>
        <x:v>5 121+</x:v>
      </x:c>
      <x:c r="O1146" s="9" t="n">
        <x:f>IF(J1146&gt;0,1,0)</x:f>
        <x:v>1</x:v>
      </x:c>
    </x:row>
    <x:row r="1147">
      <x:c r="A1147" s="15" t="str">
        <x:v>1143</x:v>
      </x:c>
      <x:c r="B1147" s="9" t="str">
        <x:v>Alex</x:v>
      </x:c>
      <x:c r="C1147" s="9" t="str">
        <x:v>Medical</x:v>
      </x:c>
      <x:c r="D1147" s="9" t="str">
        <x:v>West</x:v>
      </x:c>
      <x:c r="E1147" s="9" t="n">
        <x:v>762</x:v>
      </x:c>
      <x:c r="F1147" s="11" t="n">
        <x:v>46025</x:v>
      </x:c>
      <x:c r="G1147" s="13" t="n">
        <x:v>5553.31</x:v>
      </x:c>
      <x:c r="H1147" s="9" t="n">
        <x:v>112</x:v>
      </x:c>
      <x:c r="I1147" s="9" t="n">
        <x:v>0</x:v>
      </x:c>
      <x:c r="J1147" s="9" t="n">
        <x:v>0</x:v>
      </x:c>
      <x:c r="K1147" s="9" t="n">
        <x:v>0</x:v>
      </x:c>
      <x:c r="L1147" s="13" t="n">
        <x:f>SUMIFS('Payments'!$D$5:$D$3014,'Payments'!$B$5:$B$3014,A1147)</x:f>
        <x:v>529.99</x:v>
      </x:c>
      <x:c r="M1147" s="13" t="n">
        <x:f>G1147-L1147</x:f>
        <x:v>5023.320000000001</x:v>
      </x:c>
      <x:c r="N1147" s="9" t="str">
        <x:f>IF(H1147=0,"0 Current",IF(H1147&lt;=30,"1 1-30",IF(H1147&lt;=60,"2 31-60",IF(H1147&lt;=90,"3 61-90",IF(H1147&lt;=120,"4 91-120","5 121+")))))</x:f>
        <x:v>4 91-120</x:v>
      </x:c>
      <x:c r="O1147" s="9" t="n">
        <x:f>IF(J1147&gt;0,1,0)</x:f>
        <x:v>0</x:v>
      </x:c>
    </x:row>
    <x:row r="1148">
      <x:c r="A1148" s="15" t="str">
        <x:v>1144</x:v>
      </x:c>
      <x:c r="B1148" s="9" t="str">
        <x:v>Riley</x:v>
      </x:c>
      <x:c r="C1148" s="9" t="str">
        <x:v>Auto</x:v>
      </x:c>
      <x:c r="D1148" s="9" t="str">
        <x:v>Northeast</x:v>
      </x:c>
      <x:c r="E1148" s="9" t="n">
        <x:v>514</x:v>
      </x:c>
      <x:c r="F1148" s="11" t="n">
        <x:v>46143</x:v>
      </x:c>
      <x:c r="G1148" s="13" t="n">
        <x:v>7482.16</x:v>
      </x:c>
      <x:c r="H1148" s="9" t="n">
        <x:v>133</x:v>
      </x:c>
      <x:c r="I1148" s="9" t="n">
        <x:v>7</x:v>
      </x:c>
      <x:c r="J1148" s="9" t="n">
        <x:v>5</x:v>
      </x:c>
      <x:c r="K1148" s="9" t="n">
        <x:v>1</x:v>
      </x:c>
      <x:c r="L1148" s="13" t="n">
        <x:f>SUMIFS('Payments'!$D$5:$D$3014,'Payments'!$B$5:$B$3014,A1148)</x:f>
        <x:v>0</x:v>
      </x:c>
      <x:c r="M1148" s="13" t="n">
        <x:f>G1148-L1148</x:f>
        <x:v>7482.16</x:v>
      </x:c>
      <x:c r="N1148" s="9" t="str">
        <x:f>IF(H1148=0,"0 Current",IF(H1148&lt;=30,"1 1-30",IF(H1148&lt;=60,"2 31-60",IF(H1148&lt;=90,"3 61-90",IF(H1148&lt;=120,"4 91-120","5 121+")))))</x:f>
        <x:v>5 121+</x:v>
      </x:c>
      <x:c r="O1148" s="9" t="n">
        <x:f>IF(J1148&gt;0,1,0)</x:f>
        <x:v>1</x:v>
      </x:c>
    </x:row>
    <x:row r="1149">
      <x:c r="A1149" s="15" t="str">
        <x:v>1145</x:v>
      </x:c>
      <x:c r="B1149" s="9" t="str">
        <x:v>Casey</x:v>
      </x:c>
      <x:c r="C1149" s="9" t="str">
        <x:v>Medical</x:v>
      </x:c>
      <x:c r="D1149" s="9" t="str">
        <x:v>South</x:v>
      </x:c>
      <x:c r="E1149" s="9" t="n">
        <x:v>664</x:v>
      </x:c>
      <x:c r="F1149" s="11" t="n">
        <x:v>46143</x:v>
      </x:c>
      <x:c r="G1149" s="13" t="n">
        <x:v>6985.59</x:v>
      </x:c>
      <x:c r="H1149" s="9" t="n">
        <x:v>173</x:v>
      </x:c>
      <x:c r="I1149" s="9" t="n">
        <x:v>3</x:v>
      </x:c>
      <x:c r="J1149" s="9" t="n">
        <x:v>0</x:v>
      </x:c>
      <x:c r="K1149" s="9" t="n">
        <x:v>0</x:v>
      </x:c>
      <x:c r="L1149" s="13" t="n">
        <x:f>SUMIFS('Payments'!$D$5:$D$3014,'Payments'!$B$5:$B$3014,A1149)</x:f>
        <x:v>2103.07</x:v>
      </x:c>
      <x:c r="M1149" s="13" t="n">
        <x:f>G1149-L1149</x:f>
        <x:v>4882.52</x:v>
      </x:c>
      <x:c r="N1149" s="9" t="str">
        <x:f>IF(H1149=0,"0 Current",IF(H1149&lt;=30,"1 1-30",IF(H1149&lt;=60,"2 31-60",IF(H1149&lt;=90,"3 61-90",IF(H1149&lt;=120,"4 91-120","5 121+")))))</x:f>
        <x:v>5 121+</x:v>
      </x:c>
      <x:c r="O1149" s="9" t="n">
        <x:f>IF(J1149&gt;0,1,0)</x:f>
        <x:v>0</x:v>
      </x:c>
    </x:row>
    <x:row r="1150">
      <x:c r="A1150" s="15" t="str">
        <x:v>1146</x:v>
      </x:c>
      <x:c r="B1150" s="9" t="str">
        <x:v>Casey</x:v>
      </x:c>
      <x:c r="C1150" s="9" t="str">
        <x:v>Personal Loan</x:v>
      </x:c>
      <x:c r="D1150" s="9" t="str">
        <x:v>Midwest</x:v>
      </x:c>
      <x:c r="E1150" s="9" t="n">
        <x:v>547</x:v>
      </x:c>
      <x:c r="F1150" s="11" t="n">
        <x:v>46050</x:v>
      </x:c>
      <x:c r="G1150" s="13" t="n">
        <x:v>792.51</x:v>
      </x:c>
      <x:c r="H1150" s="9" t="n">
        <x:v>140</x:v>
      </x:c>
      <x:c r="I1150" s="9" t="n">
        <x:v>8</x:v>
      </x:c>
      <x:c r="J1150" s="9" t="n">
        <x:v>5</x:v>
      </x:c>
      <x:c r="K1150" s="9" t="n">
        <x:v>1</x:v>
      </x:c>
      <x:c r="L1150" s="13" t="n">
        <x:f>SUMIFS('Payments'!$D$5:$D$3014,'Payments'!$B$5:$B$3014,A1150)</x:f>
        <x:v>0</x:v>
      </x:c>
      <x:c r="M1150" s="13" t="n">
        <x:f>G1150-L1150</x:f>
        <x:v>792.51</x:v>
      </x:c>
      <x:c r="N1150" s="9" t="str">
        <x:f>IF(H1150=0,"0 Current",IF(H1150&lt;=30,"1 1-30",IF(H1150&lt;=60,"2 31-60",IF(H1150&lt;=90,"3 61-90",IF(H1150&lt;=120,"4 91-120","5 121+")))))</x:f>
        <x:v>5 121+</x:v>
      </x:c>
      <x:c r="O1150" s="9" t="n">
        <x:f>IF(J1150&gt;0,1,0)</x:f>
        <x:v>1</x:v>
      </x:c>
    </x:row>
    <x:row r="1151">
      <x:c r="A1151" s="15" t="str">
        <x:v>1147</x:v>
      </x:c>
      <x:c r="B1151" s="9" t="str">
        <x:v>Riley</x:v>
      </x:c>
      <x:c r="C1151" s="9" t="str">
        <x:v>Credit Card</x:v>
      </x:c>
      <x:c r="D1151" s="9" t="str">
        <x:v>Northeast</x:v>
      </x:c>
      <x:c r="E1151" s="9" t="n">
        <x:v>553</x:v>
      </x:c>
      <x:c r="F1151" s="11" t="n">
        <x:v>46054</x:v>
      </x:c>
      <x:c r="G1151" s="13" t="n">
        <x:v>16887.27</x:v>
      </x:c>
      <x:c r="H1151" s="9" t="n">
        <x:v>202</x:v>
      </x:c>
      <x:c r="I1151" s="9" t="n">
        <x:v>6</x:v>
      </x:c>
      <x:c r="J1151" s="9" t="n">
        <x:v>2</x:v>
      </x:c>
      <x:c r="K1151" s="9" t="n">
        <x:v>0</x:v>
      </x:c>
      <x:c r="L1151" s="13" t="n">
        <x:f>SUMIFS('Payments'!$D$5:$D$3014,'Payments'!$B$5:$B$3014,A1151)</x:f>
        <x:v>4250.09</x:v>
      </x:c>
      <x:c r="M1151" s="13" t="n">
        <x:f>G1151-L1151</x:f>
        <x:v>12637.18</x:v>
      </x:c>
      <x:c r="N1151" s="9" t="str">
        <x:f>IF(H1151=0,"0 Current",IF(H1151&lt;=30,"1 1-30",IF(H1151&lt;=60,"2 31-60",IF(H1151&lt;=90,"3 61-90",IF(H1151&lt;=120,"4 91-120","5 121+")))))</x:f>
        <x:v>5 121+</x:v>
      </x:c>
      <x:c r="O1151" s="9" t="n">
        <x:f>IF(J1151&gt;0,1,0)</x:f>
        <x:v>1</x:v>
      </x:c>
    </x:row>
    <x:row r="1152">
      <x:c r="A1152" s="15" t="str">
        <x:v>1148</x:v>
      </x:c>
      <x:c r="B1152" s="9" t="str">
        <x:v>Morgan</x:v>
      </x:c>
      <x:c r="C1152" s="9" t="str">
        <x:v>Personal Loan</x:v>
      </x:c>
      <x:c r="D1152" s="9" t="str">
        <x:v>West</x:v>
      </x:c>
      <x:c r="E1152" s="9" t="n">
        <x:v>540</x:v>
      </x:c>
      <x:c r="F1152" s="11" t="n">
        <x:v>46037</x:v>
      </x:c>
      <x:c r="G1152" s="13" t="n">
        <x:v>5341.9</x:v>
      </x:c>
      <x:c r="H1152" s="9" t="n">
        <x:v>210</x:v>
      </x:c>
      <x:c r="I1152" s="9" t="n">
        <x:v>0</x:v>
      </x:c>
      <x:c r="J1152" s="9" t="n">
        <x:v>0</x:v>
      </x:c>
      <x:c r="K1152" s="9" t="n">
        <x:v>0</x:v>
      </x:c>
      <x:c r="L1152" s="13" t="n">
        <x:f>SUMIFS('Payments'!$D$5:$D$3014,'Payments'!$B$5:$B$3014,A1152)</x:f>
        <x:v>519.07</x:v>
      </x:c>
      <x:c r="M1152" s="13" t="n">
        <x:f>G1152-L1152</x:f>
        <x:v>4822.83</x:v>
      </x:c>
      <x:c r="N1152" s="9" t="str">
        <x:f>IF(H1152=0,"0 Current",IF(H1152&lt;=30,"1 1-30",IF(H1152&lt;=60,"2 31-60",IF(H1152&lt;=90,"3 61-90",IF(H1152&lt;=120,"4 91-120","5 121+")))))</x:f>
        <x:v>5 121+</x:v>
      </x:c>
      <x:c r="O1152" s="9" t="n">
        <x:f>IF(J1152&gt;0,1,0)</x:f>
        <x:v>0</x:v>
      </x:c>
    </x:row>
    <x:row r="1153">
      <x:c r="A1153" s="15" t="str">
        <x:v>1149</x:v>
      </x:c>
      <x:c r="B1153" s="9" t="str">
        <x:v>Casey</x:v>
      </x:c>
      <x:c r="C1153" s="9" t="str">
        <x:v>Medical</x:v>
      </x:c>
      <x:c r="D1153" s="9" t="str">
        <x:v>West</x:v>
      </x:c>
      <x:c r="E1153" s="9" t="n">
        <x:v>805</x:v>
      </x:c>
      <x:c r="F1153" s="11" t="n">
        <x:v>46145</x:v>
      </x:c>
      <x:c r="G1153" s="13" t="n">
        <x:v>904.59</x:v>
      </x:c>
      <x:c r="H1153" s="9" t="n">
        <x:v>93</x:v>
      </x:c>
      <x:c r="I1153" s="9" t="n">
        <x:v>8</x:v>
      </x:c>
      <x:c r="J1153" s="9" t="n">
        <x:v>1</x:v>
      </x:c>
      <x:c r="K1153" s="9" t="n">
        <x:v>0</x:v>
      </x:c>
      <x:c r="L1153" s="13" t="n">
        <x:f>SUMIFS('Payments'!$D$5:$D$3014,'Payments'!$B$5:$B$3014,A1153)</x:f>
        <x:v>0</x:v>
      </x:c>
      <x:c r="M1153" s="13" t="n">
        <x:f>G1153-L1153</x:f>
        <x:v>904.59</x:v>
      </x:c>
      <x:c r="N1153" s="9" t="str">
        <x:f>IF(H1153=0,"0 Current",IF(H1153&lt;=30,"1 1-30",IF(H1153&lt;=60,"2 31-60",IF(H1153&lt;=90,"3 61-90",IF(H1153&lt;=120,"4 91-120","5 121+")))))</x:f>
        <x:v>4 91-120</x:v>
      </x:c>
      <x:c r="O1153" s="9" t="n">
        <x:f>IF(J1153&gt;0,1,0)</x:f>
        <x:v>1</x:v>
      </x:c>
    </x:row>
    <x:row r="1154">
      <x:c r="A1154" s="15" t="str">
        <x:v>1150</x:v>
      </x:c>
      <x:c r="B1154" s="9" t="str">
        <x:v>Alex</x:v>
      </x:c>
      <x:c r="C1154" s="9" t="str">
        <x:v>Personal Loan</x:v>
      </x:c>
      <x:c r="D1154" s="9" t="str">
        <x:v>Midwest</x:v>
      </x:c>
      <x:c r="E1154" s="9" t="n">
        <x:v>588</x:v>
      </x:c>
      <x:c r="F1154" s="11" t="n">
        <x:v>46079</x:v>
      </x:c>
      <x:c r="G1154" s="13" t="n">
        <x:v>1489.23</x:v>
      </x:c>
      <x:c r="H1154" s="9" t="n">
        <x:v>233</x:v>
      </x:c>
      <x:c r="I1154" s="9" t="n">
        <x:v>6</x:v>
      </x:c>
      <x:c r="J1154" s="9" t="n">
        <x:v>4</x:v>
      </x:c>
      <x:c r="K1154" s="9" t="n">
        <x:v>1</x:v>
      </x:c>
      <x:c r="L1154" s="13" t="n">
        <x:f>SUMIFS('Payments'!$D$5:$D$3014,'Payments'!$B$5:$B$3014,A1154)</x:f>
        <x:v>0</x:v>
      </x:c>
      <x:c r="M1154" s="13" t="n">
        <x:f>G1154-L1154</x:f>
        <x:v>1489.23</x:v>
      </x:c>
      <x:c r="N1154" s="9" t="str">
        <x:f>IF(H1154=0,"0 Current",IF(H1154&lt;=30,"1 1-30",IF(H1154&lt;=60,"2 31-60",IF(H1154&lt;=90,"3 61-90",IF(H1154&lt;=120,"4 91-120","5 121+")))))</x:f>
        <x:v>5 121+</x:v>
      </x:c>
      <x:c r="O1154" s="9" t="n">
        <x:f>IF(J1154&gt;0,1,0)</x:f>
        <x:v>1</x:v>
      </x:c>
    </x:row>
    <x:row r="1155">
      <x:c r="A1155" s="15" t="str">
        <x:v>1151</x:v>
      </x:c>
      <x:c r="B1155" s="9" t="str">
        <x:v>Morgan</x:v>
      </x:c>
      <x:c r="C1155" s="9" t="str">
        <x:v>Personal Loan</x:v>
      </x:c>
      <x:c r="D1155" s="9" t="str">
        <x:v>Midwest</x:v>
      </x:c>
      <x:c r="E1155" s="9" t="n">
        <x:v>718</x:v>
      </x:c>
      <x:c r="F1155" s="11" t="n">
        <x:v>46116</x:v>
      </x:c>
      <x:c r="G1155" s="13" t="n">
        <x:v>23570.74</x:v>
      </x:c>
      <x:c r="H1155" s="9" t="n">
        <x:v>103</x:v>
      </x:c>
      <x:c r="I1155" s="9" t="n">
        <x:v>5</x:v>
      </x:c>
      <x:c r="J1155" s="9" t="n">
        <x:v>2</x:v>
      </x:c>
      <x:c r="K1155" s="9" t="n">
        <x:v>1</x:v>
      </x:c>
      <x:c r="L1155" s="13" t="n">
        <x:f>SUMIFS('Payments'!$D$5:$D$3014,'Payments'!$B$5:$B$3014,A1155)</x:f>
        <x:v>1221.56</x:v>
      </x:c>
      <x:c r="M1155" s="13" t="n">
        <x:f>G1155-L1155</x:f>
        <x:v>22349.18</x:v>
      </x:c>
      <x:c r="N1155" s="9" t="str">
        <x:f>IF(H1155=0,"0 Current",IF(H1155&lt;=30,"1 1-30",IF(H1155&lt;=60,"2 31-60",IF(H1155&lt;=90,"3 61-90",IF(H1155&lt;=120,"4 91-120","5 121+")))))</x:f>
        <x:v>4 91-120</x:v>
      </x:c>
      <x:c r="O1155" s="9" t="n">
        <x:f>IF(J1155&gt;0,1,0)</x:f>
        <x:v>1</x:v>
      </x:c>
    </x:row>
    <x:row r="1156">
      <x:c r="A1156" s="15" t="str">
        <x:v>1152</x:v>
      </x:c>
      <x:c r="B1156" s="9" t="str">
        <x:v>Casey</x:v>
      </x:c>
      <x:c r="C1156" s="9" t="str">
        <x:v>Auto</x:v>
      </x:c>
      <x:c r="D1156" s="9" t="str">
        <x:v>Northeast</x:v>
      </x:c>
      <x:c r="E1156" s="9" t="n">
        <x:v>553</x:v>
      </x:c>
      <x:c r="F1156" s="11" t="n">
        <x:v>46130</x:v>
      </x:c>
      <x:c r="G1156" s="13" t="n">
        <x:v>11387.43</x:v>
      </x:c>
      <x:c r="H1156" s="9" t="n">
        <x:v>129</x:v>
      </x:c>
      <x:c r="I1156" s="9" t="n">
        <x:v>1</x:v>
      </x:c>
      <x:c r="J1156" s="9" t="n">
        <x:v>0</x:v>
      </x:c>
      <x:c r="K1156" s="9" t="n">
        <x:v>0</x:v>
      </x:c>
      <x:c r="L1156" s="13" t="n">
        <x:f>SUMIFS('Payments'!$D$5:$D$3014,'Payments'!$B$5:$B$3014,A1156)</x:f>
        <x:v>3522.01</x:v>
      </x:c>
      <x:c r="M1156" s="13" t="n">
        <x:f>G1156-L1156</x:f>
        <x:v>7865.42</x:v>
      </x:c>
      <x:c r="N1156" s="9" t="str">
        <x:f>IF(H1156=0,"0 Current",IF(H1156&lt;=30,"1 1-30",IF(H1156&lt;=60,"2 31-60",IF(H1156&lt;=90,"3 61-90",IF(H1156&lt;=120,"4 91-120","5 121+")))))</x:f>
        <x:v>5 121+</x:v>
      </x:c>
      <x:c r="O1156" s="9" t="n">
        <x:f>IF(J1156&gt;0,1,0)</x:f>
        <x:v>0</x:v>
      </x:c>
    </x:row>
    <x:row r="1157">
      <x:c r="A1157" s="15" t="str">
        <x:v>1153</x:v>
      </x:c>
      <x:c r="B1157" s="9" t="str">
        <x:v>Morgan</x:v>
      </x:c>
      <x:c r="C1157" s="9" t="str">
        <x:v>Personal Loan</x:v>
      </x:c>
      <x:c r="D1157" s="9" t="str">
        <x:v>Midwest</x:v>
      </x:c>
      <x:c r="E1157" s="9" t="n">
        <x:v>774</x:v>
      </x:c>
      <x:c r="F1157" s="11" t="n">
        <x:v>46042</x:v>
      </x:c>
      <x:c r="G1157" s="13" t="n">
        <x:v>19334.1</x:v>
      </x:c>
      <x:c r="H1157" s="9" t="n">
        <x:v>206</x:v>
      </x:c>
      <x:c r="I1157" s="9" t="n">
        <x:v>2</x:v>
      </x:c>
      <x:c r="J1157" s="9" t="n">
        <x:v>0</x:v>
      </x:c>
      <x:c r="K1157" s="9" t="n">
        <x:v>0</x:v>
      </x:c>
      <x:c r="L1157" s="13" t="n">
        <x:f>SUMIFS('Payments'!$D$5:$D$3014,'Payments'!$B$5:$B$3014,A1157)</x:f>
        <x:v>0</x:v>
      </x:c>
      <x:c r="M1157" s="13" t="n">
        <x:f>G1157-L1157</x:f>
        <x:v>19334.1</x:v>
      </x:c>
      <x:c r="N1157" s="9" t="str">
        <x:f>IF(H1157=0,"0 Current",IF(H1157&lt;=30,"1 1-30",IF(H1157&lt;=60,"2 31-60",IF(H1157&lt;=90,"3 61-90",IF(H1157&lt;=120,"4 91-120","5 121+")))))</x:f>
        <x:v>5 121+</x:v>
      </x:c>
      <x:c r="O1157" s="9" t="n">
        <x:f>IF(J1157&gt;0,1,0)</x:f>
        <x:v>0</x:v>
      </x:c>
    </x:row>
    <x:row r="1158">
      <x:c r="A1158" s="15" t="str">
        <x:v>1154</x:v>
      </x:c>
      <x:c r="B1158" s="9" t="str">
        <x:v>Jordan</x:v>
      </x:c>
      <x:c r="C1158" s="9" t="str">
        <x:v>Personal Loan</x:v>
      </x:c>
      <x:c r="D1158" s="9" t="str">
        <x:v>South</x:v>
      </x:c>
      <x:c r="E1158" s="9" t="n">
        <x:v>451</x:v>
      </x:c>
      <x:c r="F1158" s="11" t="n">
        <x:v>46048</x:v>
      </x:c>
      <x:c r="G1158" s="13" t="n">
        <x:v>14817.93</x:v>
      </x:c>
      <x:c r="H1158" s="9" t="n">
        <x:v>39</x:v>
      </x:c>
      <x:c r="I1158" s="9" t="n">
        <x:v>3</x:v>
      </x:c>
      <x:c r="J1158" s="9" t="n">
        <x:v>2</x:v>
      </x:c>
      <x:c r="K1158" s="9" t="n">
        <x:v>0</x:v>
      </x:c>
      <x:c r="L1158" s="13" t="n">
        <x:f>SUMIFS('Payments'!$D$5:$D$3014,'Payments'!$B$5:$B$3014,A1158)</x:f>
        <x:v>4677.26</x:v>
      </x:c>
      <x:c r="M1158" s="13" t="n">
        <x:f>G1158-L1158</x:f>
        <x:v>10140.67</x:v>
      </x:c>
      <x:c r="N1158" s="9" t="str">
        <x:f>IF(H1158=0,"0 Current",IF(H1158&lt;=30,"1 1-30",IF(H1158&lt;=60,"2 31-60",IF(H1158&lt;=90,"3 61-90",IF(H1158&lt;=120,"4 91-120","5 121+")))))</x:f>
        <x:v>2 31-60</x:v>
      </x:c>
      <x:c r="O1158" s="9" t="n">
        <x:f>IF(J1158&gt;0,1,0)</x:f>
        <x:v>1</x:v>
      </x:c>
    </x:row>
    <x:row r="1159">
      <x:c r="A1159" s="15" t="str">
        <x:v>1155</x:v>
      </x:c>
      <x:c r="B1159" s="9" t="str">
        <x:v>Morgan</x:v>
      </x:c>
      <x:c r="C1159" s="9" t="str">
        <x:v>Auto</x:v>
      </x:c>
      <x:c r="D1159" s="9" t="str">
        <x:v>Northeast</x:v>
      </x:c>
      <x:c r="E1159" s="9" t="n">
        <x:v>658</x:v>
      </x:c>
      <x:c r="F1159" s="11" t="n">
        <x:v>46117</x:v>
      </x:c>
      <x:c r="G1159" s="13" t="n">
        <x:v>12251.75</x:v>
      </x:c>
      <x:c r="H1159" s="9" t="n">
        <x:v>119</x:v>
      </x:c>
      <x:c r="I1159" s="9" t="n">
        <x:v>1</x:v>
      </x:c>
      <x:c r="J1159" s="9" t="n">
        <x:v>0</x:v>
      </x:c>
      <x:c r="K1159" s="9" t="n">
        <x:v>0</x:v>
      </x:c>
      <x:c r="L1159" s="13" t="n">
        <x:f>SUMIFS('Payments'!$D$5:$D$3014,'Payments'!$B$5:$B$3014,A1159)</x:f>
        <x:v>106.15</x:v>
      </x:c>
      <x:c r="M1159" s="13" t="n">
        <x:f>G1159-L1159</x:f>
        <x:v>12145.6</x:v>
      </x:c>
      <x:c r="N1159" s="9" t="str">
        <x:f>IF(H1159=0,"0 Current",IF(H1159&lt;=30,"1 1-30",IF(H1159&lt;=60,"2 31-60",IF(H1159&lt;=90,"3 61-90",IF(H1159&lt;=120,"4 91-120","5 121+")))))</x:f>
        <x:v>4 91-120</x:v>
      </x:c>
      <x:c r="O1159" s="9" t="n">
        <x:f>IF(J1159&gt;0,1,0)</x:f>
        <x:v>0</x:v>
      </x:c>
    </x:row>
    <x:row r="1160">
      <x:c r="A1160" s="15" t="str">
        <x:v>1156</x:v>
      </x:c>
      <x:c r="B1160" s="9" t="str">
        <x:v>Alex</x:v>
      </x:c>
      <x:c r="C1160" s="9" t="str">
        <x:v>Auto</x:v>
      </x:c>
      <x:c r="D1160" s="9" t="str">
        <x:v>Midwest</x:v>
      </x:c>
      <x:c r="E1160" s="9" t="n">
        <x:v>501</x:v>
      </x:c>
      <x:c r="F1160" s="11" t="n">
        <x:v>46140</x:v>
      </x:c>
      <x:c r="G1160" s="13" t="n">
        <x:v>9038.52</x:v>
      </x:c>
      <x:c r="H1160" s="9" t="n">
        <x:v>31</x:v>
      </x:c>
      <x:c r="I1160" s="9" t="n">
        <x:v>8</x:v>
      </x:c>
      <x:c r="J1160" s="9" t="n">
        <x:v>3</x:v>
      </x:c>
      <x:c r="K1160" s="9" t="n">
        <x:v>0</x:v>
      </x:c>
      <x:c r="L1160" s="13" t="n">
        <x:f>SUMIFS('Payments'!$D$5:$D$3014,'Payments'!$B$5:$B$3014,A1160)</x:f>
        <x:v>1512.8600000000001</x:v>
      </x:c>
      <x:c r="M1160" s="13" t="n">
        <x:f>G1160-L1160</x:f>
        <x:v>7525.66</x:v>
      </x:c>
      <x:c r="N1160" s="9" t="str">
        <x:f>IF(H1160=0,"0 Current",IF(H1160&lt;=30,"1 1-30",IF(H1160&lt;=60,"2 31-60",IF(H1160&lt;=90,"3 61-90",IF(H1160&lt;=120,"4 91-120","5 121+")))))</x:f>
        <x:v>2 31-60</x:v>
      </x:c>
      <x:c r="O1160" s="9" t="n">
        <x:f>IF(J1160&gt;0,1,0)</x:f>
        <x:v>1</x:v>
      </x:c>
    </x:row>
    <x:row r="1161">
      <x:c r="A1161" s="15" t="str">
        <x:v>1157</x:v>
      </x:c>
      <x:c r="B1161" s="9" t="str">
        <x:v>Alex</x:v>
      </x:c>
      <x:c r="C1161" s="9" t="str">
        <x:v>Medical</x:v>
      </x:c>
      <x:c r="D1161" s="9" t="str">
        <x:v>West</x:v>
      </x:c>
      <x:c r="E1161" s="9" t="n">
        <x:v>771</x:v>
      </x:c>
      <x:c r="F1161" s="11" t="n">
        <x:v>46069</x:v>
      </x:c>
      <x:c r="G1161" s="13" t="n">
        <x:v>16577.71</x:v>
      </x:c>
      <x:c r="H1161" s="9" t="n">
        <x:v>144</x:v>
      </x:c>
      <x:c r="I1161" s="9" t="n">
        <x:v>6</x:v>
      </x:c>
      <x:c r="J1161" s="9" t="n">
        <x:v>2</x:v>
      </x:c>
      <x:c r="K1161" s="9" t="n">
        <x:v>1</x:v>
      </x:c>
      <x:c r="L1161" s="13" t="n">
        <x:f>SUMIFS('Payments'!$D$5:$D$3014,'Payments'!$B$5:$B$3014,A1161)</x:f>
        <x:v>881.18</x:v>
      </x:c>
      <x:c r="M1161" s="13" t="n">
        <x:f>G1161-L1161</x:f>
        <x:v>15696.529999999999</x:v>
      </x:c>
      <x:c r="N1161" s="9" t="str">
        <x:f>IF(H1161=0,"0 Current",IF(H1161&lt;=30,"1 1-30",IF(H1161&lt;=60,"2 31-60",IF(H1161&lt;=90,"3 61-90",IF(H1161&lt;=120,"4 91-120","5 121+")))))</x:f>
        <x:v>5 121+</x:v>
      </x:c>
      <x:c r="O1161" s="9" t="n">
        <x:f>IF(J1161&gt;0,1,0)</x:f>
        <x:v>1</x:v>
      </x:c>
    </x:row>
    <x:row r="1162">
      <x:c r="A1162" s="15" t="str">
        <x:v>1158</x:v>
      </x:c>
      <x:c r="B1162" s="9" t="str">
        <x:v>Casey</x:v>
      </x:c>
      <x:c r="C1162" s="9" t="str">
        <x:v>Auto</x:v>
      </x:c>
      <x:c r="D1162" s="9" t="str">
        <x:v>Midwest</x:v>
      </x:c>
      <x:c r="E1162" s="9" t="n">
        <x:v>773</x:v>
      </x:c>
      <x:c r="F1162" s="11" t="n">
        <x:v>46119</x:v>
      </x:c>
      <x:c r="G1162" s="13" t="n">
        <x:v>9176.94</x:v>
      </x:c>
      <x:c r="H1162" s="9" t="n">
        <x:v>17</x:v>
      </x:c>
      <x:c r="I1162" s="9" t="n">
        <x:v>8</x:v>
      </x:c>
      <x:c r="J1162" s="9" t="n">
        <x:v>3</x:v>
      </x:c>
      <x:c r="K1162" s="9" t="n">
        <x:v>1</x:v>
      </x:c>
      <x:c r="L1162" s="13" t="n">
        <x:f>SUMIFS('Payments'!$D$5:$D$3014,'Payments'!$B$5:$B$3014,A1162)</x:f>
        <x:v>453.36</x:v>
      </x:c>
      <x:c r="M1162" s="13" t="n">
        <x:f>G1162-L1162</x:f>
        <x:v>8723.58</x:v>
      </x:c>
      <x:c r="N1162" s="9" t="str">
        <x:f>IF(H1162=0,"0 Current",IF(H1162&lt;=30,"1 1-30",IF(H1162&lt;=60,"2 31-60",IF(H1162&lt;=90,"3 61-90",IF(H1162&lt;=120,"4 91-120","5 121+")))))</x:f>
        <x:v>1 1-30</x:v>
      </x:c>
      <x:c r="O1162" s="9" t="n">
        <x:f>IF(J1162&gt;0,1,0)</x:f>
        <x:v>1</x:v>
      </x:c>
    </x:row>
    <x:row r="1163">
      <x:c r="A1163" s="15" t="str">
        <x:v>1159</x:v>
      </x:c>
      <x:c r="B1163" s="9" t="str">
        <x:v>Riley</x:v>
      </x:c>
      <x:c r="C1163" s="9" t="str">
        <x:v>Medical</x:v>
      </x:c>
      <x:c r="D1163" s="9" t="str">
        <x:v>Northeast</x:v>
      </x:c>
      <x:c r="E1163" s="9" t="n">
        <x:v>747</x:v>
      </x:c>
      <x:c r="F1163" s="11" t="n">
        <x:v>46156</x:v>
      </x:c>
      <x:c r="G1163" s="13" t="n">
        <x:v>16999.73</x:v>
      </x:c>
      <x:c r="H1163" s="9" t="n">
        <x:v>45</x:v>
      </x:c>
      <x:c r="I1163" s="9" t="n">
        <x:v>5</x:v>
      </x:c>
      <x:c r="J1163" s="9" t="n">
        <x:v>3</x:v>
      </x:c>
      <x:c r="K1163" s="9" t="n">
        <x:v>0</x:v>
      </x:c>
      <x:c r="L1163" s="13" t="n">
        <x:f>SUMIFS('Payments'!$D$5:$D$3014,'Payments'!$B$5:$B$3014,A1163)</x:f>
        <x:v>0</x:v>
      </x:c>
      <x:c r="M1163" s="13" t="n">
        <x:f>G1163-L1163</x:f>
        <x:v>16999.73</x:v>
      </x:c>
      <x:c r="N1163" s="9" t="str">
        <x:f>IF(H1163=0,"0 Current",IF(H1163&lt;=30,"1 1-30",IF(H1163&lt;=60,"2 31-60",IF(H1163&lt;=90,"3 61-90",IF(H1163&lt;=120,"4 91-120","5 121+")))))</x:f>
        <x:v>2 31-60</x:v>
      </x:c>
      <x:c r="O1163" s="9" t="n">
        <x:f>IF(J1163&gt;0,1,0)</x:f>
        <x:v>1</x:v>
      </x:c>
    </x:row>
    <x:row r="1164">
      <x:c r="A1164" s="15" t="str">
        <x:v>1160</x:v>
      </x:c>
      <x:c r="B1164" s="9" t="str">
        <x:v>Jordan</x:v>
      </x:c>
      <x:c r="C1164" s="9" t="str">
        <x:v>Auto</x:v>
      </x:c>
      <x:c r="D1164" s="9" t="str">
        <x:v>Midwest</x:v>
      </x:c>
      <x:c r="E1164" s="9" t="n">
        <x:v>608</x:v>
      </x:c>
      <x:c r="F1164" s="11" t="n">
        <x:v>46130</x:v>
      </x:c>
      <x:c r="G1164" s="13" t="n">
        <x:v>4015.16</x:v>
      </x:c>
      <x:c r="H1164" s="9" t="n">
        <x:v>109</x:v>
      </x:c>
      <x:c r="I1164" s="9" t="n">
        <x:v>6</x:v>
      </x:c>
      <x:c r="J1164" s="9" t="n">
        <x:v>0</x:v>
      </x:c>
      <x:c r="K1164" s="9" t="n">
        <x:v>0</x:v>
      </x:c>
      <x:c r="L1164" s="13" t="n">
        <x:f>SUMIFS('Payments'!$D$5:$D$3014,'Payments'!$B$5:$B$3014,A1164)</x:f>
        <x:v>151.51</x:v>
      </x:c>
      <x:c r="M1164" s="13" t="n">
        <x:f>G1164-L1164</x:f>
        <x:v>3863.6499999999996</x:v>
      </x:c>
      <x:c r="N1164" s="9" t="str">
        <x:f>IF(H1164=0,"0 Current",IF(H1164&lt;=30,"1 1-30",IF(H1164&lt;=60,"2 31-60",IF(H1164&lt;=90,"3 61-90",IF(H1164&lt;=120,"4 91-120","5 121+")))))</x:f>
        <x:v>4 91-120</x:v>
      </x:c>
      <x:c r="O1164" s="9" t="n">
        <x:f>IF(J1164&gt;0,1,0)</x:f>
        <x:v>0</x:v>
      </x:c>
    </x:row>
    <x:row r="1165">
      <x:c r="A1165" s="15" t="str">
        <x:v>1161</x:v>
      </x:c>
      <x:c r="B1165" s="9" t="str">
        <x:v>Riley</x:v>
      </x:c>
      <x:c r="C1165" s="9" t="str">
        <x:v>Personal Loan</x:v>
      </x:c>
      <x:c r="D1165" s="9" t="str">
        <x:v>South</x:v>
      </x:c>
      <x:c r="E1165" s="9" t="n">
        <x:v>532</x:v>
      </x:c>
      <x:c r="F1165" s="11" t="n">
        <x:v>46030</x:v>
      </x:c>
      <x:c r="G1165" s="13" t="n">
        <x:v>10618.34</x:v>
      </x:c>
      <x:c r="H1165" s="9" t="n">
        <x:v>37</x:v>
      </x:c>
      <x:c r="I1165" s="9" t="n">
        <x:v>6</x:v>
      </x:c>
      <x:c r="J1165" s="9" t="n">
        <x:v>1</x:v>
      </x:c>
      <x:c r="K1165" s="9" t="n">
        <x:v>0</x:v>
      </x:c>
      <x:c r="L1165" s="13" t="n">
        <x:f>SUMIFS('Payments'!$D$5:$D$3014,'Payments'!$B$5:$B$3014,A1165)</x:f>
        <x:v>1260.05</x:v>
      </x:c>
      <x:c r="M1165" s="13" t="n">
        <x:f>G1165-L1165</x:f>
        <x:v>9358.29</x:v>
      </x:c>
      <x:c r="N1165" s="9" t="str">
        <x:f>IF(H1165=0,"0 Current",IF(H1165&lt;=30,"1 1-30",IF(H1165&lt;=60,"2 31-60",IF(H1165&lt;=90,"3 61-90",IF(H1165&lt;=120,"4 91-120","5 121+")))))</x:f>
        <x:v>2 31-60</x:v>
      </x:c>
      <x:c r="O1165" s="9" t="n">
        <x:f>IF(J1165&gt;0,1,0)</x:f>
        <x:v>1</x:v>
      </x:c>
    </x:row>
    <x:row r="1166">
      <x:c r="A1166" s="15" t="str">
        <x:v>1162</x:v>
      </x:c>
      <x:c r="B1166" s="9" t="str">
        <x:v>Morgan</x:v>
      </x:c>
      <x:c r="C1166" s="9" t="str">
        <x:v>Credit Card</x:v>
      </x:c>
      <x:c r="D1166" s="9" t="str">
        <x:v>South</x:v>
      </x:c>
      <x:c r="E1166" s="9" t="n">
        <x:v>664</x:v>
      </x:c>
      <x:c r="F1166" s="11" t="n">
        <x:v>46117</x:v>
      </x:c>
      <x:c r="G1166" s="13" t="n">
        <x:v>21056.1</x:v>
      </x:c>
      <x:c r="H1166" s="9" t="n">
        <x:v>125</x:v>
      </x:c>
      <x:c r="I1166" s="9" t="n">
        <x:v>6</x:v>
      </x:c>
      <x:c r="J1166" s="9" t="n">
        <x:v>0</x:v>
      </x:c>
      <x:c r="K1166" s="9" t="n">
        <x:v>0</x:v>
      </x:c>
      <x:c r="L1166" s="13" t="n">
        <x:f>SUMIFS('Payments'!$D$5:$D$3014,'Payments'!$B$5:$B$3014,A1166)</x:f>
        <x:v>0</x:v>
      </x:c>
      <x:c r="M1166" s="13" t="n">
        <x:f>G1166-L1166</x:f>
        <x:v>21056.1</x:v>
      </x:c>
      <x:c r="N1166" s="9" t="str">
        <x:f>IF(H1166=0,"0 Current",IF(H1166&lt;=30,"1 1-30",IF(H1166&lt;=60,"2 31-60",IF(H1166&lt;=90,"3 61-90",IF(H1166&lt;=120,"4 91-120","5 121+")))))</x:f>
        <x:v>5 121+</x:v>
      </x:c>
      <x:c r="O1166" s="9" t="n">
        <x:f>IF(J1166&gt;0,1,0)</x:f>
        <x:v>0</x:v>
      </x:c>
    </x:row>
    <x:row r="1167">
      <x:c r="A1167" s="15" t="str">
        <x:v>1163</x:v>
      </x:c>
      <x:c r="B1167" s="9" t="str">
        <x:v>Alex</x:v>
      </x:c>
      <x:c r="C1167" s="9" t="str">
        <x:v>Auto</x:v>
      </x:c>
      <x:c r="D1167" s="9" t="str">
        <x:v>South</x:v>
      </x:c>
      <x:c r="E1167" s="9" t="n">
        <x:v>652</x:v>
      </x:c>
      <x:c r="F1167" s="11" t="n">
        <x:v>46118</x:v>
      </x:c>
      <x:c r="G1167" s="13" t="n">
        <x:v>7870.29</x:v>
      </x:c>
      <x:c r="H1167" s="9" t="n">
        <x:v>148</x:v>
      </x:c>
      <x:c r="I1167" s="9" t="n">
        <x:v>3</x:v>
      </x:c>
      <x:c r="J1167" s="9" t="n">
        <x:v>2</x:v>
      </x:c>
      <x:c r="K1167" s="9" t="n">
        <x:v>0</x:v>
      </x:c>
      <x:c r="L1167" s="13" t="n">
        <x:f>SUMIFS('Payments'!$D$5:$D$3014,'Payments'!$B$5:$B$3014,A1167)</x:f>
        <x:v>0</x:v>
      </x:c>
      <x:c r="M1167" s="13" t="n">
        <x:f>G1167-L1167</x:f>
        <x:v>7870.29</x:v>
      </x:c>
      <x:c r="N1167" s="9" t="str">
        <x:f>IF(H1167=0,"0 Current",IF(H1167&lt;=30,"1 1-30",IF(H1167&lt;=60,"2 31-60",IF(H1167&lt;=90,"3 61-90",IF(H1167&lt;=120,"4 91-120","5 121+")))))</x:f>
        <x:v>5 121+</x:v>
      </x:c>
      <x:c r="O1167" s="9" t="n">
        <x:f>IF(J1167&gt;0,1,0)</x:f>
        <x:v>1</x:v>
      </x:c>
    </x:row>
    <x:row r="1168">
      <x:c r="A1168" s="15" t="str">
        <x:v>1164</x:v>
      </x:c>
      <x:c r="B1168" s="9" t="str">
        <x:v>Alex</x:v>
      </x:c>
      <x:c r="C1168" s="9" t="str">
        <x:v>Credit Card</x:v>
      </x:c>
      <x:c r="D1168" s="9" t="str">
        <x:v>Midwest</x:v>
      </x:c>
      <x:c r="E1168" s="9" t="n">
        <x:v>632</x:v>
      </x:c>
      <x:c r="F1168" s="11" t="n">
        <x:v>46168</x:v>
      </x:c>
      <x:c r="G1168" s="13" t="n">
        <x:v>23551.6</x:v>
      </x:c>
      <x:c r="H1168" s="9" t="n">
        <x:v>227</x:v>
      </x:c>
      <x:c r="I1168" s="9" t="n">
        <x:v>1</x:v>
      </x:c>
      <x:c r="J1168" s="9" t="n">
        <x:v>0</x:v>
      </x:c>
      <x:c r="K1168" s="9" t="n">
        <x:v>0</x:v>
      </x:c>
      <x:c r="L1168" s="13" t="n">
        <x:f>SUMIFS('Payments'!$D$5:$D$3014,'Payments'!$B$5:$B$3014,A1168)</x:f>
        <x:v>2395.13</x:v>
      </x:c>
      <x:c r="M1168" s="13" t="n">
        <x:f>G1168-L1168</x:f>
        <x:v>21156.469999999998</x:v>
      </x:c>
      <x:c r="N1168" s="9" t="str">
        <x:f>IF(H1168=0,"0 Current",IF(H1168&lt;=30,"1 1-30",IF(H1168&lt;=60,"2 31-60",IF(H1168&lt;=90,"3 61-90",IF(H1168&lt;=120,"4 91-120","5 121+")))))</x:f>
        <x:v>5 121+</x:v>
      </x:c>
      <x:c r="O1168" s="9" t="n">
        <x:f>IF(J1168&gt;0,1,0)</x:f>
        <x:v>0</x:v>
      </x:c>
    </x:row>
    <x:row r="1169">
      <x:c r="A1169" s="15" t="str">
        <x:v>1165</x:v>
      </x:c>
      <x:c r="B1169" s="9" t="str">
        <x:v>Morgan</x:v>
      </x:c>
      <x:c r="C1169" s="9" t="str">
        <x:v>Auto</x:v>
      </x:c>
      <x:c r="D1169" s="9" t="str">
        <x:v>West</x:v>
      </x:c>
      <x:c r="E1169" s="9" t="n">
        <x:v>807</x:v>
      </x:c>
      <x:c r="F1169" s="11" t="n">
        <x:v>46029</x:v>
      </x:c>
      <x:c r="G1169" s="13" t="n">
        <x:v>3496.95</x:v>
      </x:c>
      <x:c r="H1169" s="9" t="n">
        <x:v>226</x:v>
      </x:c>
      <x:c r="I1169" s="9" t="n">
        <x:v>3</x:v>
      </x:c>
      <x:c r="J1169" s="9" t="n">
        <x:v>1</x:v>
      </x:c>
      <x:c r="K1169" s="9" t="n">
        <x:v>0</x:v>
      </x:c>
      <x:c r="L1169" s="13" t="n">
        <x:f>SUMIFS('Payments'!$D$5:$D$3014,'Payments'!$B$5:$B$3014,A1169)</x:f>
        <x:v>0</x:v>
      </x:c>
      <x:c r="M1169" s="13" t="n">
        <x:f>G1169-L1169</x:f>
        <x:v>3496.95</x:v>
      </x:c>
      <x:c r="N1169" s="9" t="str">
        <x:f>IF(H1169=0,"0 Current",IF(H1169&lt;=30,"1 1-30",IF(H1169&lt;=60,"2 31-60",IF(H1169&lt;=90,"3 61-90",IF(H1169&lt;=120,"4 91-120","5 121+")))))</x:f>
        <x:v>5 121+</x:v>
      </x:c>
      <x:c r="O1169" s="9" t="n">
        <x:f>IF(J1169&gt;0,1,0)</x:f>
        <x:v>1</x:v>
      </x:c>
    </x:row>
    <x:row r="1170">
      <x:c r="A1170" s="15" t="str">
        <x:v>1166</x:v>
      </x:c>
      <x:c r="B1170" s="9" t="str">
        <x:v>Jordan</x:v>
      </x:c>
      <x:c r="C1170" s="9" t="str">
        <x:v>Medical</x:v>
      </x:c>
      <x:c r="D1170" s="9" t="str">
        <x:v>South</x:v>
      </x:c>
      <x:c r="E1170" s="9" t="n">
        <x:v>810</x:v>
      </x:c>
      <x:c r="F1170" s="11" t="n">
        <x:v>46025</x:v>
      </x:c>
      <x:c r="G1170" s="13" t="n">
        <x:v>1879.84</x:v>
      </x:c>
      <x:c r="H1170" s="9" t="n">
        <x:v>53</x:v>
      </x:c>
      <x:c r="I1170" s="9" t="n">
        <x:v>2</x:v>
      </x:c>
      <x:c r="J1170" s="9" t="n">
        <x:v>1</x:v>
      </x:c>
      <x:c r="K1170" s="9" t="n">
        <x:v>1</x:v>
      </x:c>
      <x:c r="L1170" s="13" t="n">
        <x:f>SUMIFS('Payments'!$D$5:$D$3014,'Payments'!$B$5:$B$3014,A1170)</x:f>
        <x:v>145.41</x:v>
      </x:c>
      <x:c r="M1170" s="13" t="n">
        <x:f>G1170-L1170</x:f>
        <x:v>1734.4299999999998</x:v>
      </x:c>
      <x:c r="N1170" s="9" t="str">
        <x:f>IF(H1170=0,"0 Current",IF(H1170&lt;=30,"1 1-30",IF(H1170&lt;=60,"2 31-60",IF(H1170&lt;=90,"3 61-90",IF(H1170&lt;=120,"4 91-120","5 121+")))))</x:f>
        <x:v>2 31-60</x:v>
      </x:c>
      <x:c r="O1170" s="9" t="n">
        <x:f>IF(J1170&gt;0,1,0)</x:f>
        <x:v>1</x:v>
      </x:c>
    </x:row>
    <x:row r="1171">
      <x:c r="A1171" s="15" t="str">
        <x:v>1167</x:v>
      </x:c>
      <x:c r="B1171" s="9" t="str">
        <x:v>Casey</x:v>
      </x:c>
      <x:c r="C1171" s="9" t="str">
        <x:v>Personal Loan</x:v>
      </x:c>
      <x:c r="D1171" s="9" t="str">
        <x:v>South</x:v>
      </x:c>
      <x:c r="E1171" s="9" t="n">
        <x:v>768</x:v>
      </x:c>
      <x:c r="F1171" s="11" t="n">
        <x:v>46051</x:v>
      </x:c>
      <x:c r="G1171" s="13" t="n">
        <x:v>18978.82</x:v>
      </x:c>
      <x:c r="H1171" s="9" t="n">
        <x:v>200</x:v>
      </x:c>
      <x:c r="I1171" s="9" t="n">
        <x:v>0</x:v>
      </x:c>
      <x:c r="J1171" s="9" t="n">
        <x:v>0</x:v>
      </x:c>
      <x:c r="K1171" s="9" t="n">
        <x:v>0</x:v>
      </x:c>
      <x:c r="L1171" s="13" t="n">
        <x:f>SUMIFS('Payments'!$D$5:$D$3014,'Payments'!$B$5:$B$3014,A1171)</x:f>
        <x:v>4036.51</x:v>
      </x:c>
      <x:c r="M1171" s="13" t="n">
        <x:f>G1171-L1171</x:f>
        <x:v>14942.31</x:v>
      </x:c>
      <x:c r="N1171" s="9" t="str">
        <x:f>IF(H1171=0,"0 Current",IF(H1171&lt;=30,"1 1-30",IF(H1171&lt;=60,"2 31-60",IF(H1171&lt;=90,"3 61-90",IF(H1171&lt;=120,"4 91-120","5 121+")))))</x:f>
        <x:v>5 121+</x:v>
      </x:c>
      <x:c r="O1171" s="9" t="n">
        <x:f>IF(J1171&gt;0,1,0)</x:f>
        <x:v>0</x:v>
      </x:c>
    </x:row>
    <x:row r="1172">
      <x:c r="A1172" s="15" t="str">
        <x:v>1168</x:v>
      </x:c>
      <x:c r="B1172" s="9" t="str">
        <x:v>Jordan</x:v>
      </x:c>
      <x:c r="C1172" s="9" t="str">
        <x:v>Credit Card</x:v>
      </x:c>
      <x:c r="D1172" s="9" t="str">
        <x:v>Northeast</x:v>
      </x:c>
      <x:c r="E1172" s="9" t="n">
        <x:v>689</x:v>
      </x:c>
      <x:c r="F1172" s="11" t="n">
        <x:v>46124</x:v>
      </x:c>
      <x:c r="G1172" s="13" t="n">
        <x:v>14135.53</x:v>
      </x:c>
      <x:c r="H1172" s="9" t="n">
        <x:v>40</x:v>
      </x:c>
      <x:c r="I1172" s="9" t="n">
        <x:v>1</x:v>
      </x:c>
      <x:c r="J1172" s="9" t="n">
        <x:v>0</x:v>
      </x:c>
      <x:c r="K1172" s="9" t="n">
        <x:v>0</x:v>
      </x:c>
      <x:c r="L1172" s="13" t="n">
        <x:f>SUMIFS('Payments'!$D$5:$D$3014,'Payments'!$B$5:$B$3014,A1172)</x:f>
        <x:v>3076.13</x:v>
      </x:c>
      <x:c r="M1172" s="13" t="n">
        <x:f>G1172-L1172</x:f>
        <x:v>11059.400000000001</x:v>
      </x:c>
      <x:c r="N1172" s="9" t="str">
        <x:f>IF(H1172=0,"0 Current",IF(H1172&lt;=30,"1 1-30",IF(H1172&lt;=60,"2 31-60",IF(H1172&lt;=90,"3 61-90",IF(H1172&lt;=120,"4 91-120","5 121+")))))</x:f>
        <x:v>2 31-60</x:v>
      </x:c>
      <x:c r="O1172" s="9" t="n">
        <x:f>IF(J1172&gt;0,1,0)</x:f>
        <x:v>0</x:v>
      </x:c>
    </x:row>
    <x:row r="1173">
      <x:c r="A1173" s="15" t="str">
        <x:v>1169</x:v>
      </x:c>
      <x:c r="B1173" s="9" t="str">
        <x:v>Morgan</x:v>
      </x:c>
      <x:c r="C1173" s="9" t="str">
        <x:v>Medical</x:v>
      </x:c>
      <x:c r="D1173" s="9" t="str">
        <x:v>West</x:v>
      </x:c>
      <x:c r="E1173" s="9" t="n">
        <x:v>690</x:v>
      </x:c>
      <x:c r="F1173" s="11" t="n">
        <x:v>46080</x:v>
      </x:c>
      <x:c r="G1173" s="13" t="n">
        <x:v>5836.01</x:v>
      </x:c>
      <x:c r="H1173" s="9" t="n">
        <x:v>194</x:v>
      </x:c>
      <x:c r="I1173" s="9" t="n">
        <x:v>6</x:v>
      </x:c>
      <x:c r="J1173" s="9" t="n">
        <x:v>0</x:v>
      </x:c>
      <x:c r="K1173" s="9" t="n">
        <x:v>0</x:v>
      </x:c>
      <x:c r="L1173" s="13" t="n">
        <x:f>SUMIFS('Payments'!$D$5:$D$3014,'Payments'!$B$5:$B$3014,A1173)</x:f>
        <x:v>534.69</x:v>
      </x:c>
      <x:c r="M1173" s="13" t="n">
        <x:f>G1173-L1173</x:f>
        <x:v>5301.32</x:v>
      </x:c>
      <x:c r="N1173" s="9" t="str">
        <x:f>IF(H1173=0,"0 Current",IF(H1173&lt;=30,"1 1-30",IF(H1173&lt;=60,"2 31-60",IF(H1173&lt;=90,"3 61-90",IF(H1173&lt;=120,"4 91-120","5 121+")))))</x:f>
        <x:v>5 121+</x:v>
      </x:c>
      <x:c r="O1173" s="9" t="n">
        <x:f>IF(J1173&gt;0,1,0)</x:f>
        <x:v>0</x:v>
      </x:c>
    </x:row>
    <x:row r="1174">
      <x:c r="A1174" s="15" t="str">
        <x:v>1170</x:v>
      </x:c>
      <x:c r="B1174" s="9" t="str">
        <x:v>Morgan</x:v>
      </x:c>
      <x:c r="C1174" s="9" t="str">
        <x:v>Medical</x:v>
      </x:c>
      <x:c r="D1174" s="9" t="str">
        <x:v>Midwest</x:v>
      </x:c>
      <x:c r="E1174" s="9" t="n">
        <x:v>459</x:v>
      </x:c>
      <x:c r="F1174" s="11" t="n">
        <x:v>46107</x:v>
      </x:c>
      <x:c r="G1174" s="13" t="n">
        <x:v>7699.33</x:v>
      </x:c>
      <x:c r="H1174" s="9" t="n">
        <x:v>141</x:v>
      </x:c>
      <x:c r="I1174" s="9" t="n">
        <x:v>4</x:v>
      </x:c>
      <x:c r="J1174" s="9" t="n">
        <x:v>3</x:v>
      </x:c>
      <x:c r="K1174" s="9" t="n">
        <x:v>0</x:v>
      </x:c>
      <x:c r="L1174" s="13" t="n">
        <x:f>SUMIFS('Payments'!$D$5:$D$3014,'Payments'!$B$5:$B$3014,A1174)</x:f>
        <x:v>1257.33</x:v>
      </x:c>
      <x:c r="M1174" s="13" t="n">
        <x:f>G1174-L1174</x:f>
        <x:v>6442</x:v>
      </x:c>
      <x:c r="N1174" s="9" t="str">
        <x:f>IF(H1174=0,"0 Current",IF(H1174&lt;=30,"1 1-30",IF(H1174&lt;=60,"2 31-60",IF(H1174&lt;=90,"3 61-90",IF(H1174&lt;=120,"4 91-120","5 121+")))))</x:f>
        <x:v>5 121+</x:v>
      </x:c>
      <x:c r="O1174" s="9" t="n">
        <x:f>IF(J1174&gt;0,1,0)</x:f>
        <x:v>1</x:v>
      </x:c>
    </x:row>
    <x:row r="1175">
      <x:c r="A1175" s="15" t="str">
        <x:v>1171</x:v>
      </x:c>
      <x:c r="B1175" s="9" t="str">
        <x:v>Alex</x:v>
      </x:c>
      <x:c r="C1175" s="9" t="str">
        <x:v>Auto</x:v>
      </x:c>
      <x:c r="D1175" s="9" t="str">
        <x:v>Northeast</x:v>
      </x:c>
      <x:c r="E1175" s="9" t="n">
        <x:v>451</x:v>
      </x:c>
      <x:c r="F1175" s="11" t="n">
        <x:v>46134</x:v>
      </x:c>
      <x:c r="G1175" s="13" t="n">
        <x:v>13139.64</x:v>
      </x:c>
      <x:c r="H1175" s="9" t="n">
        <x:v>191</x:v>
      </x:c>
      <x:c r="I1175" s="9" t="n">
        <x:v>0</x:v>
      </x:c>
      <x:c r="J1175" s="9" t="n">
        <x:v>0</x:v>
      </x:c>
      <x:c r="K1175" s="9" t="n">
        <x:v>0</x:v>
      </x:c>
      <x:c r="L1175" s="13" t="n">
        <x:f>SUMIFS('Payments'!$D$5:$D$3014,'Payments'!$B$5:$B$3014,A1175)</x:f>
        <x:v>1156.3700000000001</x:v>
      </x:c>
      <x:c r="M1175" s="13" t="n">
        <x:f>G1175-L1175</x:f>
        <x:v>11983.269999999999</x:v>
      </x:c>
      <x:c r="N1175" s="9" t="str">
        <x:f>IF(H1175=0,"0 Current",IF(H1175&lt;=30,"1 1-30",IF(H1175&lt;=60,"2 31-60",IF(H1175&lt;=90,"3 61-90",IF(H1175&lt;=120,"4 91-120","5 121+")))))</x:f>
        <x:v>5 121+</x:v>
      </x:c>
      <x:c r="O1175" s="9" t="n">
        <x:f>IF(J1175&gt;0,1,0)</x:f>
        <x:v>0</x:v>
      </x:c>
    </x:row>
    <x:row r="1176">
      <x:c r="A1176" s="15" t="str">
        <x:v>1172</x:v>
      </x:c>
      <x:c r="B1176" s="9" t="str">
        <x:v>Casey</x:v>
      </x:c>
      <x:c r="C1176" s="9" t="str">
        <x:v>Credit Card</x:v>
      </x:c>
      <x:c r="D1176" s="9" t="str">
        <x:v>South</x:v>
      </x:c>
      <x:c r="E1176" s="9" t="n">
        <x:v>713</x:v>
      </x:c>
      <x:c r="F1176" s="11" t="n">
        <x:v>46049</x:v>
      </x:c>
      <x:c r="G1176" s="13" t="n">
        <x:v>24199.69</x:v>
      </x:c>
      <x:c r="H1176" s="9" t="n">
        <x:v>42</x:v>
      </x:c>
      <x:c r="I1176" s="9" t="n">
        <x:v>4</x:v>
      </x:c>
      <x:c r="J1176" s="9" t="n">
        <x:v>2</x:v>
      </x:c>
      <x:c r="K1176" s="9" t="n">
        <x:v>1</x:v>
      </x:c>
      <x:c r="L1176" s="13" t="n">
        <x:f>SUMIFS('Payments'!$D$5:$D$3014,'Payments'!$B$5:$B$3014,A1176)</x:f>
        <x:v>417.65</x:v>
      </x:c>
      <x:c r="M1176" s="13" t="n">
        <x:f>G1176-L1176</x:f>
        <x:v>23782.039999999997</x:v>
      </x:c>
      <x:c r="N1176" s="9" t="str">
        <x:f>IF(H1176=0,"0 Current",IF(H1176&lt;=30,"1 1-30",IF(H1176&lt;=60,"2 31-60",IF(H1176&lt;=90,"3 61-90",IF(H1176&lt;=120,"4 91-120","5 121+")))))</x:f>
        <x:v>2 31-60</x:v>
      </x:c>
      <x:c r="O1176" s="9" t="n">
        <x:f>IF(J1176&gt;0,1,0)</x:f>
        <x:v>1</x:v>
      </x:c>
    </x:row>
    <x:row r="1177">
      <x:c r="A1177" s="15" t="str">
        <x:v>1173</x:v>
      </x:c>
      <x:c r="B1177" s="9" t="str">
        <x:v>Casey</x:v>
      </x:c>
      <x:c r="C1177" s="9" t="str">
        <x:v>Medical</x:v>
      </x:c>
      <x:c r="D1177" s="9" t="str">
        <x:v>South</x:v>
      </x:c>
      <x:c r="E1177" s="9" t="n">
        <x:v>504</x:v>
      </x:c>
      <x:c r="F1177" s="11" t="n">
        <x:v>46063</x:v>
      </x:c>
      <x:c r="G1177" s="13" t="n">
        <x:v>15116.97</x:v>
      </x:c>
      <x:c r="H1177" s="9" t="n">
        <x:v>52</x:v>
      </x:c>
      <x:c r="I1177" s="9" t="n">
        <x:v>3</x:v>
      </x:c>
      <x:c r="J1177" s="9" t="n">
        <x:v>1</x:v>
      </x:c>
      <x:c r="K1177" s="9" t="n">
        <x:v>0</x:v>
      </x:c>
      <x:c r="L1177" s="13" t="n">
        <x:f>SUMIFS('Payments'!$D$5:$D$3014,'Payments'!$B$5:$B$3014,A1177)</x:f>
        <x:v>27.19</x:v>
      </x:c>
      <x:c r="M1177" s="13" t="n">
        <x:f>G1177-L1177</x:f>
        <x:v>15089.779999999999</x:v>
      </x:c>
      <x:c r="N1177" s="9" t="str">
        <x:f>IF(H1177=0,"0 Current",IF(H1177&lt;=30,"1 1-30",IF(H1177&lt;=60,"2 31-60",IF(H1177&lt;=90,"3 61-90",IF(H1177&lt;=120,"4 91-120","5 121+")))))</x:f>
        <x:v>2 31-60</x:v>
      </x:c>
      <x:c r="O1177" s="9" t="n">
        <x:f>IF(J1177&gt;0,1,0)</x:f>
        <x:v>1</x:v>
      </x:c>
    </x:row>
    <x:row r="1178">
      <x:c r="A1178" s="15" t="str">
        <x:v>1174</x:v>
      </x:c>
      <x:c r="B1178" s="9" t="str">
        <x:v>Riley</x:v>
      </x:c>
      <x:c r="C1178" s="9" t="str">
        <x:v>Medical</x:v>
      </x:c>
      <x:c r="D1178" s="9" t="str">
        <x:v>Midwest</x:v>
      </x:c>
      <x:c r="E1178" s="9" t="n">
        <x:v>686</x:v>
      </x:c>
      <x:c r="F1178" s="11" t="n">
        <x:v>46038</x:v>
      </x:c>
      <x:c r="G1178" s="13" t="n">
        <x:v>5261.46</x:v>
      </x:c>
      <x:c r="H1178" s="9" t="n">
        <x:v>86</x:v>
      </x:c>
      <x:c r="I1178" s="9" t="n">
        <x:v>8</x:v>
      </x:c>
      <x:c r="J1178" s="9" t="n">
        <x:v>3</x:v>
      </x:c>
      <x:c r="K1178" s="9" t="n">
        <x:v>0</x:v>
      </x:c>
      <x:c r="L1178" s="13" t="n">
        <x:f>SUMIFS('Payments'!$D$5:$D$3014,'Payments'!$B$5:$B$3014,A1178)</x:f>
        <x:v>383.45</x:v>
      </x:c>
      <x:c r="M1178" s="13" t="n">
        <x:f>G1178-L1178</x:f>
        <x:v>4878.01</x:v>
      </x:c>
      <x:c r="N1178" s="9" t="str">
        <x:f>IF(H1178=0,"0 Current",IF(H1178&lt;=30,"1 1-30",IF(H1178&lt;=60,"2 31-60",IF(H1178&lt;=90,"3 61-90",IF(H1178&lt;=120,"4 91-120","5 121+")))))</x:f>
        <x:v>3 61-90</x:v>
      </x:c>
      <x:c r="O1178" s="9" t="n">
        <x:f>IF(J1178&gt;0,1,0)</x:f>
        <x:v>1</x:v>
      </x:c>
    </x:row>
    <x:row r="1179">
      <x:c r="A1179" s="15" t="str">
        <x:v>1175</x:v>
      </x:c>
      <x:c r="B1179" s="9" t="str">
        <x:v>Jordan</x:v>
      </x:c>
      <x:c r="C1179" s="9" t="str">
        <x:v>Medical</x:v>
      </x:c>
      <x:c r="D1179" s="9" t="str">
        <x:v>West</x:v>
      </x:c>
      <x:c r="E1179" s="9" t="n">
        <x:v>479</x:v>
      </x:c>
      <x:c r="F1179" s="11" t="n">
        <x:v>46160</x:v>
      </x:c>
      <x:c r="G1179" s="13" t="n">
        <x:v>1617.87</x:v>
      </x:c>
      <x:c r="H1179" s="9" t="n">
        <x:v>31</x:v>
      </x:c>
      <x:c r="I1179" s="9" t="n">
        <x:v>1</x:v>
      </x:c>
      <x:c r="J1179" s="9" t="n">
        <x:v>1</x:v>
      </x:c>
      <x:c r="K1179" s="9" t="n">
        <x:v>0</x:v>
      </x:c>
      <x:c r="L1179" s="13" t="n">
        <x:f>SUMIFS('Payments'!$D$5:$D$3014,'Payments'!$B$5:$B$3014,A1179)</x:f>
        <x:v>98.29</x:v>
      </x:c>
      <x:c r="M1179" s="13" t="n">
        <x:f>G1179-L1179</x:f>
        <x:v>1519.58</x:v>
      </x:c>
      <x:c r="N1179" s="9" t="str">
        <x:f>IF(H1179=0,"0 Current",IF(H1179&lt;=30,"1 1-30",IF(H1179&lt;=60,"2 31-60",IF(H1179&lt;=90,"3 61-90",IF(H1179&lt;=120,"4 91-120","5 121+")))))</x:f>
        <x:v>2 31-60</x:v>
      </x:c>
      <x:c r="O1179" s="9" t="n">
        <x:f>IF(J1179&gt;0,1,0)</x:f>
        <x:v>1</x:v>
      </x:c>
    </x:row>
    <x:row r="1180">
      <x:c r="A1180" s="15" t="str">
        <x:v>1176</x:v>
      </x:c>
      <x:c r="B1180" s="9" t="str">
        <x:v>Jordan</x:v>
      </x:c>
      <x:c r="C1180" s="9" t="str">
        <x:v>Auto</x:v>
      </x:c>
      <x:c r="D1180" s="9" t="str">
        <x:v>South</x:v>
      </x:c>
      <x:c r="E1180" s="9" t="n">
        <x:v>787</x:v>
      </x:c>
      <x:c r="F1180" s="11" t="n">
        <x:v>46037</x:v>
      </x:c>
      <x:c r="G1180" s="13" t="n">
        <x:v>19136.59</x:v>
      </x:c>
      <x:c r="H1180" s="9" t="n">
        <x:v>80</x:v>
      </x:c>
      <x:c r="I1180" s="9" t="n">
        <x:v>6</x:v>
      </x:c>
      <x:c r="J1180" s="9" t="n">
        <x:v>2</x:v>
      </x:c>
      <x:c r="K1180" s="9" t="n">
        <x:v>1</x:v>
      </x:c>
      <x:c r="L1180" s="13" t="n">
        <x:f>SUMIFS('Payments'!$D$5:$D$3014,'Payments'!$B$5:$B$3014,A1180)</x:f>
        <x:v>2912.22</x:v>
      </x:c>
      <x:c r="M1180" s="13" t="n">
        <x:f>G1180-L1180</x:f>
        <x:v>16224.37</x:v>
      </x:c>
      <x:c r="N1180" s="9" t="str">
        <x:f>IF(H1180=0,"0 Current",IF(H1180&lt;=30,"1 1-30",IF(H1180&lt;=60,"2 31-60",IF(H1180&lt;=90,"3 61-90",IF(H1180&lt;=120,"4 91-120","5 121+")))))</x:f>
        <x:v>3 61-90</x:v>
      </x:c>
      <x:c r="O1180" s="9" t="n">
        <x:f>IF(J1180&gt;0,1,0)</x:f>
        <x:v>1</x:v>
      </x:c>
    </x:row>
    <x:row r="1181">
      <x:c r="A1181" s="15" t="str">
        <x:v>1177</x:v>
      </x:c>
      <x:c r="B1181" s="9" t="str">
        <x:v>Morgan</x:v>
      </x:c>
      <x:c r="C1181" s="9" t="str">
        <x:v>Personal Loan</x:v>
      </x:c>
      <x:c r="D1181" s="9" t="str">
        <x:v>West</x:v>
      </x:c>
      <x:c r="E1181" s="9" t="n">
        <x:v>466</x:v>
      </x:c>
      <x:c r="F1181" s="11" t="n">
        <x:v>46167</x:v>
      </x:c>
      <x:c r="G1181" s="13" t="n">
        <x:v>9020.7</x:v>
      </x:c>
      <x:c r="H1181" s="9" t="n">
        <x:v>159</x:v>
      </x:c>
      <x:c r="I1181" s="9" t="n">
        <x:v>2</x:v>
      </x:c>
      <x:c r="J1181" s="9" t="n">
        <x:v>1</x:v>
      </x:c>
      <x:c r="K1181" s="9" t="n">
        <x:v>0</x:v>
      </x:c>
      <x:c r="L1181" s="13" t="n">
        <x:f>SUMIFS('Payments'!$D$5:$D$3014,'Payments'!$B$5:$B$3014,A1181)</x:f>
        <x:v>0</x:v>
      </x:c>
      <x:c r="M1181" s="13" t="n">
        <x:f>G1181-L1181</x:f>
        <x:v>9020.7</x:v>
      </x:c>
      <x:c r="N1181" s="9" t="str">
        <x:f>IF(H1181=0,"0 Current",IF(H1181&lt;=30,"1 1-30",IF(H1181&lt;=60,"2 31-60",IF(H1181&lt;=90,"3 61-90",IF(H1181&lt;=120,"4 91-120","5 121+")))))</x:f>
        <x:v>5 121+</x:v>
      </x:c>
      <x:c r="O1181" s="9" t="n">
        <x:f>IF(J1181&gt;0,1,0)</x:f>
        <x:v>1</x:v>
      </x:c>
    </x:row>
    <x:row r="1182">
      <x:c r="A1182" s="15" t="str">
        <x:v>1178</x:v>
      </x:c>
      <x:c r="B1182" s="9" t="str">
        <x:v>Jordan</x:v>
      </x:c>
      <x:c r="C1182" s="9" t="str">
        <x:v>Medical</x:v>
      </x:c>
      <x:c r="D1182" s="9" t="str">
        <x:v>West</x:v>
      </x:c>
      <x:c r="E1182" s="9" t="n">
        <x:v>448</x:v>
      </x:c>
      <x:c r="F1182" s="11" t="n">
        <x:v>46048</x:v>
      </x:c>
      <x:c r="G1182" s="13" t="n">
        <x:v>20700.5</x:v>
      </x:c>
      <x:c r="H1182" s="9" t="n">
        <x:v>184</x:v>
      </x:c>
      <x:c r="I1182" s="9" t="n">
        <x:v>2</x:v>
      </x:c>
      <x:c r="J1182" s="9" t="n">
        <x:v>1</x:v>
      </x:c>
      <x:c r="K1182" s="9" t="n">
        <x:v>0</x:v>
      </x:c>
      <x:c r="L1182" s="13" t="n">
        <x:f>SUMIFS('Payments'!$D$5:$D$3014,'Payments'!$B$5:$B$3014,A1182)</x:f>
        <x:v>3848.19</x:v>
      </x:c>
      <x:c r="M1182" s="13" t="n">
        <x:f>G1182-L1182</x:f>
        <x:v>16852.31</x:v>
      </x:c>
      <x:c r="N1182" s="9" t="str">
        <x:f>IF(H1182=0,"0 Current",IF(H1182&lt;=30,"1 1-30",IF(H1182&lt;=60,"2 31-60",IF(H1182&lt;=90,"3 61-90",IF(H1182&lt;=120,"4 91-120","5 121+")))))</x:f>
        <x:v>5 121+</x:v>
      </x:c>
      <x:c r="O1182" s="9" t="n">
        <x:f>IF(J1182&gt;0,1,0)</x:f>
        <x:v>1</x:v>
      </x:c>
    </x:row>
    <x:row r="1183">
      <x:c r="A1183" s="15" t="str">
        <x:v>1179</x:v>
      </x:c>
      <x:c r="B1183" s="9" t="str">
        <x:v>Taylor</x:v>
      </x:c>
      <x:c r="C1183" s="9" t="str">
        <x:v>Credit Card</x:v>
      </x:c>
      <x:c r="D1183" s="9" t="str">
        <x:v>West</x:v>
      </x:c>
      <x:c r="E1183" s="9" t="n">
        <x:v>487</x:v>
      </x:c>
      <x:c r="F1183" s="11" t="n">
        <x:v>46049</x:v>
      </x:c>
      <x:c r="G1183" s="13" t="n">
        <x:v>6450.33</x:v>
      </x:c>
      <x:c r="H1183" s="9" t="n">
        <x:v>227</x:v>
      </x:c>
      <x:c r="I1183" s="9" t="n">
        <x:v>2</x:v>
      </x:c>
      <x:c r="J1183" s="9" t="n">
        <x:v>2</x:v>
      </x:c>
      <x:c r="K1183" s="9" t="n">
        <x:v>1</x:v>
      </x:c>
      <x:c r="L1183" s="13" t="n">
        <x:f>SUMIFS('Payments'!$D$5:$D$3014,'Payments'!$B$5:$B$3014,A1183)</x:f>
        <x:v>1969.1200000000001</x:v>
      </x:c>
      <x:c r="M1183" s="13" t="n">
        <x:f>G1183-L1183</x:f>
        <x:v>4481.21</x:v>
      </x:c>
      <x:c r="N1183" s="9" t="str">
        <x:f>IF(H1183=0,"0 Current",IF(H1183&lt;=30,"1 1-30",IF(H1183&lt;=60,"2 31-60",IF(H1183&lt;=90,"3 61-90",IF(H1183&lt;=120,"4 91-120","5 121+")))))</x:f>
        <x:v>5 121+</x:v>
      </x:c>
      <x:c r="O1183" s="9" t="n">
        <x:f>IF(J1183&gt;0,1,0)</x:f>
        <x:v>1</x:v>
      </x:c>
    </x:row>
    <x:row r="1184">
      <x:c r="A1184" s="15" t="str">
        <x:v>1180</x:v>
      </x:c>
      <x:c r="B1184" s="9" t="str">
        <x:v>Casey</x:v>
      </x:c>
      <x:c r="C1184" s="9" t="str">
        <x:v>Medical</x:v>
      </x:c>
      <x:c r="D1184" s="9" t="str">
        <x:v>West</x:v>
      </x:c>
      <x:c r="E1184" s="9" t="n">
        <x:v>653</x:v>
      </x:c>
      <x:c r="F1184" s="11" t="n">
        <x:v>46092</x:v>
      </x:c>
      <x:c r="G1184" s="13" t="n">
        <x:v>3062.06</x:v>
      </x:c>
      <x:c r="H1184" s="9" t="n">
        <x:v>180</x:v>
      </x:c>
      <x:c r="I1184" s="9" t="n">
        <x:v>1</x:v>
      </x:c>
      <x:c r="J1184" s="9" t="n">
        <x:v>1</x:v>
      </x:c>
      <x:c r="K1184" s="9" t="n">
        <x:v>0</x:v>
      </x:c>
      <x:c r="L1184" s="13" t="n">
        <x:f>SUMIFS('Payments'!$D$5:$D$3014,'Payments'!$B$5:$B$3014,A1184)</x:f>
        <x:v>0</x:v>
      </x:c>
      <x:c r="M1184" s="13" t="n">
        <x:f>G1184-L1184</x:f>
        <x:v>3062.06</x:v>
      </x:c>
      <x:c r="N1184" s="9" t="str">
        <x:f>IF(H1184=0,"0 Current",IF(H1184&lt;=30,"1 1-30",IF(H1184&lt;=60,"2 31-60",IF(H1184&lt;=90,"3 61-90",IF(H1184&lt;=120,"4 91-120","5 121+")))))</x:f>
        <x:v>5 121+</x:v>
      </x:c>
      <x:c r="O1184" s="9" t="n">
        <x:f>IF(J1184&gt;0,1,0)</x:f>
        <x:v>1</x:v>
      </x:c>
    </x:row>
    <x:row r="1185">
      <x:c r="A1185" s="15" t="str">
        <x:v>1181</x:v>
      </x:c>
      <x:c r="B1185" s="9" t="str">
        <x:v>Alex</x:v>
      </x:c>
      <x:c r="C1185" s="9" t="str">
        <x:v>Personal Loan</x:v>
      </x:c>
      <x:c r="D1185" s="9" t="str">
        <x:v>Northeast</x:v>
      </x:c>
      <x:c r="E1185" s="9" t="n">
        <x:v>706</x:v>
      </x:c>
      <x:c r="F1185" s="11" t="n">
        <x:v>46107</x:v>
      </x:c>
      <x:c r="G1185" s="13" t="n">
        <x:v>15374.08</x:v>
      </x:c>
      <x:c r="H1185" s="9" t="n">
        <x:v>24</x:v>
      </x:c>
      <x:c r="I1185" s="9" t="n">
        <x:v>1</x:v>
      </x:c>
      <x:c r="J1185" s="9" t="n">
        <x:v>0</x:v>
      </x:c>
      <x:c r="K1185" s="9" t="n">
        <x:v>0</x:v>
      </x:c>
      <x:c r="L1185" s="13" t="n">
        <x:f>SUMIFS('Payments'!$D$5:$D$3014,'Payments'!$B$5:$B$3014,A1185)</x:f>
        <x:v>936.07</x:v>
      </x:c>
      <x:c r="M1185" s="13" t="n">
        <x:f>G1185-L1185</x:f>
        <x:v>14438.01</x:v>
      </x:c>
      <x:c r="N1185" s="9" t="str">
        <x:f>IF(H1185=0,"0 Current",IF(H1185&lt;=30,"1 1-30",IF(H1185&lt;=60,"2 31-60",IF(H1185&lt;=90,"3 61-90",IF(H1185&lt;=120,"4 91-120","5 121+")))))</x:f>
        <x:v>1 1-30</x:v>
      </x:c>
      <x:c r="O1185" s="9" t="n">
        <x:f>IF(J1185&gt;0,1,0)</x:f>
        <x:v>0</x:v>
      </x:c>
    </x:row>
    <x:row r="1186">
      <x:c r="A1186" s="15" t="str">
        <x:v>1182</x:v>
      </x:c>
      <x:c r="B1186" s="9" t="str">
        <x:v>Morgan</x:v>
      </x:c>
      <x:c r="C1186" s="9" t="str">
        <x:v>Auto</x:v>
      </x:c>
      <x:c r="D1186" s="9" t="str">
        <x:v>West</x:v>
      </x:c>
      <x:c r="E1186" s="9" t="n">
        <x:v>764</x:v>
      </x:c>
      <x:c r="F1186" s="11" t="n">
        <x:v>46035</x:v>
      </x:c>
      <x:c r="G1186" s="13" t="n">
        <x:v>22202.36</x:v>
      </x:c>
      <x:c r="H1186" s="9" t="n">
        <x:v>234</x:v>
      </x:c>
      <x:c r="I1186" s="9" t="n">
        <x:v>4</x:v>
      </x:c>
      <x:c r="J1186" s="9" t="n">
        <x:v>2</x:v>
      </x:c>
      <x:c r="K1186" s="9" t="n">
        <x:v>0</x:v>
      </x:c>
      <x:c r="L1186" s="13" t="n">
        <x:f>SUMIFS('Payments'!$D$5:$D$3014,'Payments'!$B$5:$B$3014,A1186)</x:f>
        <x:v>6298.090000000001</x:v>
      </x:c>
      <x:c r="M1186" s="13" t="n">
        <x:f>G1186-L1186</x:f>
        <x:v>15904.27</x:v>
      </x:c>
      <x:c r="N1186" s="9" t="str">
        <x:f>IF(H1186=0,"0 Current",IF(H1186&lt;=30,"1 1-30",IF(H1186&lt;=60,"2 31-60",IF(H1186&lt;=90,"3 61-90",IF(H1186&lt;=120,"4 91-120","5 121+")))))</x:f>
        <x:v>5 121+</x:v>
      </x:c>
      <x:c r="O1186" s="9" t="n">
        <x:f>IF(J1186&gt;0,1,0)</x:f>
        <x:v>1</x:v>
      </x:c>
    </x:row>
    <x:row r="1187">
      <x:c r="A1187" s="15" t="str">
        <x:v>1183</x:v>
      </x:c>
      <x:c r="B1187" s="9" t="str">
        <x:v>Alex</x:v>
      </x:c>
      <x:c r="C1187" s="9" t="str">
        <x:v>Medical</x:v>
      </x:c>
      <x:c r="D1187" s="9" t="str">
        <x:v>Midwest</x:v>
      </x:c>
      <x:c r="E1187" s="9" t="n">
        <x:v>790</x:v>
      </x:c>
      <x:c r="F1187" s="11" t="n">
        <x:v>46105</x:v>
      </x:c>
      <x:c r="G1187" s="13" t="n">
        <x:v>23136.68</x:v>
      </x:c>
      <x:c r="H1187" s="9" t="n">
        <x:v>188</x:v>
      </x:c>
      <x:c r="I1187" s="9" t="n">
        <x:v>4</x:v>
      </x:c>
      <x:c r="J1187" s="9" t="n">
        <x:v>1</x:v>
      </x:c>
      <x:c r="K1187" s="9" t="n">
        <x:v>0</x:v>
      </x:c>
      <x:c r="L1187" s="13" t="n">
        <x:f>SUMIFS('Payments'!$D$5:$D$3014,'Payments'!$B$5:$B$3014,A1187)</x:f>
        <x:v>0</x:v>
      </x:c>
      <x:c r="M1187" s="13" t="n">
        <x:f>G1187-L1187</x:f>
        <x:v>23136.68</x:v>
      </x:c>
      <x:c r="N1187" s="9" t="str">
        <x:f>IF(H1187=0,"0 Current",IF(H1187&lt;=30,"1 1-30",IF(H1187&lt;=60,"2 31-60",IF(H1187&lt;=90,"3 61-90",IF(H1187&lt;=120,"4 91-120","5 121+")))))</x:f>
        <x:v>5 121+</x:v>
      </x:c>
      <x:c r="O1187" s="9" t="n">
        <x:f>IF(J1187&gt;0,1,0)</x:f>
        <x:v>1</x:v>
      </x:c>
    </x:row>
    <x:row r="1188">
      <x:c r="A1188" s="15" t="str">
        <x:v>1184</x:v>
      </x:c>
      <x:c r="B1188" s="9" t="str">
        <x:v>Casey</x:v>
      </x:c>
      <x:c r="C1188" s="9" t="str">
        <x:v>Auto</x:v>
      </x:c>
      <x:c r="D1188" s="9" t="str">
        <x:v>Northeast</x:v>
      </x:c>
      <x:c r="E1188" s="9" t="n">
        <x:v>622</x:v>
      </x:c>
      <x:c r="F1188" s="11" t="n">
        <x:v>46076</x:v>
      </x:c>
      <x:c r="G1188" s="13" t="n">
        <x:v>10334.72</x:v>
      </x:c>
      <x:c r="H1188" s="9" t="n">
        <x:v>90</x:v>
      </x:c>
      <x:c r="I1188" s="9" t="n">
        <x:v>5</x:v>
      </x:c>
      <x:c r="J1188" s="9" t="n">
        <x:v>3</x:v>
      </x:c>
      <x:c r="K1188" s="9" t="n">
        <x:v>1</x:v>
      </x:c>
      <x:c r="L1188" s="13" t="n">
        <x:f>SUMIFS('Payments'!$D$5:$D$3014,'Payments'!$B$5:$B$3014,A1188)</x:f>
        <x:v>0</x:v>
      </x:c>
      <x:c r="M1188" s="13" t="n">
        <x:f>G1188-L1188</x:f>
        <x:v>10334.72</x:v>
      </x:c>
      <x:c r="N1188" s="9" t="str">
        <x:f>IF(H1188=0,"0 Current",IF(H1188&lt;=30,"1 1-30",IF(H1188&lt;=60,"2 31-60",IF(H1188&lt;=90,"3 61-90",IF(H1188&lt;=120,"4 91-120","5 121+")))))</x:f>
        <x:v>3 61-90</x:v>
      </x:c>
      <x:c r="O1188" s="9" t="n">
        <x:f>IF(J1188&gt;0,1,0)</x:f>
        <x:v>1</x:v>
      </x:c>
    </x:row>
    <x:row r="1189">
      <x:c r="A1189" s="15" t="str">
        <x:v>1185</x:v>
      </x:c>
      <x:c r="B1189" s="9" t="str">
        <x:v>Riley</x:v>
      </x:c>
      <x:c r="C1189" s="9" t="str">
        <x:v>Medical</x:v>
      </x:c>
      <x:c r="D1189" s="9" t="str">
        <x:v>Midwest</x:v>
      </x:c>
      <x:c r="E1189" s="9" t="n">
        <x:v>421</x:v>
      </x:c>
      <x:c r="F1189" s="11" t="n">
        <x:v>46114</x:v>
      </x:c>
      <x:c r="G1189" s="13" t="n">
        <x:v>22616.21</x:v>
      </x:c>
      <x:c r="H1189" s="9" t="n">
        <x:v>212</x:v>
      </x:c>
      <x:c r="I1189" s="9" t="n">
        <x:v>8</x:v>
      </x:c>
      <x:c r="J1189" s="9" t="n">
        <x:v>3</x:v>
      </x:c>
      <x:c r="K1189" s="9" t="n">
        <x:v>0</x:v>
      </x:c>
      <x:c r="L1189" s="13" t="n">
        <x:f>SUMIFS('Payments'!$D$5:$D$3014,'Payments'!$B$5:$B$3014,A1189)</x:f>
        <x:v>4842.0199999999995</x:v>
      </x:c>
      <x:c r="M1189" s="13" t="n">
        <x:f>G1189-L1189</x:f>
        <x:v>17774.19</x:v>
      </x:c>
      <x:c r="N1189" s="9" t="str">
        <x:f>IF(H1189=0,"0 Current",IF(H1189&lt;=30,"1 1-30",IF(H1189&lt;=60,"2 31-60",IF(H1189&lt;=90,"3 61-90",IF(H1189&lt;=120,"4 91-120","5 121+")))))</x:f>
        <x:v>5 121+</x:v>
      </x:c>
      <x:c r="O1189" s="9" t="n">
        <x:f>IF(J1189&gt;0,1,0)</x:f>
        <x:v>1</x:v>
      </x:c>
    </x:row>
    <x:row r="1190">
      <x:c r="A1190" s="15" t="str">
        <x:v>1186</x:v>
      </x:c>
      <x:c r="B1190" s="9" t="str">
        <x:v>Alex</x:v>
      </x:c>
      <x:c r="C1190" s="9" t="str">
        <x:v>Credit Card</x:v>
      </x:c>
      <x:c r="D1190" s="9" t="str">
        <x:v>South</x:v>
      </x:c>
      <x:c r="E1190" s="9" t="n">
        <x:v>716</x:v>
      </x:c>
      <x:c r="F1190" s="11" t="n">
        <x:v>46069</x:v>
      </x:c>
      <x:c r="G1190" s="13" t="n">
        <x:v>15195.29</x:v>
      </x:c>
      <x:c r="H1190" s="9" t="n">
        <x:v>136</x:v>
      </x:c>
      <x:c r="I1190" s="9" t="n">
        <x:v>2</x:v>
      </x:c>
      <x:c r="J1190" s="9" t="n">
        <x:v>0</x:v>
      </x:c>
      <x:c r="K1190" s="9" t="n">
        <x:v>0</x:v>
      </x:c>
      <x:c r="L1190" s="13" t="n">
        <x:f>SUMIFS('Payments'!$D$5:$D$3014,'Payments'!$B$5:$B$3014,A1190)</x:f>
        <x:v>934.49</x:v>
      </x:c>
      <x:c r="M1190" s="13" t="n">
        <x:f>G1190-L1190</x:f>
        <x:v>14260.800000000001</x:v>
      </x:c>
      <x:c r="N1190" s="9" t="str">
        <x:f>IF(H1190=0,"0 Current",IF(H1190&lt;=30,"1 1-30",IF(H1190&lt;=60,"2 31-60",IF(H1190&lt;=90,"3 61-90",IF(H1190&lt;=120,"4 91-120","5 121+")))))</x:f>
        <x:v>5 121+</x:v>
      </x:c>
      <x:c r="O1190" s="9" t="n">
        <x:f>IF(J1190&gt;0,1,0)</x:f>
        <x:v>0</x:v>
      </x:c>
    </x:row>
    <x:row r="1191">
      <x:c r="A1191" s="15" t="str">
        <x:v>1187</x:v>
      </x:c>
      <x:c r="B1191" s="9" t="str">
        <x:v>Taylor</x:v>
      </x:c>
      <x:c r="C1191" s="9" t="str">
        <x:v>Credit Card</x:v>
      </x:c>
      <x:c r="D1191" s="9" t="str">
        <x:v>Northeast</x:v>
      </x:c>
      <x:c r="E1191" s="9" t="n">
        <x:v>443</x:v>
      </x:c>
      <x:c r="F1191" s="11" t="n">
        <x:v>46087</x:v>
      </x:c>
      <x:c r="G1191" s="13" t="n">
        <x:v>8061.49</x:v>
      </x:c>
      <x:c r="H1191" s="9" t="n">
        <x:v>23</x:v>
      </x:c>
      <x:c r="I1191" s="9" t="n">
        <x:v>4</x:v>
      </x:c>
      <x:c r="J1191" s="9" t="n">
        <x:v>2</x:v>
      </x:c>
      <x:c r="K1191" s="9" t="n">
        <x:v>0</x:v>
      </x:c>
      <x:c r="L1191" s="13" t="n">
        <x:f>SUMIFS('Payments'!$D$5:$D$3014,'Payments'!$B$5:$B$3014,A1191)</x:f>
        <x:v>223.02</x:v>
      </x:c>
      <x:c r="M1191" s="13" t="n">
        <x:f>G1191-L1191</x:f>
        <x:v>7838.469999999999</x:v>
      </x:c>
      <x:c r="N1191" s="9" t="str">
        <x:f>IF(H1191=0,"0 Current",IF(H1191&lt;=30,"1 1-30",IF(H1191&lt;=60,"2 31-60",IF(H1191&lt;=90,"3 61-90",IF(H1191&lt;=120,"4 91-120","5 121+")))))</x:f>
        <x:v>1 1-30</x:v>
      </x:c>
      <x:c r="O1191" s="9" t="n">
        <x:f>IF(J1191&gt;0,1,0)</x:f>
        <x:v>1</x:v>
      </x:c>
    </x:row>
    <x:row r="1192">
      <x:c r="A1192" s="15" t="str">
        <x:v>1188</x:v>
      </x:c>
      <x:c r="B1192" s="9" t="str">
        <x:v>Casey</x:v>
      </x:c>
      <x:c r="C1192" s="9" t="str">
        <x:v>Auto</x:v>
      </x:c>
      <x:c r="D1192" s="9" t="str">
        <x:v>West</x:v>
      </x:c>
      <x:c r="E1192" s="9" t="n">
        <x:v>596</x:v>
      </x:c>
      <x:c r="F1192" s="11" t="n">
        <x:v>46129</x:v>
      </x:c>
      <x:c r="G1192" s="13" t="n">
        <x:v>17043.13</x:v>
      </x:c>
      <x:c r="H1192" s="9" t="n">
        <x:v>10</x:v>
      </x:c>
      <x:c r="I1192" s="9" t="n">
        <x:v>0</x:v>
      </x:c>
      <x:c r="J1192" s="9" t="n">
        <x:v>0</x:v>
      </x:c>
      <x:c r="K1192" s="9" t="n">
        <x:v>0</x:v>
      </x:c>
      <x:c r="L1192" s="13" t="n">
        <x:f>SUMIFS('Payments'!$D$5:$D$3014,'Payments'!$B$5:$B$3014,A1192)</x:f>
        <x:v>1084.55</x:v>
      </x:c>
      <x:c r="M1192" s="13" t="n">
        <x:f>G1192-L1192</x:f>
        <x:v>15958.580000000002</x:v>
      </x:c>
      <x:c r="N1192" s="9" t="str">
        <x:f>IF(H1192=0,"0 Current",IF(H1192&lt;=30,"1 1-30",IF(H1192&lt;=60,"2 31-60",IF(H1192&lt;=90,"3 61-90",IF(H1192&lt;=120,"4 91-120","5 121+")))))</x:f>
        <x:v>1 1-30</x:v>
      </x:c>
      <x:c r="O1192" s="9" t="n">
        <x:f>IF(J1192&gt;0,1,0)</x:f>
        <x:v>0</x:v>
      </x:c>
    </x:row>
    <x:row r="1193">
      <x:c r="A1193" s="15" t="str">
        <x:v>1189</x:v>
      </x:c>
      <x:c r="B1193" s="9" t="str">
        <x:v>Alex</x:v>
      </x:c>
      <x:c r="C1193" s="9" t="str">
        <x:v>Personal Loan</x:v>
      </x:c>
      <x:c r="D1193" s="9" t="str">
        <x:v>Northeast</x:v>
      </x:c>
      <x:c r="E1193" s="9" t="n">
        <x:v>697</x:v>
      </x:c>
      <x:c r="F1193" s="11" t="n">
        <x:v>46090</x:v>
      </x:c>
      <x:c r="G1193" s="13" t="n">
        <x:v>14873.5</x:v>
      </x:c>
      <x:c r="H1193" s="9" t="n">
        <x:v>110</x:v>
      </x:c>
      <x:c r="I1193" s="9" t="n">
        <x:v>7</x:v>
      </x:c>
      <x:c r="J1193" s="9" t="n">
        <x:v>2</x:v>
      </x:c>
      <x:c r="K1193" s="9" t="n">
        <x:v>0</x:v>
      </x:c>
      <x:c r="L1193" s="13" t="n">
        <x:f>SUMIFS('Payments'!$D$5:$D$3014,'Payments'!$B$5:$B$3014,A1193)</x:f>
        <x:v>495.25</x:v>
      </x:c>
      <x:c r="M1193" s="13" t="n">
        <x:f>G1193-L1193</x:f>
        <x:v>14378.25</x:v>
      </x:c>
      <x:c r="N1193" s="9" t="str">
        <x:f>IF(H1193=0,"0 Current",IF(H1193&lt;=30,"1 1-30",IF(H1193&lt;=60,"2 31-60",IF(H1193&lt;=90,"3 61-90",IF(H1193&lt;=120,"4 91-120","5 121+")))))</x:f>
        <x:v>4 91-120</x:v>
      </x:c>
      <x:c r="O1193" s="9" t="n">
        <x:f>IF(J1193&gt;0,1,0)</x:f>
        <x:v>1</x:v>
      </x:c>
    </x:row>
    <x:row r="1194">
      <x:c r="A1194" s="15" t="str">
        <x:v>1190</x:v>
      </x:c>
      <x:c r="B1194" s="9" t="str">
        <x:v>Casey</x:v>
      </x:c>
      <x:c r="C1194" s="9" t="str">
        <x:v>Personal Loan</x:v>
      </x:c>
      <x:c r="D1194" s="9" t="str">
        <x:v>Northeast</x:v>
      </x:c>
      <x:c r="E1194" s="9" t="n">
        <x:v>455</x:v>
      </x:c>
      <x:c r="F1194" s="11" t="n">
        <x:v>46068</x:v>
      </x:c>
      <x:c r="G1194" s="13" t="n">
        <x:v>6140.02</x:v>
      </x:c>
      <x:c r="H1194" s="9" t="n">
        <x:v>214</x:v>
      </x:c>
      <x:c r="I1194" s="9" t="n">
        <x:v>6</x:v>
      </x:c>
      <x:c r="J1194" s="9" t="n">
        <x:v>2</x:v>
      </x:c>
      <x:c r="K1194" s="9" t="n">
        <x:v>1</x:v>
      </x:c>
      <x:c r="L1194" s="13" t="n">
        <x:f>SUMIFS('Payments'!$D$5:$D$3014,'Payments'!$B$5:$B$3014,A1194)</x:f>
        <x:v>451.55</x:v>
      </x:c>
      <x:c r="M1194" s="13" t="n">
        <x:f>G1194-L1194</x:f>
        <x:v>5688.47</x:v>
      </x:c>
      <x:c r="N1194" s="9" t="str">
        <x:f>IF(H1194=0,"0 Current",IF(H1194&lt;=30,"1 1-30",IF(H1194&lt;=60,"2 31-60",IF(H1194&lt;=90,"3 61-90",IF(H1194&lt;=120,"4 91-120","5 121+")))))</x:f>
        <x:v>5 121+</x:v>
      </x:c>
      <x:c r="O1194" s="9" t="n">
        <x:f>IF(J1194&gt;0,1,0)</x:f>
        <x:v>1</x:v>
      </x:c>
    </x:row>
    <x:row r="1195">
      <x:c r="A1195" s="15" t="str">
        <x:v>1191</x:v>
      </x:c>
      <x:c r="B1195" s="9" t="str">
        <x:v>Morgan</x:v>
      </x:c>
      <x:c r="C1195" s="9" t="str">
        <x:v>Personal Loan</x:v>
      </x:c>
      <x:c r="D1195" s="9" t="str">
        <x:v>West</x:v>
      </x:c>
      <x:c r="E1195" s="9" t="n">
        <x:v>436</x:v>
      </x:c>
      <x:c r="F1195" s="11" t="n">
        <x:v>46134</x:v>
      </x:c>
      <x:c r="G1195" s="13" t="n">
        <x:v>5944.16</x:v>
      </x:c>
      <x:c r="H1195" s="9" t="n">
        <x:v>55</x:v>
      </x:c>
      <x:c r="I1195" s="9" t="n">
        <x:v>4</x:v>
      </x:c>
      <x:c r="J1195" s="9" t="n">
        <x:v>3</x:v>
      </x:c>
      <x:c r="K1195" s="9" t="n">
        <x:v>1</x:v>
      </x:c>
      <x:c r="L1195" s="13" t="n">
        <x:f>SUMIFS('Payments'!$D$5:$D$3014,'Payments'!$B$5:$B$3014,A1195)</x:f>
        <x:v>1049.8200000000002</x:v>
      </x:c>
      <x:c r="M1195" s="13" t="n">
        <x:f>G1195-L1195</x:f>
        <x:v>4894.34</x:v>
      </x:c>
      <x:c r="N1195" s="9" t="str">
        <x:f>IF(H1195=0,"0 Current",IF(H1195&lt;=30,"1 1-30",IF(H1195&lt;=60,"2 31-60",IF(H1195&lt;=90,"3 61-90",IF(H1195&lt;=120,"4 91-120","5 121+")))))</x:f>
        <x:v>2 31-60</x:v>
      </x:c>
      <x:c r="O1195" s="9" t="n">
        <x:f>IF(J1195&gt;0,1,0)</x:f>
        <x:v>1</x:v>
      </x:c>
    </x:row>
    <x:row r="1196">
      <x:c r="A1196" s="15" t="str">
        <x:v>1192</x:v>
      </x:c>
      <x:c r="B1196" s="9" t="str">
        <x:v>Alex</x:v>
      </x:c>
      <x:c r="C1196" s="9" t="str">
        <x:v>Credit Card</x:v>
      </x:c>
      <x:c r="D1196" s="9" t="str">
        <x:v>Midwest</x:v>
      </x:c>
      <x:c r="E1196" s="9" t="n">
        <x:v>629</x:v>
      </x:c>
      <x:c r="F1196" s="11" t="n">
        <x:v>46073</x:v>
      </x:c>
      <x:c r="G1196" s="13" t="n">
        <x:v>17712.02</x:v>
      </x:c>
      <x:c r="H1196" s="9" t="n">
        <x:v>164</x:v>
      </x:c>
      <x:c r="I1196" s="9" t="n">
        <x:v>1</x:v>
      </x:c>
      <x:c r="J1196" s="9" t="n">
        <x:v>0</x:v>
      </x:c>
      <x:c r="K1196" s="9" t="n">
        <x:v>0</x:v>
      </x:c>
      <x:c r="L1196" s="13" t="n">
        <x:f>SUMIFS('Payments'!$D$5:$D$3014,'Payments'!$B$5:$B$3014,A1196)</x:f>
        <x:v>4087.5299999999997</x:v>
      </x:c>
      <x:c r="M1196" s="13" t="n">
        <x:f>G1196-L1196</x:f>
        <x:v>13624.490000000002</x:v>
      </x:c>
      <x:c r="N1196" s="9" t="str">
        <x:f>IF(H1196=0,"0 Current",IF(H1196&lt;=30,"1 1-30",IF(H1196&lt;=60,"2 31-60",IF(H1196&lt;=90,"3 61-90",IF(H1196&lt;=120,"4 91-120","5 121+")))))</x:f>
        <x:v>5 121+</x:v>
      </x:c>
      <x:c r="O1196" s="9" t="n">
        <x:f>IF(J1196&gt;0,1,0)</x:f>
        <x:v>0</x:v>
      </x:c>
    </x:row>
    <x:row r="1197">
      <x:c r="A1197" s="15" t="str">
        <x:v>1193</x:v>
      </x:c>
      <x:c r="B1197" s="9" t="str">
        <x:v>Taylor</x:v>
      </x:c>
      <x:c r="C1197" s="9" t="str">
        <x:v>Medical</x:v>
      </x:c>
      <x:c r="D1197" s="9" t="str">
        <x:v>South</x:v>
      </x:c>
      <x:c r="E1197" s="9" t="n">
        <x:v>813</x:v>
      </x:c>
      <x:c r="F1197" s="11" t="n">
        <x:v>46096</x:v>
      </x:c>
      <x:c r="G1197" s="13" t="n">
        <x:v>5378.15</x:v>
      </x:c>
      <x:c r="H1197" s="9" t="n">
        <x:v>117</x:v>
      </x:c>
      <x:c r="I1197" s="9" t="n">
        <x:v>6</x:v>
      </x:c>
      <x:c r="J1197" s="9" t="n">
        <x:v>3</x:v>
      </x:c>
      <x:c r="K1197" s="9" t="n">
        <x:v>0</x:v>
      </x:c>
      <x:c r="L1197" s="13" t="n">
        <x:f>SUMIFS('Payments'!$D$5:$D$3014,'Payments'!$B$5:$B$3014,A1197)</x:f>
        <x:v>618.07</x:v>
      </x:c>
      <x:c r="M1197" s="13" t="n">
        <x:f>G1197-L1197</x:f>
        <x:v>4760.08</x:v>
      </x:c>
      <x:c r="N1197" s="9" t="str">
        <x:f>IF(H1197=0,"0 Current",IF(H1197&lt;=30,"1 1-30",IF(H1197&lt;=60,"2 31-60",IF(H1197&lt;=90,"3 61-90",IF(H1197&lt;=120,"4 91-120","5 121+")))))</x:f>
        <x:v>4 91-120</x:v>
      </x:c>
      <x:c r="O1197" s="9" t="n">
        <x:f>IF(J1197&gt;0,1,0)</x:f>
        <x:v>1</x:v>
      </x:c>
    </x:row>
    <x:row r="1198">
      <x:c r="A1198" s="15" t="str">
        <x:v>1194</x:v>
      </x:c>
      <x:c r="B1198" s="9" t="str">
        <x:v>Morgan</x:v>
      </x:c>
      <x:c r="C1198" s="9" t="str">
        <x:v>Credit Card</x:v>
      </x:c>
      <x:c r="D1198" s="9" t="str">
        <x:v>South</x:v>
      </x:c>
      <x:c r="E1198" s="9" t="n">
        <x:v>812</x:v>
      </x:c>
      <x:c r="F1198" s="11" t="n">
        <x:v>46034</x:v>
      </x:c>
      <x:c r="G1198" s="13" t="n">
        <x:v>12136.81</x:v>
      </x:c>
      <x:c r="H1198" s="9" t="n">
        <x:v>121</x:v>
      </x:c>
      <x:c r="I1198" s="9" t="n">
        <x:v>7</x:v>
      </x:c>
      <x:c r="J1198" s="9" t="n">
        <x:v>4</x:v>
      </x:c>
      <x:c r="K1198" s="9" t="n">
        <x:v>1</x:v>
      </x:c>
      <x:c r="L1198" s="13" t="n">
        <x:f>SUMIFS('Payments'!$D$5:$D$3014,'Payments'!$B$5:$B$3014,A1198)</x:f>
        <x:v>2252.88</x:v>
      </x:c>
      <x:c r="M1198" s="13" t="n">
        <x:f>G1198-L1198</x:f>
        <x:v>9883.93</x:v>
      </x:c>
      <x:c r="N1198" s="9" t="str">
        <x:f>IF(H1198=0,"0 Current",IF(H1198&lt;=30,"1 1-30",IF(H1198&lt;=60,"2 31-60",IF(H1198&lt;=90,"3 61-90",IF(H1198&lt;=120,"4 91-120","5 121+")))))</x:f>
        <x:v>5 121+</x:v>
      </x:c>
      <x:c r="O1198" s="9" t="n">
        <x:f>IF(J1198&gt;0,1,0)</x:f>
        <x:v>1</x:v>
      </x:c>
    </x:row>
    <x:row r="1199">
      <x:c r="A1199" s="15" t="str">
        <x:v>1195</x:v>
      </x:c>
      <x:c r="B1199" s="9" t="str">
        <x:v>Morgan</x:v>
      </x:c>
      <x:c r="C1199" s="9" t="str">
        <x:v>Medical</x:v>
      </x:c>
      <x:c r="D1199" s="9" t="str">
        <x:v>West</x:v>
      </x:c>
      <x:c r="E1199" s="9" t="n">
        <x:v>611</x:v>
      </x:c>
      <x:c r="F1199" s="11" t="n">
        <x:v>46091</x:v>
      </x:c>
      <x:c r="G1199" s="13" t="n">
        <x:v>3761.88</x:v>
      </x:c>
      <x:c r="H1199" s="9" t="n">
        <x:v>56</x:v>
      </x:c>
      <x:c r="I1199" s="9" t="n">
        <x:v>3</x:v>
      </x:c>
      <x:c r="J1199" s="9" t="n">
        <x:v>2</x:v>
      </x:c>
      <x:c r="K1199" s="9" t="n">
        <x:v>0</x:v>
      </x:c>
      <x:c r="L1199" s="13" t="n">
        <x:f>SUMIFS('Payments'!$D$5:$D$3014,'Payments'!$B$5:$B$3014,A1199)</x:f>
        <x:v>466.02</x:v>
      </x:c>
      <x:c r="M1199" s="13" t="n">
        <x:f>G1199-L1199</x:f>
        <x:v>3295.86</x:v>
      </x:c>
      <x:c r="N1199" s="9" t="str">
        <x:f>IF(H1199=0,"0 Current",IF(H1199&lt;=30,"1 1-30",IF(H1199&lt;=60,"2 31-60",IF(H1199&lt;=90,"3 61-90",IF(H1199&lt;=120,"4 91-120","5 121+")))))</x:f>
        <x:v>2 31-60</x:v>
      </x:c>
      <x:c r="O1199" s="9" t="n">
        <x:f>IF(J1199&gt;0,1,0)</x:f>
        <x:v>1</x:v>
      </x:c>
    </x:row>
    <x:row r="1200">
      <x:c r="A1200" s="15" t="str">
        <x:v>1196</x:v>
      </x:c>
      <x:c r="B1200" s="9" t="str">
        <x:v>Jordan</x:v>
      </x:c>
      <x:c r="C1200" s="9" t="str">
        <x:v>Personal Loan</x:v>
      </x:c>
      <x:c r="D1200" s="9" t="str">
        <x:v>West</x:v>
      </x:c>
      <x:c r="E1200" s="9" t="n">
        <x:v>649</x:v>
      </x:c>
      <x:c r="F1200" s="11" t="n">
        <x:v>46025</x:v>
      </x:c>
      <x:c r="G1200" s="13" t="n">
        <x:v>7441.9</x:v>
      </x:c>
      <x:c r="H1200" s="9" t="n">
        <x:v>197</x:v>
      </x:c>
      <x:c r="I1200" s="9" t="n">
        <x:v>4</x:v>
      </x:c>
      <x:c r="J1200" s="9" t="n">
        <x:v>1</x:v>
      </x:c>
      <x:c r="K1200" s="9" t="n">
        <x:v>1</x:v>
      </x:c>
      <x:c r="L1200" s="13" t="n">
        <x:f>SUMIFS('Payments'!$D$5:$D$3014,'Payments'!$B$5:$B$3014,A1200)</x:f>
        <x:v>2312.85</x:v>
      </x:c>
      <x:c r="M1200" s="13" t="n">
        <x:f>G1200-L1200</x:f>
        <x:v>5129.049999999999</x:v>
      </x:c>
      <x:c r="N1200" s="9" t="str">
        <x:f>IF(H1200=0,"0 Current",IF(H1200&lt;=30,"1 1-30",IF(H1200&lt;=60,"2 31-60",IF(H1200&lt;=90,"3 61-90",IF(H1200&lt;=120,"4 91-120","5 121+")))))</x:f>
        <x:v>5 121+</x:v>
      </x:c>
      <x:c r="O1200" s="9" t="n">
        <x:f>IF(J1200&gt;0,1,0)</x:f>
        <x:v>1</x:v>
      </x:c>
    </x:row>
    <x:row r="1201">
      <x:c r="A1201" s="15" t="str">
        <x:v>1197</x:v>
      </x:c>
      <x:c r="B1201" s="9" t="str">
        <x:v>Casey</x:v>
      </x:c>
      <x:c r="C1201" s="9" t="str">
        <x:v>Personal Loan</x:v>
      </x:c>
      <x:c r="D1201" s="9" t="str">
        <x:v>West</x:v>
      </x:c>
      <x:c r="E1201" s="9" t="n">
        <x:v>612</x:v>
      </x:c>
      <x:c r="F1201" s="11" t="n">
        <x:v>46023</x:v>
      </x:c>
      <x:c r="G1201" s="13" t="n">
        <x:v>14714.64</x:v>
      </x:c>
      <x:c r="H1201" s="9" t="n">
        <x:v>160</x:v>
      </x:c>
      <x:c r="I1201" s="9" t="n">
        <x:v>6</x:v>
      </x:c>
      <x:c r="J1201" s="9" t="n">
        <x:v>1</x:v>
      </x:c>
      <x:c r="K1201" s="9" t="n">
        <x:v>0</x:v>
      </x:c>
      <x:c r="L1201" s="13" t="n">
        <x:f>SUMIFS('Payments'!$D$5:$D$3014,'Payments'!$B$5:$B$3014,A1201)</x:f>
        <x:v>1739.8899999999999</x:v>
      </x:c>
      <x:c r="M1201" s="13" t="n">
        <x:f>G1201-L1201</x:f>
        <x:v>12974.75</x:v>
      </x:c>
      <x:c r="N1201" s="9" t="str">
        <x:f>IF(H1201=0,"0 Current",IF(H1201&lt;=30,"1 1-30",IF(H1201&lt;=60,"2 31-60",IF(H1201&lt;=90,"3 61-90",IF(H1201&lt;=120,"4 91-120","5 121+")))))</x:f>
        <x:v>5 121+</x:v>
      </x:c>
      <x:c r="O1201" s="9" t="n">
        <x:f>IF(J1201&gt;0,1,0)</x:f>
        <x:v>1</x:v>
      </x:c>
    </x:row>
    <x:row r="1202">
      <x:c r="A1202" s="15" t="str">
        <x:v>1198</x:v>
      </x:c>
      <x:c r="B1202" s="9" t="str">
        <x:v>Taylor</x:v>
      </x:c>
      <x:c r="C1202" s="9" t="str">
        <x:v>Credit Card</x:v>
      </x:c>
      <x:c r="D1202" s="9" t="str">
        <x:v>Northeast</x:v>
      </x:c>
      <x:c r="E1202" s="9" t="n">
        <x:v>769</x:v>
      </x:c>
      <x:c r="F1202" s="11" t="n">
        <x:v>46148</x:v>
      </x:c>
      <x:c r="G1202" s="13" t="n">
        <x:v>17720.35</x:v>
      </x:c>
      <x:c r="H1202" s="9" t="n">
        <x:v>75</x:v>
      </x:c>
      <x:c r="I1202" s="9" t="n">
        <x:v>8</x:v>
      </x:c>
      <x:c r="J1202" s="9" t="n">
        <x:v>3</x:v>
      </x:c>
      <x:c r="K1202" s="9" t="n">
        <x:v>0</x:v>
      </x:c>
      <x:c r="L1202" s="13" t="n">
        <x:f>SUMIFS('Payments'!$D$5:$D$3014,'Payments'!$B$5:$B$3014,A1202)</x:f>
        <x:v>1204.35</x:v>
      </x:c>
      <x:c r="M1202" s="13" t="n">
        <x:f>G1202-L1202</x:f>
        <x:v>16516</x:v>
      </x:c>
      <x:c r="N1202" s="9" t="str">
        <x:f>IF(H1202=0,"0 Current",IF(H1202&lt;=30,"1 1-30",IF(H1202&lt;=60,"2 31-60",IF(H1202&lt;=90,"3 61-90",IF(H1202&lt;=120,"4 91-120","5 121+")))))</x:f>
        <x:v>3 61-90</x:v>
      </x:c>
      <x:c r="O1202" s="9" t="n">
        <x:f>IF(J1202&gt;0,1,0)</x:f>
        <x:v>1</x:v>
      </x:c>
    </x:row>
    <x:row r="1203">
      <x:c r="A1203" s="15" t="str">
        <x:v>1199</x:v>
      </x:c>
      <x:c r="B1203" s="9" t="str">
        <x:v>Casey</x:v>
      </x:c>
      <x:c r="C1203" s="9" t="str">
        <x:v>Auto</x:v>
      </x:c>
      <x:c r="D1203" s="9" t="str">
        <x:v>South</x:v>
      </x:c>
      <x:c r="E1203" s="9" t="n">
        <x:v>754</x:v>
      </x:c>
      <x:c r="F1203" s="11" t="n">
        <x:v>46056</x:v>
      </x:c>
      <x:c r="G1203" s="13" t="n">
        <x:v>16761.29</x:v>
      </x:c>
      <x:c r="H1203" s="9" t="n">
        <x:v>141</x:v>
      </x:c>
      <x:c r="I1203" s="9" t="n">
        <x:v>5</x:v>
      </x:c>
      <x:c r="J1203" s="9" t="n">
        <x:v>2</x:v>
      </x:c>
      <x:c r="K1203" s="9" t="n">
        <x:v>0</x:v>
      </x:c>
      <x:c r="L1203" s="13" t="n">
        <x:f>SUMIFS('Payments'!$D$5:$D$3014,'Payments'!$B$5:$B$3014,A1203)</x:f>
        <x:v>0</x:v>
      </x:c>
      <x:c r="M1203" s="13" t="n">
        <x:f>G1203-L1203</x:f>
        <x:v>16761.29</x:v>
      </x:c>
      <x:c r="N1203" s="9" t="str">
        <x:f>IF(H1203=0,"0 Current",IF(H1203&lt;=30,"1 1-30",IF(H1203&lt;=60,"2 31-60",IF(H1203&lt;=90,"3 61-90",IF(H1203&lt;=120,"4 91-120","5 121+")))))</x:f>
        <x:v>5 121+</x:v>
      </x:c>
      <x:c r="O1203" s="9" t="n">
        <x:f>IF(J1203&gt;0,1,0)</x:f>
        <x:v>1</x:v>
      </x:c>
    </x:row>
    <x:row r="1204">
      <x:c r="A1204" s="15" t="str">
        <x:v>1200</x:v>
      </x:c>
      <x:c r="B1204" s="9" t="str">
        <x:v>Riley</x:v>
      </x:c>
      <x:c r="C1204" s="9" t="str">
        <x:v>Credit Card</x:v>
      </x:c>
      <x:c r="D1204" s="9" t="str">
        <x:v>Midwest</x:v>
      </x:c>
      <x:c r="E1204" s="9" t="n">
        <x:v>480</x:v>
      </x:c>
      <x:c r="F1204" s="11" t="n">
        <x:v>46144</x:v>
      </x:c>
      <x:c r="G1204" s="13" t="n">
        <x:v>7501.85</x:v>
      </x:c>
      <x:c r="H1204" s="9" t="n">
        <x:v>2</x:v>
      </x:c>
      <x:c r="I1204" s="9" t="n">
        <x:v>0</x:v>
      </x:c>
      <x:c r="J1204" s="9" t="n">
        <x:v>0</x:v>
      </x:c>
      <x:c r="K1204" s="9" t="n">
        <x:v>0</x:v>
      </x:c>
      <x:c r="L1204" s="13" t="n">
        <x:f>SUMIFS('Payments'!$D$5:$D$3014,'Payments'!$B$5:$B$3014,A1204)</x:f>
        <x:v>1829.9</x:v>
      </x:c>
      <x:c r="M1204" s="13" t="n">
        <x:f>G1204-L1204</x:f>
        <x:v>5671.950000000001</x:v>
      </x:c>
      <x:c r="N1204" s="9" t="str">
        <x:f>IF(H1204=0,"0 Current",IF(H1204&lt;=30,"1 1-30",IF(H1204&lt;=60,"2 31-60",IF(H1204&lt;=90,"3 61-90",IF(H1204&lt;=120,"4 91-120","5 121+")))))</x:f>
        <x:v>1 1-30</x:v>
      </x:c>
      <x:c r="O1204" s="9" t="n">
        <x:f>IF(J1204&gt;0,1,0)</x:f>
        <x:v>0</x:v>
      </x:c>
    </x:row>
    <x:row r="1205">
      <x:c r="A1205" s="15" t="str">
        <x:v>1201</x:v>
      </x:c>
      <x:c r="B1205" s="9" t="str">
        <x:v>Jordan</x:v>
      </x:c>
      <x:c r="C1205" s="9" t="str">
        <x:v>Auto</x:v>
      </x:c>
      <x:c r="D1205" s="9" t="str">
        <x:v>Northeast</x:v>
      </x:c>
      <x:c r="E1205" s="9" t="n">
        <x:v>632</x:v>
      </x:c>
      <x:c r="F1205" s="11" t="n">
        <x:v>46097</x:v>
      </x:c>
      <x:c r="G1205" s="13" t="n">
        <x:v>10406.43</x:v>
      </x:c>
      <x:c r="H1205" s="9" t="n">
        <x:v>8</x:v>
      </x:c>
      <x:c r="I1205" s="9" t="n">
        <x:v>3</x:v>
      </x:c>
      <x:c r="J1205" s="9" t="n">
        <x:v>0</x:v>
      </x:c>
      <x:c r="K1205" s="9" t="n">
        <x:v>0</x:v>
      </x:c>
      <x:c r="L1205" s="13" t="n">
        <x:f>SUMIFS('Payments'!$D$5:$D$3014,'Payments'!$B$5:$B$3014,A1205)</x:f>
        <x:v>1497.5900000000001</x:v>
      </x:c>
      <x:c r="M1205" s="13" t="n">
        <x:f>G1205-L1205</x:f>
        <x:v>8908.84</x:v>
      </x:c>
      <x:c r="N1205" s="9" t="str">
        <x:f>IF(H1205=0,"0 Current",IF(H1205&lt;=30,"1 1-30",IF(H1205&lt;=60,"2 31-60",IF(H1205&lt;=90,"3 61-90",IF(H1205&lt;=120,"4 91-120","5 121+")))))</x:f>
        <x:v>1 1-30</x:v>
      </x:c>
      <x:c r="O1205" s="9" t="n">
        <x:f>IF(J1205&gt;0,1,0)</x:f>
        <x:v>0</x:v>
      </x:c>
    </x:row>
    <x:row r="1206">
      <x:c r="A1206" s="15" t="str">
        <x:v>1202</x:v>
      </x:c>
      <x:c r="B1206" s="9" t="str">
        <x:v>Taylor</x:v>
      </x:c>
      <x:c r="C1206" s="9" t="str">
        <x:v>Medical</x:v>
      </x:c>
      <x:c r="D1206" s="9" t="str">
        <x:v>Northeast</x:v>
      </x:c>
      <x:c r="E1206" s="9" t="n">
        <x:v>608</x:v>
      </x:c>
      <x:c r="F1206" s="11" t="n">
        <x:v>46124</x:v>
      </x:c>
      <x:c r="G1206" s="13" t="n">
        <x:v>20760.45</x:v>
      </x:c>
      <x:c r="H1206" s="9" t="n">
        <x:v>5</x:v>
      </x:c>
      <x:c r="I1206" s="9" t="n">
        <x:v>6</x:v>
      </x:c>
      <x:c r="J1206" s="9" t="n">
        <x:v>3</x:v>
      </x:c>
      <x:c r="K1206" s="9" t="n">
        <x:v>1</x:v>
      </x:c>
      <x:c r="L1206" s="13" t="n">
        <x:f>SUMIFS('Payments'!$D$5:$D$3014,'Payments'!$B$5:$B$3014,A1206)</x:f>
        <x:v>3181.04</x:v>
      </x:c>
      <x:c r="M1206" s="13" t="n">
        <x:f>G1206-L1206</x:f>
        <x:v>17579.41</x:v>
      </x:c>
      <x:c r="N1206" s="9" t="str">
        <x:f>IF(H1206=0,"0 Current",IF(H1206&lt;=30,"1 1-30",IF(H1206&lt;=60,"2 31-60",IF(H1206&lt;=90,"3 61-90",IF(H1206&lt;=120,"4 91-120","5 121+")))))</x:f>
        <x:v>1 1-30</x:v>
      </x:c>
      <x:c r="O1206" s="9" t="n">
        <x:f>IF(J1206&gt;0,1,0)</x:f>
        <x:v>1</x:v>
      </x:c>
    </x:row>
    <x:row r="1207">
      <x:c r="A1207" s="15" t="str">
        <x:v>1203</x:v>
      </x:c>
      <x:c r="B1207" s="9" t="str">
        <x:v>Jordan</x:v>
      </x:c>
      <x:c r="C1207" s="9" t="str">
        <x:v>Auto</x:v>
      </x:c>
      <x:c r="D1207" s="9" t="str">
        <x:v>Midwest</x:v>
      </x:c>
      <x:c r="E1207" s="9" t="n">
        <x:v>644</x:v>
      </x:c>
      <x:c r="F1207" s="11" t="n">
        <x:v>46078</x:v>
      </x:c>
      <x:c r="G1207" s="13" t="n">
        <x:v>21571.4</x:v>
      </x:c>
      <x:c r="H1207" s="9" t="n">
        <x:v>120</x:v>
      </x:c>
      <x:c r="I1207" s="9" t="n">
        <x:v>4</x:v>
      </x:c>
      <x:c r="J1207" s="9" t="n">
        <x:v>3</x:v>
      </x:c>
      <x:c r="K1207" s="9" t="n">
        <x:v>0</x:v>
      </x:c>
      <x:c r="L1207" s="13" t="n">
        <x:f>SUMIFS('Payments'!$D$5:$D$3014,'Payments'!$B$5:$B$3014,A1207)</x:f>
        <x:v>2184.27</x:v>
      </x:c>
      <x:c r="M1207" s="13" t="n">
        <x:f>G1207-L1207</x:f>
        <x:v>19387.13</x:v>
      </x:c>
      <x:c r="N1207" s="9" t="str">
        <x:f>IF(H1207=0,"0 Current",IF(H1207&lt;=30,"1 1-30",IF(H1207&lt;=60,"2 31-60",IF(H1207&lt;=90,"3 61-90",IF(H1207&lt;=120,"4 91-120","5 121+")))))</x:f>
        <x:v>4 91-120</x:v>
      </x:c>
      <x:c r="O1207" s="9" t="n">
        <x:f>IF(J1207&gt;0,1,0)</x:f>
        <x:v>1</x:v>
      </x:c>
    </x:row>
    <x:row r="1208">
      <x:c r="A1208" s="15" t="str">
        <x:v>1204</x:v>
      </x:c>
      <x:c r="B1208" s="9" t="str">
        <x:v>Taylor</x:v>
      </x:c>
      <x:c r="C1208" s="9" t="str">
        <x:v>Personal Loan</x:v>
      </x:c>
      <x:c r="D1208" s="9" t="str">
        <x:v>West</x:v>
      </x:c>
      <x:c r="E1208" s="9" t="n">
        <x:v>689</x:v>
      </x:c>
      <x:c r="F1208" s="11" t="n">
        <x:v>46125</x:v>
      </x:c>
      <x:c r="G1208" s="13" t="n">
        <x:v>1509.58</x:v>
      </x:c>
      <x:c r="H1208" s="9" t="n">
        <x:v>217</x:v>
      </x:c>
      <x:c r="I1208" s="9" t="n">
        <x:v>4</x:v>
      </x:c>
      <x:c r="J1208" s="9" t="n">
        <x:v>1</x:v>
      </x:c>
      <x:c r="K1208" s="9" t="n">
        <x:v>0</x:v>
      </x:c>
      <x:c r="L1208" s="13" t="n">
        <x:f>SUMIFS('Payments'!$D$5:$D$3014,'Payments'!$B$5:$B$3014,A1208)</x:f>
        <x:v>0</x:v>
      </x:c>
      <x:c r="M1208" s="13" t="n">
        <x:f>G1208-L1208</x:f>
        <x:v>1509.58</x:v>
      </x:c>
      <x:c r="N1208" s="9" t="str">
        <x:f>IF(H1208=0,"0 Current",IF(H1208&lt;=30,"1 1-30",IF(H1208&lt;=60,"2 31-60",IF(H1208&lt;=90,"3 61-90",IF(H1208&lt;=120,"4 91-120","5 121+")))))</x:f>
        <x:v>5 121+</x:v>
      </x:c>
      <x:c r="O1208" s="9" t="n">
        <x:f>IF(J1208&gt;0,1,0)</x:f>
        <x:v>1</x:v>
      </x:c>
    </x:row>
    <x:row r="1209">
      <x:c r="A1209" s="15" t="str">
        <x:v>1205</x:v>
      </x:c>
      <x:c r="B1209" s="9" t="str">
        <x:v>Morgan</x:v>
      </x:c>
      <x:c r="C1209" s="9" t="str">
        <x:v>Credit Card</x:v>
      </x:c>
      <x:c r="D1209" s="9" t="str">
        <x:v>West</x:v>
      </x:c>
      <x:c r="E1209" s="9" t="n">
        <x:v>608</x:v>
      </x:c>
      <x:c r="F1209" s="11" t="n">
        <x:v>46042</x:v>
      </x:c>
      <x:c r="G1209" s="13" t="n">
        <x:v>23361.68</x:v>
      </x:c>
      <x:c r="H1209" s="9" t="n">
        <x:v>104</x:v>
      </x:c>
      <x:c r="I1209" s="9" t="n">
        <x:v>0</x:v>
      </x:c>
      <x:c r="J1209" s="9" t="n">
        <x:v>0</x:v>
      </x:c>
      <x:c r="K1209" s="9" t="n">
        <x:v>0</x:v>
      </x:c>
      <x:c r="L1209" s="13" t="n">
        <x:f>SUMIFS('Payments'!$D$5:$D$3014,'Payments'!$B$5:$B$3014,A1209)</x:f>
        <x:v>3539.28</x:v>
      </x:c>
      <x:c r="M1209" s="13" t="n">
        <x:f>G1209-L1209</x:f>
        <x:v>19822.4</x:v>
      </x:c>
      <x:c r="N1209" s="9" t="str">
        <x:f>IF(H1209=0,"0 Current",IF(H1209&lt;=30,"1 1-30",IF(H1209&lt;=60,"2 31-60",IF(H1209&lt;=90,"3 61-90",IF(H1209&lt;=120,"4 91-120","5 121+")))))</x:f>
        <x:v>4 91-120</x:v>
      </x:c>
      <x:c r="O1209" s="9" t="n">
        <x:f>IF(J1209&gt;0,1,0)</x:f>
        <x:v>0</x:v>
      </x:c>
    </x:row>
    <x:row r="1210">
      <x:c r="A1210" s="15" t="str">
        <x:v>1206</x:v>
      </x:c>
      <x:c r="B1210" s="9" t="str">
        <x:v>Riley</x:v>
      </x:c>
      <x:c r="C1210" s="9" t="str">
        <x:v>Medical</x:v>
      </x:c>
      <x:c r="D1210" s="9" t="str">
        <x:v>West</x:v>
      </x:c>
      <x:c r="E1210" s="9" t="n">
        <x:v>436</x:v>
      </x:c>
      <x:c r="F1210" s="11" t="n">
        <x:v>46144</x:v>
      </x:c>
      <x:c r="G1210" s="13" t="n">
        <x:v>8538.71</x:v>
      </x:c>
      <x:c r="H1210" s="9" t="n">
        <x:v>196</x:v>
      </x:c>
      <x:c r="I1210" s="9" t="n">
        <x:v>1</x:v>
      </x:c>
      <x:c r="J1210" s="9" t="n">
        <x:v>0</x:v>
      </x:c>
      <x:c r="K1210" s="9" t="n">
        <x:v>0</x:v>
      </x:c>
      <x:c r="L1210" s="13" t="n">
        <x:f>SUMIFS('Payments'!$D$5:$D$3014,'Payments'!$B$5:$B$3014,A1210)</x:f>
        <x:v>2641.58</x:v>
      </x:c>
      <x:c r="M1210" s="13" t="n">
        <x:f>G1210-L1210</x:f>
        <x:v>5897.129999999999</x:v>
      </x:c>
      <x:c r="N1210" s="9" t="str">
        <x:f>IF(H1210=0,"0 Current",IF(H1210&lt;=30,"1 1-30",IF(H1210&lt;=60,"2 31-60",IF(H1210&lt;=90,"3 61-90",IF(H1210&lt;=120,"4 91-120","5 121+")))))</x:f>
        <x:v>5 121+</x:v>
      </x:c>
      <x:c r="O1210" s="9" t="n">
        <x:f>IF(J1210&gt;0,1,0)</x:f>
        <x:v>0</x:v>
      </x:c>
    </x:row>
    <x:row r="1211">
      <x:c r="A1211" s="15" t="str">
        <x:v>1207</x:v>
      </x:c>
      <x:c r="B1211" s="9" t="str">
        <x:v>Casey</x:v>
      </x:c>
      <x:c r="C1211" s="9" t="str">
        <x:v>Credit Card</x:v>
      </x:c>
      <x:c r="D1211" s="9" t="str">
        <x:v>South</x:v>
      </x:c>
      <x:c r="E1211" s="9" t="n">
        <x:v>785</x:v>
      </x:c>
      <x:c r="F1211" s="11" t="n">
        <x:v>46105</x:v>
      </x:c>
      <x:c r="G1211" s="13" t="n">
        <x:v>9059.46</x:v>
      </x:c>
      <x:c r="H1211" s="9" t="n">
        <x:v>117</x:v>
      </x:c>
      <x:c r="I1211" s="9" t="n">
        <x:v>8</x:v>
      </x:c>
      <x:c r="J1211" s="9" t="n">
        <x:v>4</x:v>
      </x:c>
      <x:c r="K1211" s="9" t="n">
        <x:v>0</x:v>
      </x:c>
      <x:c r="L1211" s="13" t="n">
        <x:f>SUMIFS('Payments'!$D$5:$D$3014,'Payments'!$B$5:$B$3014,A1211)</x:f>
        <x:v>0</x:v>
      </x:c>
      <x:c r="M1211" s="13" t="n">
        <x:f>G1211-L1211</x:f>
        <x:v>9059.46</x:v>
      </x:c>
      <x:c r="N1211" s="9" t="str">
        <x:f>IF(H1211=0,"0 Current",IF(H1211&lt;=30,"1 1-30",IF(H1211&lt;=60,"2 31-60",IF(H1211&lt;=90,"3 61-90",IF(H1211&lt;=120,"4 91-120","5 121+")))))</x:f>
        <x:v>4 91-120</x:v>
      </x:c>
      <x:c r="O1211" s="9" t="n">
        <x:f>IF(J1211&gt;0,1,0)</x:f>
        <x:v>1</x:v>
      </x:c>
    </x:row>
    <x:row r="1212">
      <x:c r="A1212" s="15" t="str">
        <x:v>1208</x:v>
      </x:c>
      <x:c r="B1212" s="9" t="str">
        <x:v>Jordan</x:v>
      </x:c>
      <x:c r="C1212" s="9" t="str">
        <x:v>Credit Card</x:v>
      </x:c>
      <x:c r="D1212" s="9" t="str">
        <x:v>South</x:v>
      </x:c>
      <x:c r="E1212" s="9" t="n">
        <x:v>693</x:v>
      </x:c>
      <x:c r="F1212" s="11" t="n">
        <x:v>46083</x:v>
      </x:c>
      <x:c r="G1212" s="13" t="n">
        <x:v>14208.45</x:v>
      </x:c>
      <x:c r="H1212" s="9" t="n">
        <x:v>72</x:v>
      </x:c>
      <x:c r="I1212" s="9" t="n">
        <x:v>0</x:v>
      </x:c>
      <x:c r="J1212" s="9" t="n">
        <x:v>0</x:v>
      </x:c>
      <x:c r="K1212" s="9" t="n">
        <x:v>0</x:v>
      </x:c>
      <x:c r="L1212" s="13" t="n">
        <x:f>SUMIFS('Payments'!$D$5:$D$3014,'Payments'!$B$5:$B$3014,A1212)</x:f>
        <x:v>2599.82</x:v>
      </x:c>
      <x:c r="M1212" s="13" t="n">
        <x:f>G1212-L1212</x:f>
        <x:v>11608.630000000001</x:v>
      </x:c>
      <x:c r="N1212" s="9" t="str">
        <x:f>IF(H1212=0,"0 Current",IF(H1212&lt;=30,"1 1-30",IF(H1212&lt;=60,"2 31-60",IF(H1212&lt;=90,"3 61-90",IF(H1212&lt;=120,"4 91-120","5 121+")))))</x:f>
        <x:v>3 61-90</x:v>
      </x:c>
      <x:c r="O1212" s="9" t="n">
        <x:f>IF(J1212&gt;0,1,0)</x:f>
        <x:v>0</x:v>
      </x:c>
    </x:row>
    <x:row r="1213">
      <x:c r="A1213" s="15" t="str">
        <x:v>1209</x:v>
      </x:c>
      <x:c r="B1213" s="9" t="str">
        <x:v>Alex</x:v>
      </x:c>
      <x:c r="C1213" s="9" t="str">
        <x:v>Auto</x:v>
      </x:c>
      <x:c r="D1213" s="9" t="str">
        <x:v>Midwest</x:v>
      </x:c>
      <x:c r="E1213" s="9" t="n">
        <x:v>593</x:v>
      </x:c>
      <x:c r="F1213" s="11" t="n">
        <x:v>46120</x:v>
      </x:c>
      <x:c r="G1213" s="13" t="n">
        <x:v>8034.32</x:v>
      </x:c>
      <x:c r="H1213" s="9" t="n">
        <x:v>48</x:v>
      </x:c>
      <x:c r="I1213" s="9" t="n">
        <x:v>5</x:v>
      </x:c>
      <x:c r="J1213" s="9" t="n">
        <x:v>3</x:v>
      </x:c>
      <x:c r="K1213" s="9" t="n">
        <x:v>1</x:v>
      </x:c>
      <x:c r="L1213" s="13" t="n">
        <x:f>SUMIFS('Payments'!$D$5:$D$3014,'Payments'!$B$5:$B$3014,A1213)</x:f>
        <x:v>0</x:v>
      </x:c>
      <x:c r="M1213" s="13" t="n">
        <x:f>G1213-L1213</x:f>
        <x:v>8034.32</x:v>
      </x:c>
      <x:c r="N1213" s="9" t="str">
        <x:f>IF(H1213=0,"0 Current",IF(H1213&lt;=30,"1 1-30",IF(H1213&lt;=60,"2 31-60",IF(H1213&lt;=90,"3 61-90",IF(H1213&lt;=120,"4 91-120","5 121+")))))</x:f>
        <x:v>2 31-60</x:v>
      </x:c>
      <x:c r="O1213" s="9" t="n">
        <x:f>IF(J1213&gt;0,1,0)</x:f>
        <x:v>1</x:v>
      </x:c>
    </x:row>
    <x:row r="1214">
      <x:c r="A1214" s="15" t="str">
        <x:v>1210</x:v>
      </x:c>
      <x:c r="B1214" s="9" t="str">
        <x:v>Taylor</x:v>
      </x:c>
      <x:c r="C1214" s="9" t="str">
        <x:v>Credit Card</x:v>
      </x:c>
      <x:c r="D1214" s="9" t="str">
        <x:v>West</x:v>
      </x:c>
      <x:c r="E1214" s="9" t="n">
        <x:v>664</x:v>
      </x:c>
      <x:c r="F1214" s="11" t="n">
        <x:v>46085</x:v>
      </x:c>
      <x:c r="G1214" s="13" t="n">
        <x:v>2777.65</x:v>
      </x:c>
      <x:c r="H1214" s="9" t="n">
        <x:v>119</x:v>
      </x:c>
      <x:c r="I1214" s="9" t="n">
        <x:v>4</x:v>
      </x:c>
      <x:c r="J1214" s="9" t="n">
        <x:v>1</x:v>
      </x:c>
      <x:c r="K1214" s="9" t="n">
        <x:v>0</x:v>
      </x:c>
      <x:c r="L1214" s="13" t="n">
        <x:f>SUMIFS('Payments'!$D$5:$D$3014,'Payments'!$B$5:$B$3014,A1214)</x:f>
        <x:v>672.79</x:v>
      </x:c>
      <x:c r="M1214" s="13" t="n">
        <x:f>G1214-L1214</x:f>
        <x:v>2104.86</x:v>
      </x:c>
      <x:c r="N1214" s="9" t="str">
        <x:f>IF(H1214=0,"0 Current",IF(H1214&lt;=30,"1 1-30",IF(H1214&lt;=60,"2 31-60",IF(H1214&lt;=90,"3 61-90",IF(H1214&lt;=120,"4 91-120","5 121+")))))</x:f>
        <x:v>4 91-120</x:v>
      </x:c>
      <x:c r="O1214" s="9" t="n">
        <x:f>IF(J1214&gt;0,1,0)</x:f>
        <x:v>1</x:v>
      </x:c>
    </x:row>
    <x:row r="1215">
      <x:c r="A1215" s="15" t="str">
        <x:v>1211</x:v>
      </x:c>
      <x:c r="B1215" s="9" t="str">
        <x:v>Morgan</x:v>
      </x:c>
      <x:c r="C1215" s="9" t="str">
        <x:v>Medical</x:v>
      </x:c>
      <x:c r="D1215" s="9" t="str">
        <x:v>West</x:v>
      </x:c>
      <x:c r="E1215" s="9" t="n">
        <x:v>471</x:v>
      </x:c>
      <x:c r="F1215" s="11" t="n">
        <x:v>46036</x:v>
      </x:c>
      <x:c r="G1215" s="13" t="n">
        <x:v>4818.29</x:v>
      </x:c>
      <x:c r="H1215" s="9" t="n">
        <x:v>230</x:v>
      </x:c>
      <x:c r="I1215" s="9" t="n">
        <x:v>0</x:v>
      </x:c>
      <x:c r="J1215" s="9" t="n">
        <x:v>0</x:v>
      </x:c>
      <x:c r="K1215" s="9" t="n">
        <x:v>0</x:v>
      </x:c>
      <x:c r="L1215" s="13" t="n">
        <x:f>SUMIFS('Payments'!$D$5:$D$3014,'Payments'!$B$5:$B$3014,A1215)</x:f>
        <x:v>471.09000000000003</x:v>
      </x:c>
      <x:c r="M1215" s="13" t="n">
        <x:f>G1215-L1215</x:f>
        <x:v>4347.2</x:v>
      </x:c>
      <x:c r="N1215" s="9" t="str">
        <x:f>IF(H1215=0,"0 Current",IF(H1215&lt;=30,"1 1-30",IF(H1215&lt;=60,"2 31-60",IF(H1215&lt;=90,"3 61-90",IF(H1215&lt;=120,"4 91-120","5 121+")))))</x:f>
        <x:v>5 121+</x:v>
      </x:c>
      <x:c r="O1215" s="9" t="n">
        <x:f>IF(J1215&gt;0,1,0)</x:f>
        <x:v>0</x:v>
      </x:c>
    </x:row>
    <x:row r="1216">
      <x:c r="A1216" s="15" t="str">
        <x:v>1212</x:v>
      </x:c>
      <x:c r="B1216" s="9" t="str">
        <x:v>Taylor</x:v>
      </x:c>
      <x:c r="C1216" s="9" t="str">
        <x:v>Credit Card</x:v>
      </x:c>
      <x:c r="D1216" s="9" t="str">
        <x:v>West</x:v>
      </x:c>
      <x:c r="E1216" s="9" t="n">
        <x:v>720</x:v>
      </x:c>
      <x:c r="F1216" s="11" t="n">
        <x:v>46062</x:v>
      </x:c>
      <x:c r="G1216" s="13" t="n">
        <x:v>17791.7</x:v>
      </x:c>
      <x:c r="H1216" s="9" t="n">
        <x:v>114</x:v>
      </x:c>
      <x:c r="I1216" s="9" t="n">
        <x:v>3</x:v>
      </x:c>
      <x:c r="J1216" s="9" t="n">
        <x:v>0</x:v>
      </x:c>
      <x:c r="K1216" s="9" t="n">
        <x:v>0</x:v>
      </x:c>
      <x:c r="L1216" s="13" t="n">
        <x:f>SUMIFS('Payments'!$D$5:$D$3014,'Payments'!$B$5:$B$3014,A1216)</x:f>
        <x:v>0</x:v>
      </x:c>
      <x:c r="M1216" s="13" t="n">
        <x:f>G1216-L1216</x:f>
        <x:v>17791.7</x:v>
      </x:c>
      <x:c r="N1216" s="9" t="str">
        <x:f>IF(H1216=0,"0 Current",IF(H1216&lt;=30,"1 1-30",IF(H1216&lt;=60,"2 31-60",IF(H1216&lt;=90,"3 61-90",IF(H1216&lt;=120,"4 91-120","5 121+")))))</x:f>
        <x:v>4 91-120</x:v>
      </x:c>
      <x:c r="O1216" s="9" t="n">
        <x:f>IF(J1216&gt;0,1,0)</x:f>
        <x:v>0</x:v>
      </x:c>
    </x:row>
    <x:row r="1217">
      <x:c r="A1217" s="15" t="str">
        <x:v>1213</x:v>
      </x:c>
      <x:c r="B1217" s="9" t="str">
        <x:v>Riley</x:v>
      </x:c>
      <x:c r="C1217" s="9" t="str">
        <x:v>Auto</x:v>
      </x:c>
      <x:c r="D1217" s="9" t="str">
        <x:v>Northeast</x:v>
      </x:c>
      <x:c r="E1217" s="9" t="n">
        <x:v>579</x:v>
      </x:c>
      <x:c r="F1217" s="11" t="n">
        <x:v>46125</x:v>
      </x:c>
      <x:c r="G1217" s="13" t="n">
        <x:v>6800.79</x:v>
      </x:c>
      <x:c r="H1217" s="9" t="n">
        <x:v>140</x:v>
      </x:c>
      <x:c r="I1217" s="9" t="n">
        <x:v>8</x:v>
      </x:c>
      <x:c r="J1217" s="9" t="n">
        <x:v>4</x:v>
      </x:c>
      <x:c r="K1217" s="9" t="n">
        <x:v>1</x:v>
      </x:c>
      <x:c r="L1217" s="13" t="n">
        <x:f>SUMIFS('Payments'!$D$5:$D$3014,'Payments'!$B$5:$B$3014,A1217)</x:f>
        <x:v>397.95</x:v>
      </x:c>
      <x:c r="M1217" s="13" t="n">
        <x:f>G1217-L1217</x:f>
        <x:v>6402.84</x:v>
      </x:c>
      <x:c r="N1217" s="9" t="str">
        <x:f>IF(H1217=0,"0 Current",IF(H1217&lt;=30,"1 1-30",IF(H1217&lt;=60,"2 31-60",IF(H1217&lt;=90,"3 61-90",IF(H1217&lt;=120,"4 91-120","5 121+")))))</x:f>
        <x:v>5 121+</x:v>
      </x:c>
      <x:c r="O1217" s="9" t="n">
        <x:f>IF(J1217&gt;0,1,0)</x:f>
        <x:v>1</x:v>
      </x:c>
    </x:row>
    <x:row r="1218">
      <x:c r="A1218" s="15" t="str">
        <x:v>1214</x:v>
      </x:c>
      <x:c r="B1218" s="9" t="str">
        <x:v>Morgan</x:v>
      </x:c>
      <x:c r="C1218" s="9" t="str">
        <x:v>Auto</x:v>
      </x:c>
      <x:c r="D1218" s="9" t="str">
        <x:v>West</x:v>
      </x:c>
      <x:c r="E1218" s="9" t="n">
        <x:v>420</x:v>
      </x:c>
      <x:c r="F1218" s="11" t="n">
        <x:v>46161</x:v>
      </x:c>
      <x:c r="G1218" s="13" t="n">
        <x:v>591.52</x:v>
      </x:c>
      <x:c r="H1218" s="9" t="n">
        <x:v>219</x:v>
      </x:c>
      <x:c r="I1218" s="9" t="n">
        <x:v>2</x:v>
      </x:c>
      <x:c r="J1218" s="9" t="n">
        <x:v>0</x:v>
      </x:c>
      <x:c r="K1218" s="9" t="n">
        <x:v>0</x:v>
      </x:c>
      <x:c r="L1218" s="13" t="n">
        <x:f>SUMIFS('Payments'!$D$5:$D$3014,'Payments'!$B$5:$B$3014,A1218)</x:f>
        <x:v>0</x:v>
      </x:c>
      <x:c r="M1218" s="13" t="n">
        <x:f>G1218-L1218</x:f>
        <x:v>591.52</x:v>
      </x:c>
      <x:c r="N1218" s="9" t="str">
        <x:f>IF(H1218=0,"0 Current",IF(H1218&lt;=30,"1 1-30",IF(H1218&lt;=60,"2 31-60",IF(H1218&lt;=90,"3 61-90",IF(H1218&lt;=120,"4 91-120","5 121+")))))</x:f>
        <x:v>5 121+</x:v>
      </x:c>
      <x:c r="O1218" s="9" t="n">
        <x:f>IF(J1218&gt;0,1,0)</x:f>
        <x:v>0</x:v>
      </x:c>
    </x:row>
    <x:row r="1219">
      <x:c r="A1219" s="15" t="str">
        <x:v>1215</x:v>
      </x:c>
      <x:c r="B1219" s="9" t="str">
        <x:v>Casey</x:v>
      </x:c>
      <x:c r="C1219" s="9" t="str">
        <x:v>Medical</x:v>
      </x:c>
      <x:c r="D1219" s="9" t="str">
        <x:v>Midwest</x:v>
      </x:c>
      <x:c r="E1219" s="9" t="n">
        <x:v>503</x:v>
      </x:c>
      <x:c r="F1219" s="11" t="n">
        <x:v>46031</x:v>
      </x:c>
      <x:c r="G1219" s="13" t="n">
        <x:v>22745.9</x:v>
      </x:c>
      <x:c r="H1219" s="9" t="n">
        <x:v>159</x:v>
      </x:c>
      <x:c r="I1219" s="9" t="n">
        <x:v>7</x:v>
      </x:c>
      <x:c r="J1219" s="9" t="n">
        <x:v>2</x:v>
      </x:c>
      <x:c r="K1219" s="9" t="n">
        <x:v>1</x:v>
      </x:c>
      <x:c r="L1219" s="13" t="n">
        <x:f>SUMIFS('Payments'!$D$5:$D$3014,'Payments'!$B$5:$B$3014,A1219)</x:f>
        <x:v>0</x:v>
      </x:c>
      <x:c r="M1219" s="13" t="n">
        <x:f>G1219-L1219</x:f>
        <x:v>22745.9</x:v>
      </x:c>
      <x:c r="N1219" s="9" t="str">
        <x:f>IF(H1219=0,"0 Current",IF(H1219&lt;=30,"1 1-30",IF(H1219&lt;=60,"2 31-60",IF(H1219&lt;=90,"3 61-90",IF(H1219&lt;=120,"4 91-120","5 121+")))))</x:f>
        <x:v>5 121+</x:v>
      </x:c>
      <x:c r="O1219" s="9" t="n">
        <x:f>IF(J1219&gt;0,1,0)</x:f>
        <x:v>1</x:v>
      </x:c>
    </x:row>
    <x:row r="1220">
      <x:c r="A1220" s="15" t="str">
        <x:v>1216</x:v>
      </x:c>
      <x:c r="B1220" s="9" t="str">
        <x:v>Riley</x:v>
      </x:c>
      <x:c r="C1220" s="9" t="str">
        <x:v>Credit Card</x:v>
      </x:c>
      <x:c r="D1220" s="9" t="str">
        <x:v>West</x:v>
      </x:c>
      <x:c r="E1220" s="9" t="n">
        <x:v>736</x:v>
      </x:c>
      <x:c r="F1220" s="11" t="n">
        <x:v>46087</x:v>
      </x:c>
      <x:c r="G1220" s="13" t="n">
        <x:v>14509.3</x:v>
      </x:c>
      <x:c r="H1220" s="9" t="n">
        <x:v>20</x:v>
      </x:c>
      <x:c r="I1220" s="9" t="n">
        <x:v>4</x:v>
      </x:c>
      <x:c r="J1220" s="9" t="n">
        <x:v>2</x:v>
      </x:c>
      <x:c r="K1220" s="9" t="n">
        <x:v>0</x:v>
      </x:c>
      <x:c r="L1220" s="13" t="n">
        <x:f>SUMIFS('Payments'!$D$5:$D$3014,'Payments'!$B$5:$B$3014,A1220)</x:f>
        <x:v>38.71</x:v>
      </x:c>
      <x:c r="M1220" s="13" t="n">
        <x:f>G1220-L1220</x:f>
        <x:v>14470.59</x:v>
      </x:c>
      <x:c r="N1220" s="9" t="str">
        <x:f>IF(H1220=0,"0 Current",IF(H1220&lt;=30,"1 1-30",IF(H1220&lt;=60,"2 31-60",IF(H1220&lt;=90,"3 61-90",IF(H1220&lt;=120,"4 91-120","5 121+")))))</x:f>
        <x:v>1 1-30</x:v>
      </x:c>
      <x:c r="O1220" s="9" t="n">
        <x:f>IF(J1220&gt;0,1,0)</x:f>
        <x:v>1</x:v>
      </x:c>
    </x:row>
    <x:row r="1221">
      <x:c r="A1221" s="15" t="str">
        <x:v>1217</x:v>
      </x:c>
      <x:c r="B1221" s="9" t="str">
        <x:v>Casey</x:v>
      </x:c>
      <x:c r="C1221" s="9" t="str">
        <x:v>Auto</x:v>
      </x:c>
      <x:c r="D1221" s="9" t="str">
        <x:v>South</x:v>
      </x:c>
      <x:c r="E1221" s="9" t="n">
        <x:v>719</x:v>
      </x:c>
      <x:c r="F1221" s="11" t="n">
        <x:v>46027</x:v>
      </x:c>
      <x:c r="G1221" s="13" t="n">
        <x:v>4275.91</x:v>
      </x:c>
      <x:c r="H1221" s="9" t="n">
        <x:v>93</x:v>
      </x:c>
      <x:c r="I1221" s="9" t="n">
        <x:v>8</x:v>
      </x:c>
      <x:c r="J1221" s="9" t="n">
        <x:v>2</x:v>
      </x:c>
      <x:c r="K1221" s="9" t="n">
        <x:v>0</x:v>
      </x:c>
      <x:c r="L1221" s="13" t="n">
        <x:f>SUMIFS('Payments'!$D$5:$D$3014,'Payments'!$B$5:$B$3014,A1221)</x:f>
        <x:v>15.86</x:v>
      </x:c>
      <x:c r="M1221" s="13" t="n">
        <x:f>G1221-L1221</x:f>
        <x:v>4260.05</x:v>
      </x:c>
      <x:c r="N1221" s="9" t="str">
        <x:f>IF(H1221=0,"0 Current",IF(H1221&lt;=30,"1 1-30",IF(H1221&lt;=60,"2 31-60",IF(H1221&lt;=90,"3 61-90",IF(H1221&lt;=120,"4 91-120","5 121+")))))</x:f>
        <x:v>4 91-120</x:v>
      </x:c>
      <x:c r="O1221" s="9" t="n">
        <x:f>IF(J1221&gt;0,1,0)</x:f>
        <x:v>1</x:v>
      </x:c>
    </x:row>
    <x:row r="1222">
      <x:c r="A1222" s="15" t="str">
        <x:v>1218</x:v>
      </x:c>
      <x:c r="B1222" s="9" t="str">
        <x:v>Casey</x:v>
      </x:c>
      <x:c r="C1222" s="9" t="str">
        <x:v>Personal Loan</x:v>
      </x:c>
      <x:c r="D1222" s="9" t="str">
        <x:v>West</x:v>
      </x:c>
      <x:c r="E1222" s="9" t="n">
        <x:v>515</x:v>
      </x:c>
      <x:c r="F1222" s="11" t="n">
        <x:v>46113</x:v>
      </x:c>
      <x:c r="G1222" s="13" t="n">
        <x:v>15383.89</x:v>
      </x:c>
      <x:c r="H1222" s="9" t="n">
        <x:v>128</x:v>
      </x:c>
      <x:c r="I1222" s="9" t="n">
        <x:v>8</x:v>
      </x:c>
      <x:c r="J1222" s="9" t="n">
        <x:v>3</x:v>
      </x:c>
      <x:c r="K1222" s="9" t="n">
        <x:v>0</x:v>
      </x:c>
      <x:c r="L1222" s="13" t="n">
        <x:f>SUMIFS('Payments'!$D$5:$D$3014,'Payments'!$B$5:$B$3014,A1222)</x:f>
        <x:v>0</x:v>
      </x:c>
      <x:c r="M1222" s="13" t="n">
        <x:f>G1222-L1222</x:f>
        <x:v>15383.89</x:v>
      </x:c>
      <x:c r="N1222" s="9" t="str">
        <x:f>IF(H1222=0,"0 Current",IF(H1222&lt;=30,"1 1-30",IF(H1222&lt;=60,"2 31-60",IF(H1222&lt;=90,"3 61-90",IF(H1222&lt;=120,"4 91-120","5 121+")))))</x:f>
        <x:v>5 121+</x:v>
      </x:c>
      <x:c r="O1222" s="9" t="n">
        <x:f>IF(J1222&gt;0,1,0)</x:f>
        <x:v>1</x:v>
      </x:c>
    </x:row>
    <x:row r="1223">
      <x:c r="A1223" s="15" t="str">
        <x:v>1219</x:v>
      </x:c>
      <x:c r="B1223" s="9" t="str">
        <x:v>Taylor</x:v>
      </x:c>
      <x:c r="C1223" s="9" t="str">
        <x:v>Auto</x:v>
      </x:c>
      <x:c r="D1223" s="9" t="str">
        <x:v>West</x:v>
      </x:c>
      <x:c r="E1223" s="9" t="n">
        <x:v>442</x:v>
      </x:c>
      <x:c r="F1223" s="11" t="n">
        <x:v>46117</x:v>
      </x:c>
      <x:c r="G1223" s="13" t="n">
        <x:v>12094.95</x:v>
      </x:c>
      <x:c r="H1223" s="9" t="n">
        <x:v>38</x:v>
      </x:c>
      <x:c r="I1223" s="9" t="n">
        <x:v>6</x:v>
      </x:c>
      <x:c r="J1223" s="9" t="n">
        <x:v>2</x:v>
      </x:c>
      <x:c r="K1223" s="9" t="n">
        <x:v>1</x:v>
      </x:c>
      <x:c r="L1223" s="13" t="n">
        <x:f>SUMIFS('Payments'!$D$5:$D$3014,'Payments'!$B$5:$B$3014,A1223)</x:f>
        <x:v>343.37</x:v>
      </x:c>
      <x:c r="M1223" s="13" t="n">
        <x:f>G1223-L1223</x:f>
        <x:v>11751.58</x:v>
      </x:c>
      <x:c r="N1223" s="9" t="str">
        <x:f>IF(H1223=0,"0 Current",IF(H1223&lt;=30,"1 1-30",IF(H1223&lt;=60,"2 31-60",IF(H1223&lt;=90,"3 61-90",IF(H1223&lt;=120,"4 91-120","5 121+")))))</x:f>
        <x:v>2 31-60</x:v>
      </x:c>
      <x:c r="O1223" s="9" t="n">
        <x:f>IF(J1223&gt;0,1,0)</x:f>
        <x:v>1</x:v>
      </x:c>
    </x:row>
    <x:row r="1224">
      <x:c r="A1224" s="15" t="str">
        <x:v>1220</x:v>
      </x:c>
      <x:c r="B1224" s="9" t="str">
        <x:v>Casey</x:v>
      </x:c>
      <x:c r="C1224" s="9" t="str">
        <x:v>Personal Loan</x:v>
      </x:c>
      <x:c r="D1224" s="9" t="str">
        <x:v>Northeast</x:v>
      </x:c>
      <x:c r="E1224" s="9" t="n">
        <x:v>537</x:v>
      </x:c>
      <x:c r="F1224" s="11" t="n">
        <x:v>46147</x:v>
      </x:c>
      <x:c r="G1224" s="13" t="n">
        <x:v>7805.62</x:v>
      </x:c>
      <x:c r="H1224" s="9" t="n">
        <x:v>47</x:v>
      </x:c>
      <x:c r="I1224" s="9" t="n">
        <x:v>0</x:v>
      </x:c>
      <x:c r="J1224" s="9" t="n">
        <x:v>0</x:v>
      </x:c>
      <x:c r="K1224" s="9" t="n">
        <x:v>0</x:v>
      </x:c>
      <x:c r="L1224" s="13" t="n">
        <x:f>SUMIFS('Payments'!$D$5:$D$3014,'Payments'!$B$5:$B$3014,A1224)</x:f>
        <x:v>2320.0699999999997</x:v>
      </x:c>
      <x:c r="M1224" s="13" t="n">
        <x:f>G1224-L1224</x:f>
        <x:v>5485.55</x:v>
      </x:c>
      <x:c r="N1224" s="9" t="str">
        <x:f>IF(H1224=0,"0 Current",IF(H1224&lt;=30,"1 1-30",IF(H1224&lt;=60,"2 31-60",IF(H1224&lt;=90,"3 61-90",IF(H1224&lt;=120,"4 91-120","5 121+")))))</x:f>
        <x:v>2 31-60</x:v>
      </x:c>
      <x:c r="O1224" s="9" t="n">
        <x:f>IF(J1224&gt;0,1,0)</x:f>
        <x:v>0</x:v>
      </x:c>
    </x:row>
    <x:row r="1225">
      <x:c r="A1225" s="15" t="str">
        <x:v>1221</x:v>
      </x:c>
      <x:c r="B1225" s="9" t="str">
        <x:v>Morgan</x:v>
      </x:c>
      <x:c r="C1225" s="9" t="str">
        <x:v>Auto</x:v>
      </x:c>
      <x:c r="D1225" s="9" t="str">
        <x:v>South</x:v>
      </x:c>
      <x:c r="E1225" s="9" t="n">
        <x:v>626</x:v>
      </x:c>
      <x:c r="F1225" s="11" t="n">
        <x:v>46121</x:v>
      </x:c>
      <x:c r="G1225" s="13" t="n">
        <x:v>17988.27</x:v>
      </x:c>
      <x:c r="H1225" s="9" t="n">
        <x:v>238</x:v>
      </x:c>
      <x:c r="I1225" s="9" t="n">
        <x:v>2</x:v>
      </x:c>
      <x:c r="J1225" s="9" t="n">
        <x:v>2</x:v>
      </x:c>
      <x:c r="K1225" s="9" t="n">
        <x:v>1</x:v>
      </x:c>
      <x:c r="L1225" s="13" t="n">
        <x:f>SUMIFS('Payments'!$D$5:$D$3014,'Payments'!$B$5:$B$3014,A1225)</x:f>
        <x:v>4536.67</x:v>
      </x:c>
      <x:c r="M1225" s="13" t="n">
        <x:f>G1225-L1225</x:f>
        <x:v>13451.6</x:v>
      </x:c>
      <x:c r="N1225" s="9" t="str">
        <x:f>IF(H1225=0,"0 Current",IF(H1225&lt;=30,"1 1-30",IF(H1225&lt;=60,"2 31-60",IF(H1225&lt;=90,"3 61-90",IF(H1225&lt;=120,"4 91-120","5 121+")))))</x:f>
        <x:v>5 121+</x:v>
      </x:c>
      <x:c r="O1225" s="9" t="n">
        <x:f>IF(J1225&gt;0,1,0)</x:f>
        <x:v>1</x:v>
      </x:c>
    </x:row>
    <x:row r="1226">
      <x:c r="A1226" s="15" t="str">
        <x:v>1222</x:v>
      </x:c>
      <x:c r="B1226" s="9" t="str">
        <x:v>Casey</x:v>
      </x:c>
      <x:c r="C1226" s="9" t="str">
        <x:v>Auto</x:v>
      </x:c>
      <x:c r="D1226" s="9" t="str">
        <x:v>Northeast</x:v>
      </x:c>
      <x:c r="E1226" s="9" t="n">
        <x:v>671</x:v>
      </x:c>
      <x:c r="F1226" s="11" t="n">
        <x:v>46163</x:v>
      </x:c>
      <x:c r="G1226" s="13" t="n">
        <x:v>10899.7</x:v>
      </x:c>
      <x:c r="H1226" s="9" t="n">
        <x:v>221</x:v>
      </x:c>
      <x:c r="I1226" s="9" t="n">
        <x:v>6</x:v>
      </x:c>
      <x:c r="J1226" s="9" t="n">
        <x:v>2</x:v>
      </x:c>
      <x:c r="K1226" s="9" t="n">
        <x:v>0</x:v>
      </x:c>
      <x:c r="L1226" s="13" t="n">
        <x:f>SUMIFS('Payments'!$D$5:$D$3014,'Payments'!$B$5:$B$3014,A1226)</x:f>
        <x:v>3169.1400000000003</x:v>
      </x:c>
      <x:c r="M1226" s="13" t="n">
        <x:f>G1226-L1226</x:f>
        <x:v>7730.56</x:v>
      </x:c>
      <x:c r="N1226" s="9" t="str">
        <x:f>IF(H1226=0,"0 Current",IF(H1226&lt;=30,"1 1-30",IF(H1226&lt;=60,"2 31-60",IF(H1226&lt;=90,"3 61-90",IF(H1226&lt;=120,"4 91-120","5 121+")))))</x:f>
        <x:v>5 121+</x:v>
      </x:c>
      <x:c r="O1226" s="9" t="n">
        <x:f>IF(J1226&gt;0,1,0)</x:f>
        <x:v>1</x:v>
      </x:c>
    </x:row>
    <x:row r="1227">
      <x:c r="A1227" s="15" t="str">
        <x:v>1223</x:v>
      </x:c>
      <x:c r="B1227" s="9" t="str">
        <x:v>Casey</x:v>
      </x:c>
      <x:c r="C1227" s="9" t="str">
        <x:v>Auto</x:v>
      </x:c>
      <x:c r="D1227" s="9" t="str">
        <x:v>South</x:v>
      </x:c>
      <x:c r="E1227" s="9" t="n">
        <x:v>495</x:v>
      </x:c>
      <x:c r="F1227" s="11" t="n">
        <x:v>46071</x:v>
      </x:c>
      <x:c r="G1227" s="13" t="n">
        <x:v>4049.96</x:v>
      </x:c>
      <x:c r="H1227" s="9" t="n">
        <x:v>2</x:v>
      </x:c>
      <x:c r="I1227" s="9" t="n">
        <x:v>0</x:v>
      </x:c>
      <x:c r="J1227" s="9" t="n">
        <x:v>0</x:v>
      </x:c>
      <x:c r="K1227" s="9" t="n">
        <x:v>0</x:v>
      </x:c>
      <x:c r="L1227" s="13" t="n">
        <x:f>SUMIFS('Payments'!$D$5:$D$3014,'Payments'!$B$5:$B$3014,A1227)</x:f>
        <x:v>0</x:v>
      </x:c>
      <x:c r="M1227" s="13" t="n">
        <x:f>G1227-L1227</x:f>
        <x:v>4049.96</x:v>
      </x:c>
      <x:c r="N1227" s="9" t="str">
        <x:f>IF(H1227=0,"0 Current",IF(H1227&lt;=30,"1 1-30",IF(H1227&lt;=60,"2 31-60",IF(H1227&lt;=90,"3 61-90",IF(H1227&lt;=120,"4 91-120","5 121+")))))</x:f>
        <x:v>1 1-30</x:v>
      </x:c>
      <x:c r="O1227" s="9" t="n">
        <x:f>IF(J1227&gt;0,1,0)</x:f>
        <x:v>0</x:v>
      </x:c>
    </x:row>
    <x:row r="1228">
      <x:c r="A1228" s="15" t="str">
        <x:v>1224</x:v>
      </x:c>
      <x:c r="B1228" s="9" t="str">
        <x:v>Jordan</x:v>
      </x:c>
      <x:c r="C1228" s="9" t="str">
        <x:v>Auto</x:v>
      </x:c>
      <x:c r="D1228" s="9" t="str">
        <x:v>South</x:v>
      </x:c>
      <x:c r="E1228" s="9" t="n">
        <x:v>423</x:v>
      </x:c>
      <x:c r="F1228" s="11" t="n">
        <x:v>46040</x:v>
      </x:c>
      <x:c r="G1228" s="13" t="n">
        <x:v>12646.4</x:v>
      </x:c>
      <x:c r="H1228" s="9" t="n">
        <x:v>238</x:v>
      </x:c>
      <x:c r="I1228" s="9" t="n">
        <x:v>4</x:v>
      </x:c>
      <x:c r="J1228" s="9" t="n">
        <x:v>0</x:v>
      </x:c>
      <x:c r="K1228" s="9" t="n">
        <x:v>0</x:v>
      </x:c>
      <x:c r="L1228" s="13" t="n">
        <x:f>SUMIFS('Payments'!$D$5:$D$3014,'Payments'!$B$5:$B$3014,A1228)</x:f>
        <x:v>1185.94</x:v>
      </x:c>
      <x:c r="M1228" s="13" t="n">
        <x:f>G1228-L1228</x:f>
        <x:v>11460.46</x:v>
      </x:c>
      <x:c r="N1228" s="9" t="str">
        <x:f>IF(H1228=0,"0 Current",IF(H1228&lt;=30,"1 1-30",IF(H1228&lt;=60,"2 31-60",IF(H1228&lt;=90,"3 61-90",IF(H1228&lt;=120,"4 91-120","5 121+")))))</x:f>
        <x:v>5 121+</x:v>
      </x:c>
      <x:c r="O1228" s="9" t="n">
        <x:f>IF(J1228&gt;0,1,0)</x:f>
        <x:v>0</x:v>
      </x:c>
    </x:row>
    <x:row r="1229">
      <x:c r="A1229" s="15" t="str">
        <x:v>1225</x:v>
      </x:c>
      <x:c r="B1229" s="9" t="str">
        <x:v>Morgan</x:v>
      </x:c>
      <x:c r="C1229" s="9" t="str">
        <x:v>Credit Card</x:v>
      </x:c>
      <x:c r="D1229" s="9" t="str">
        <x:v>West</x:v>
      </x:c>
      <x:c r="E1229" s="9" t="n">
        <x:v>445</x:v>
      </x:c>
      <x:c r="F1229" s="11" t="n">
        <x:v>46061</x:v>
      </x:c>
      <x:c r="G1229" s="13" t="n">
        <x:v>23298.72</x:v>
      </x:c>
      <x:c r="H1229" s="9" t="n">
        <x:v>151</x:v>
      </x:c>
      <x:c r="I1229" s="9" t="n">
        <x:v>0</x:v>
      </x:c>
      <x:c r="J1229" s="9" t="n">
        <x:v>0</x:v>
      </x:c>
      <x:c r="K1229" s="9" t="n">
        <x:v>0</x:v>
      </x:c>
      <x:c r="L1229" s="13" t="n">
        <x:f>SUMIFS('Payments'!$D$5:$D$3014,'Payments'!$B$5:$B$3014,A1229)</x:f>
        <x:v>6855.340000000001</x:v>
      </x:c>
      <x:c r="M1229" s="13" t="n">
        <x:f>G1229-L1229</x:f>
        <x:v>16443.38</x:v>
      </x:c>
      <x:c r="N1229" s="9" t="str">
        <x:f>IF(H1229=0,"0 Current",IF(H1229&lt;=30,"1 1-30",IF(H1229&lt;=60,"2 31-60",IF(H1229&lt;=90,"3 61-90",IF(H1229&lt;=120,"4 91-120","5 121+")))))</x:f>
        <x:v>5 121+</x:v>
      </x:c>
      <x:c r="O1229" s="9" t="n">
        <x:f>IF(J1229&gt;0,1,0)</x:f>
        <x:v>0</x:v>
      </x:c>
    </x:row>
    <x:row r="1230">
      <x:c r="A1230" s="15" t="str">
        <x:v>1226</x:v>
      </x:c>
      <x:c r="B1230" s="9" t="str">
        <x:v>Alex</x:v>
      </x:c>
      <x:c r="C1230" s="9" t="str">
        <x:v>Medical</x:v>
      </x:c>
      <x:c r="D1230" s="9" t="str">
        <x:v>Northeast</x:v>
      </x:c>
      <x:c r="E1230" s="9" t="n">
        <x:v>725</x:v>
      </x:c>
      <x:c r="F1230" s="11" t="n">
        <x:v>46107</x:v>
      </x:c>
      <x:c r="G1230" s="13" t="n">
        <x:v>6847.31</x:v>
      </x:c>
      <x:c r="H1230" s="9" t="n">
        <x:v>59</x:v>
      </x:c>
      <x:c r="I1230" s="9" t="n">
        <x:v>6</x:v>
      </x:c>
      <x:c r="J1230" s="9" t="n">
        <x:v>4</x:v>
      </x:c>
      <x:c r="K1230" s="9" t="n">
        <x:v>1</x:v>
      </x:c>
      <x:c r="L1230" s="13" t="n">
        <x:f>SUMIFS('Payments'!$D$5:$D$3014,'Payments'!$B$5:$B$3014,A1230)</x:f>
        <x:v>1071.65</x:v>
      </x:c>
      <x:c r="M1230" s="13" t="n">
        <x:f>G1230-L1230</x:f>
        <x:v>5775.66</x:v>
      </x:c>
      <x:c r="N1230" s="9" t="str">
        <x:f>IF(H1230=0,"0 Current",IF(H1230&lt;=30,"1 1-30",IF(H1230&lt;=60,"2 31-60",IF(H1230&lt;=90,"3 61-90",IF(H1230&lt;=120,"4 91-120","5 121+")))))</x:f>
        <x:v>2 31-60</x:v>
      </x:c>
      <x:c r="O1230" s="9" t="n">
        <x:f>IF(J1230&gt;0,1,0)</x:f>
        <x:v>1</x:v>
      </x:c>
    </x:row>
    <x:row r="1231">
      <x:c r="A1231" s="15" t="str">
        <x:v>1227</x:v>
      </x:c>
      <x:c r="B1231" s="9" t="str">
        <x:v>Morgan</x:v>
      </x:c>
      <x:c r="C1231" s="9" t="str">
        <x:v>Medical</x:v>
      </x:c>
      <x:c r="D1231" s="9" t="str">
        <x:v>Midwest</x:v>
      </x:c>
      <x:c r="E1231" s="9" t="n">
        <x:v>567</x:v>
      </x:c>
      <x:c r="F1231" s="11" t="n">
        <x:v>46031</x:v>
      </x:c>
      <x:c r="G1231" s="13" t="n">
        <x:v>16019.82</x:v>
      </x:c>
      <x:c r="H1231" s="9" t="n">
        <x:v>225</x:v>
      </x:c>
      <x:c r="I1231" s="9" t="n">
        <x:v>1</x:v>
      </x:c>
      <x:c r="J1231" s="9" t="n">
        <x:v>1</x:v>
      </x:c>
      <x:c r="K1231" s="9" t="n">
        <x:v>0</x:v>
      </x:c>
      <x:c r="L1231" s="13" t="n">
        <x:f>SUMIFS('Payments'!$D$5:$D$3014,'Payments'!$B$5:$B$3014,A1231)</x:f>
        <x:v>0</x:v>
      </x:c>
      <x:c r="M1231" s="13" t="n">
        <x:f>G1231-L1231</x:f>
        <x:v>16019.82</x:v>
      </x:c>
      <x:c r="N1231" s="9" t="str">
        <x:f>IF(H1231=0,"0 Current",IF(H1231&lt;=30,"1 1-30",IF(H1231&lt;=60,"2 31-60",IF(H1231&lt;=90,"3 61-90",IF(H1231&lt;=120,"4 91-120","5 121+")))))</x:f>
        <x:v>5 121+</x:v>
      </x:c>
      <x:c r="O1231" s="9" t="n">
        <x:f>IF(J1231&gt;0,1,0)</x:f>
        <x:v>1</x:v>
      </x:c>
    </x:row>
    <x:row r="1232">
      <x:c r="A1232" s="15" t="str">
        <x:v>1228</x:v>
      </x:c>
      <x:c r="B1232" s="9" t="str">
        <x:v>Morgan</x:v>
      </x:c>
      <x:c r="C1232" s="9" t="str">
        <x:v>Auto</x:v>
      </x:c>
      <x:c r="D1232" s="9" t="str">
        <x:v>Northeast</x:v>
      </x:c>
      <x:c r="E1232" s="9" t="n">
        <x:v>565</x:v>
      </x:c>
      <x:c r="F1232" s="11" t="n">
        <x:v>46085</x:v>
      </x:c>
      <x:c r="G1232" s="13" t="n">
        <x:v>616.52</x:v>
      </x:c>
      <x:c r="H1232" s="9" t="n">
        <x:v>25</x:v>
      </x:c>
      <x:c r="I1232" s="9" t="n">
        <x:v>4</x:v>
      </x:c>
      <x:c r="J1232" s="9" t="n">
        <x:v>2</x:v>
      </x:c>
      <x:c r="K1232" s="9" t="n">
        <x:v>0</x:v>
      </x:c>
      <x:c r="L1232" s="13" t="n">
        <x:f>SUMIFS('Payments'!$D$5:$D$3014,'Payments'!$B$5:$B$3014,A1232)</x:f>
        <x:v>177.7</x:v>
      </x:c>
      <x:c r="M1232" s="13" t="n">
        <x:f>G1232-L1232</x:f>
        <x:v>438.82</x:v>
      </x:c>
      <x:c r="N1232" s="9" t="str">
        <x:f>IF(H1232=0,"0 Current",IF(H1232&lt;=30,"1 1-30",IF(H1232&lt;=60,"2 31-60",IF(H1232&lt;=90,"3 61-90",IF(H1232&lt;=120,"4 91-120","5 121+")))))</x:f>
        <x:v>1 1-30</x:v>
      </x:c>
      <x:c r="O1232" s="9" t="n">
        <x:f>IF(J1232&gt;0,1,0)</x:f>
        <x:v>1</x:v>
      </x:c>
    </x:row>
    <x:row r="1233">
      <x:c r="A1233" s="15" t="str">
        <x:v>1229</x:v>
      </x:c>
      <x:c r="B1233" s="9" t="str">
        <x:v>Alex</x:v>
      </x:c>
      <x:c r="C1233" s="9" t="str">
        <x:v>Auto</x:v>
      </x:c>
      <x:c r="D1233" s="9" t="str">
        <x:v>South</x:v>
      </x:c>
      <x:c r="E1233" s="9" t="n">
        <x:v>560</x:v>
      </x:c>
      <x:c r="F1233" s="11" t="n">
        <x:v>46104</x:v>
      </x:c>
      <x:c r="G1233" s="13" t="n">
        <x:v>9959.76</x:v>
      </x:c>
      <x:c r="H1233" s="9" t="n">
        <x:v>169</x:v>
      </x:c>
      <x:c r="I1233" s="9" t="n">
        <x:v>3</x:v>
      </x:c>
      <x:c r="J1233" s="9" t="n">
        <x:v>1</x:v>
      </x:c>
      <x:c r="K1233" s="9" t="n">
        <x:v>1</x:v>
      </x:c>
      <x:c r="L1233" s="13" t="n">
        <x:f>SUMIFS('Payments'!$D$5:$D$3014,'Payments'!$B$5:$B$3014,A1233)</x:f>
        <x:v>1291.3300000000002</x:v>
      </x:c>
      <x:c r="M1233" s="13" t="n">
        <x:f>G1233-L1233</x:f>
        <x:v>8668.43</x:v>
      </x:c>
      <x:c r="N1233" s="9" t="str">
        <x:f>IF(H1233=0,"0 Current",IF(H1233&lt;=30,"1 1-30",IF(H1233&lt;=60,"2 31-60",IF(H1233&lt;=90,"3 61-90",IF(H1233&lt;=120,"4 91-120","5 121+")))))</x:f>
        <x:v>5 121+</x:v>
      </x:c>
      <x:c r="O1233" s="9" t="n">
        <x:f>IF(J1233&gt;0,1,0)</x:f>
        <x:v>1</x:v>
      </x:c>
    </x:row>
    <x:row r="1234">
      <x:c r="A1234" s="15" t="str">
        <x:v>1230</x:v>
      </x:c>
      <x:c r="B1234" s="9" t="str">
        <x:v>Riley</x:v>
      </x:c>
      <x:c r="C1234" s="9" t="str">
        <x:v>Credit Card</x:v>
      </x:c>
      <x:c r="D1234" s="9" t="str">
        <x:v>Midwest</x:v>
      </x:c>
      <x:c r="E1234" s="9" t="n">
        <x:v>552</x:v>
      </x:c>
      <x:c r="F1234" s="11" t="n">
        <x:v>46130</x:v>
      </x:c>
      <x:c r="G1234" s="13" t="n">
        <x:v>4113.85</x:v>
      </x:c>
      <x:c r="H1234" s="9" t="n">
        <x:v>37</x:v>
      </x:c>
      <x:c r="I1234" s="9" t="n">
        <x:v>8</x:v>
      </x:c>
      <x:c r="J1234" s="9" t="n">
        <x:v>3</x:v>
      </x:c>
      <x:c r="K1234" s="9" t="n">
        <x:v>0</x:v>
      </x:c>
      <x:c r="L1234" s="13" t="n">
        <x:f>SUMIFS('Payments'!$D$5:$D$3014,'Payments'!$B$5:$B$3014,A1234)</x:f>
        <x:v>814.81</x:v>
      </x:c>
      <x:c r="M1234" s="13" t="n">
        <x:f>G1234-L1234</x:f>
        <x:v>3299.0400000000004</x:v>
      </x:c>
      <x:c r="N1234" s="9" t="str">
        <x:f>IF(H1234=0,"0 Current",IF(H1234&lt;=30,"1 1-30",IF(H1234&lt;=60,"2 31-60",IF(H1234&lt;=90,"3 61-90",IF(H1234&lt;=120,"4 91-120","5 121+")))))</x:f>
        <x:v>2 31-60</x:v>
      </x:c>
      <x:c r="O1234" s="9" t="n">
        <x:f>IF(J1234&gt;0,1,0)</x:f>
        <x:v>1</x:v>
      </x:c>
    </x:row>
    <x:row r="1235">
      <x:c r="A1235" s="15" t="str">
        <x:v>1231</x:v>
      </x:c>
      <x:c r="B1235" s="9" t="str">
        <x:v>Morgan</x:v>
      </x:c>
      <x:c r="C1235" s="9" t="str">
        <x:v>Medical</x:v>
      </x:c>
      <x:c r="D1235" s="9" t="str">
        <x:v>South</x:v>
      </x:c>
      <x:c r="E1235" s="9" t="n">
        <x:v>787</x:v>
      </x:c>
      <x:c r="F1235" s="11" t="n">
        <x:v>46136</x:v>
      </x:c>
      <x:c r="G1235" s="13" t="n">
        <x:v>22920.44</x:v>
      </x:c>
      <x:c r="H1235" s="9" t="n">
        <x:v>80</x:v>
      </x:c>
      <x:c r="I1235" s="9" t="n">
        <x:v>0</x:v>
      </x:c>
      <x:c r="J1235" s="9" t="n">
        <x:v>0</x:v>
      </x:c>
      <x:c r="K1235" s="9" t="n">
        <x:v>0</x:v>
      </x:c>
      <x:c r="L1235" s="13" t="n">
        <x:f>SUMIFS('Payments'!$D$5:$D$3014,'Payments'!$B$5:$B$3014,A1235)</x:f>
        <x:v>0</x:v>
      </x:c>
      <x:c r="M1235" s="13" t="n">
        <x:f>G1235-L1235</x:f>
        <x:v>22920.44</x:v>
      </x:c>
      <x:c r="N1235" s="9" t="str">
        <x:f>IF(H1235=0,"0 Current",IF(H1235&lt;=30,"1 1-30",IF(H1235&lt;=60,"2 31-60",IF(H1235&lt;=90,"3 61-90",IF(H1235&lt;=120,"4 91-120","5 121+")))))</x:f>
        <x:v>3 61-90</x:v>
      </x:c>
      <x:c r="O1235" s="9" t="n">
        <x:f>IF(J1235&gt;0,1,0)</x:f>
        <x:v>0</x:v>
      </x:c>
    </x:row>
    <x:row r="1236">
      <x:c r="A1236" s="15" t="str">
        <x:v>1232</x:v>
      </x:c>
      <x:c r="B1236" s="9" t="str">
        <x:v>Jordan</x:v>
      </x:c>
      <x:c r="C1236" s="9" t="str">
        <x:v>Credit Card</x:v>
      </x:c>
      <x:c r="D1236" s="9" t="str">
        <x:v>Midwest</x:v>
      </x:c>
      <x:c r="E1236" s="9" t="n">
        <x:v>622</x:v>
      </x:c>
      <x:c r="F1236" s="11" t="n">
        <x:v>46143</x:v>
      </x:c>
      <x:c r="G1236" s="13" t="n">
        <x:v>17845.07</x:v>
      </x:c>
      <x:c r="H1236" s="9" t="n">
        <x:v>201</x:v>
      </x:c>
      <x:c r="I1236" s="9" t="n">
        <x:v>1</x:v>
      </x:c>
      <x:c r="J1236" s="9" t="n">
        <x:v>1</x:v>
      </x:c>
      <x:c r="K1236" s="9" t="n">
        <x:v>0</x:v>
      </x:c>
      <x:c r="L1236" s="13" t="n">
        <x:f>SUMIFS('Payments'!$D$5:$D$3014,'Payments'!$B$5:$B$3014,A1236)</x:f>
        <x:v>5532.87</x:v>
      </x:c>
      <x:c r="M1236" s="13" t="n">
        <x:f>G1236-L1236</x:f>
        <x:v>12312.2</x:v>
      </x:c>
      <x:c r="N1236" s="9" t="str">
        <x:f>IF(H1236=0,"0 Current",IF(H1236&lt;=30,"1 1-30",IF(H1236&lt;=60,"2 31-60",IF(H1236&lt;=90,"3 61-90",IF(H1236&lt;=120,"4 91-120","5 121+")))))</x:f>
        <x:v>5 121+</x:v>
      </x:c>
      <x:c r="O1236" s="9" t="n">
        <x:f>IF(J1236&gt;0,1,0)</x:f>
        <x:v>1</x:v>
      </x:c>
    </x:row>
    <x:row r="1237">
      <x:c r="A1237" s="15" t="str">
        <x:v>1233</x:v>
      </x:c>
      <x:c r="B1237" s="9" t="str">
        <x:v>Riley</x:v>
      </x:c>
      <x:c r="C1237" s="9" t="str">
        <x:v>Credit Card</x:v>
      </x:c>
      <x:c r="D1237" s="9" t="str">
        <x:v>Northeast</x:v>
      </x:c>
      <x:c r="E1237" s="9" t="n">
        <x:v>559</x:v>
      </x:c>
      <x:c r="F1237" s="11" t="n">
        <x:v>46065</x:v>
      </x:c>
      <x:c r="G1237" s="13" t="n">
        <x:v>23074.28</x:v>
      </x:c>
      <x:c r="H1237" s="9" t="n">
        <x:v>68</x:v>
      </x:c>
      <x:c r="I1237" s="9" t="n">
        <x:v>1</x:v>
      </x:c>
      <x:c r="J1237" s="9" t="n">
        <x:v>0</x:v>
      </x:c>
      <x:c r="K1237" s="9" t="n">
        <x:v>0</x:v>
      </x:c>
      <x:c r="L1237" s="13" t="n">
        <x:f>SUMIFS('Payments'!$D$5:$D$3014,'Payments'!$B$5:$B$3014,A1237)</x:f>
        <x:v>3371.87</x:v>
      </x:c>
      <x:c r="M1237" s="13" t="n">
        <x:f>G1237-L1237</x:f>
        <x:v>19702.41</x:v>
      </x:c>
      <x:c r="N1237" s="9" t="str">
        <x:f>IF(H1237=0,"0 Current",IF(H1237&lt;=30,"1 1-30",IF(H1237&lt;=60,"2 31-60",IF(H1237&lt;=90,"3 61-90",IF(H1237&lt;=120,"4 91-120","5 121+")))))</x:f>
        <x:v>3 61-90</x:v>
      </x:c>
      <x:c r="O1237" s="9" t="n">
        <x:f>IF(J1237&gt;0,1,0)</x:f>
        <x:v>0</x:v>
      </x:c>
    </x:row>
    <x:row r="1238">
      <x:c r="A1238" s="15" t="str">
        <x:v>1234</x:v>
      </x:c>
      <x:c r="B1238" s="9" t="str">
        <x:v>Riley</x:v>
      </x:c>
      <x:c r="C1238" s="9" t="str">
        <x:v>Credit Card</x:v>
      </x:c>
      <x:c r="D1238" s="9" t="str">
        <x:v>West</x:v>
      </x:c>
      <x:c r="E1238" s="9" t="n">
        <x:v>738</x:v>
      </x:c>
      <x:c r="F1238" s="11" t="n">
        <x:v>46111</x:v>
      </x:c>
      <x:c r="G1238" s="13" t="n">
        <x:v>15025.57</x:v>
      </x:c>
      <x:c r="H1238" s="9" t="n">
        <x:v>82</x:v>
      </x:c>
      <x:c r="I1238" s="9" t="n">
        <x:v>3</x:v>
      </x:c>
      <x:c r="J1238" s="9" t="n">
        <x:v>2</x:v>
      </x:c>
      <x:c r="K1238" s="9" t="n">
        <x:v>0</x:v>
      </x:c>
      <x:c r="L1238" s="13" t="n">
        <x:f>SUMIFS('Payments'!$D$5:$D$3014,'Payments'!$B$5:$B$3014,A1238)</x:f>
        <x:v>4090.08</x:v>
      </x:c>
      <x:c r="M1238" s="13" t="n">
        <x:f>G1238-L1238</x:f>
        <x:v>10935.49</x:v>
      </x:c>
      <x:c r="N1238" s="9" t="str">
        <x:f>IF(H1238=0,"0 Current",IF(H1238&lt;=30,"1 1-30",IF(H1238&lt;=60,"2 31-60",IF(H1238&lt;=90,"3 61-90",IF(H1238&lt;=120,"4 91-120","5 121+")))))</x:f>
        <x:v>3 61-90</x:v>
      </x:c>
      <x:c r="O1238" s="9" t="n">
        <x:f>IF(J1238&gt;0,1,0)</x:f>
        <x:v>1</x:v>
      </x:c>
    </x:row>
    <x:row r="1239">
      <x:c r="A1239" s="15" t="str">
        <x:v>1235</x:v>
      </x:c>
      <x:c r="B1239" s="9" t="str">
        <x:v>Jordan</x:v>
      </x:c>
      <x:c r="C1239" s="9" t="str">
        <x:v>Medical</x:v>
      </x:c>
      <x:c r="D1239" s="9" t="str">
        <x:v>Northeast</x:v>
      </x:c>
      <x:c r="E1239" s="9" t="n">
        <x:v>613</x:v>
      </x:c>
      <x:c r="F1239" s="11" t="n">
        <x:v>46023</x:v>
      </x:c>
      <x:c r="G1239" s="13" t="n">
        <x:v>2621.41</x:v>
      </x:c>
      <x:c r="H1239" s="9" t="n">
        <x:v>228</x:v>
      </x:c>
      <x:c r="I1239" s="9" t="n">
        <x:v>4</x:v>
      </x:c>
      <x:c r="J1239" s="9" t="n">
        <x:v>3</x:v>
      </x:c>
      <x:c r="K1239" s="9" t="n">
        <x:v>1</x:v>
      </x:c>
      <x:c r="L1239" s="13" t="n">
        <x:f>SUMIFS('Payments'!$D$5:$D$3014,'Payments'!$B$5:$B$3014,A1239)</x:f>
        <x:v>0</x:v>
      </x:c>
      <x:c r="M1239" s="13" t="n">
        <x:f>G1239-L1239</x:f>
        <x:v>2621.41</x:v>
      </x:c>
      <x:c r="N1239" s="9" t="str">
        <x:f>IF(H1239=0,"0 Current",IF(H1239&lt;=30,"1 1-30",IF(H1239&lt;=60,"2 31-60",IF(H1239&lt;=90,"3 61-90",IF(H1239&lt;=120,"4 91-120","5 121+")))))</x:f>
        <x:v>5 121+</x:v>
      </x:c>
      <x:c r="O1239" s="9" t="n">
        <x:f>IF(J1239&gt;0,1,0)</x:f>
        <x:v>1</x:v>
      </x:c>
    </x:row>
    <x:row r="1240">
      <x:c r="A1240" s="15" t="str">
        <x:v>1236</x:v>
      </x:c>
      <x:c r="B1240" s="9" t="str">
        <x:v>Casey</x:v>
      </x:c>
      <x:c r="C1240" s="9" t="str">
        <x:v>Credit Card</x:v>
      </x:c>
      <x:c r="D1240" s="9" t="str">
        <x:v>South</x:v>
      </x:c>
      <x:c r="E1240" s="9" t="n">
        <x:v>609</x:v>
      </x:c>
      <x:c r="F1240" s="11" t="n">
        <x:v>46162</x:v>
      </x:c>
      <x:c r="G1240" s="13" t="n">
        <x:v>6775.15</x:v>
      </x:c>
      <x:c r="H1240" s="9" t="n">
        <x:v>174</x:v>
      </x:c>
      <x:c r="I1240" s="9" t="n">
        <x:v>6</x:v>
      </x:c>
      <x:c r="J1240" s="9" t="n">
        <x:v>4</x:v>
      </x:c>
      <x:c r="K1240" s="9" t="n">
        <x:v>1</x:v>
      </x:c>
      <x:c r="L1240" s="13" t="n">
        <x:f>SUMIFS('Payments'!$D$5:$D$3014,'Payments'!$B$5:$B$3014,A1240)</x:f>
        <x:v>781.44</x:v>
      </x:c>
      <x:c r="M1240" s="13" t="n">
        <x:f>G1240-L1240</x:f>
        <x:v>5993.709999999999</x:v>
      </x:c>
      <x:c r="N1240" s="9" t="str">
        <x:f>IF(H1240=0,"0 Current",IF(H1240&lt;=30,"1 1-30",IF(H1240&lt;=60,"2 31-60",IF(H1240&lt;=90,"3 61-90",IF(H1240&lt;=120,"4 91-120","5 121+")))))</x:f>
        <x:v>5 121+</x:v>
      </x:c>
      <x:c r="O1240" s="9" t="n">
        <x:f>IF(J1240&gt;0,1,0)</x:f>
        <x:v>1</x:v>
      </x:c>
    </x:row>
    <x:row r="1241">
      <x:c r="A1241" s="15" t="str">
        <x:v>1237</x:v>
      </x:c>
      <x:c r="B1241" s="9" t="str">
        <x:v>Alex</x:v>
      </x:c>
      <x:c r="C1241" s="9" t="str">
        <x:v>Auto</x:v>
      </x:c>
      <x:c r="D1241" s="9" t="str">
        <x:v>South</x:v>
      </x:c>
      <x:c r="E1241" s="9" t="n">
        <x:v>659</x:v>
      </x:c>
      <x:c r="F1241" s="11" t="n">
        <x:v>46159</x:v>
      </x:c>
      <x:c r="G1241" s="13" t="n">
        <x:v>23169.57</x:v>
      </x:c>
      <x:c r="H1241" s="9" t="n">
        <x:v>82</x:v>
      </x:c>
      <x:c r="I1241" s="9" t="n">
        <x:v>6</x:v>
      </x:c>
      <x:c r="J1241" s="9" t="n">
        <x:v>4</x:v>
      </x:c>
      <x:c r="K1241" s="9" t="n">
        <x:v>0</x:v>
      </x:c>
      <x:c r="L1241" s="13" t="n">
        <x:f>SUMIFS('Payments'!$D$5:$D$3014,'Payments'!$B$5:$B$3014,A1241)</x:f>
        <x:v>1781.81</x:v>
      </x:c>
      <x:c r="M1241" s="13" t="n">
        <x:f>G1241-L1241</x:f>
        <x:v>21387.76</x:v>
      </x:c>
      <x:c r="N1241" s="9" t="str">
        <x:f>IF(H1241=0,"0 Current",IF(H1241&lt;=30,"1 1-30",IF(H1241&lt;=60,"2 31-60",IF(H1241&lt;=90,"3 61-90",IF(H1241&lt;=120,"4 91-120","5 121+")))))</x:f>
        <x:v>3 61-90</x:v>
      </x:c>
      <x:c r="O1241" s="9" t="n">
        <x:f>IF(J1241&gt;0,1,0)</x:f>
        <x:v>1</x:v>
      </x:c>
    </x:row>
    <x:row r="1242">
      <x:c r="A1242" s="15" t="str">
        <x:v>1238</x:v>
      </x:c>
      <x:c r="B1242" s="9" t="str">
        <x:v>Jordan</x:v>
      </x:c>
      <x:c r="C1242" s="9" t="str">
        <x:v>Credit Card</x:v>
      </x:c>
      <x:c r="D1242" s="9" t="str">
        <x:v>Midwest</x:v>
      </x:c>
      <x:c r="E1242" s="9" t="n">
        <x:v>747</x:v>
      </x:c>
      <x:c r="F1242" s="11" t="n">
        <x:v>46142</x:v>
      </x:c>
      <x:c r="G1242" s="13" t="n">
        <x:v>13082.11</x:v>
      </x:c>
      <x:c r="H1242" s="9" t="n">
        <x:v>195</x:v>
      </x:c>
      <x:c r="I1242" s="9" t="n">
        <x:v>7</x:v>
      </x:c>
      <x:c r="J1242" s="9" t="n">
        <x:v>5</x:v>
      </x:c>
      <x:c r="K1242" s="9" t="n">
        <x:v>1</x:v>
      </x:c>
      <x:c r="L1242" s="13" t="n">
        <x:f>SUMIFS('Payments'!$D$5:$D$3014,'Payments'!$B$5:$B$3014,A1242)</x:f>
        <x:v>4219.29</x:v>
      </x:c>
      <x:c r="M1242" s="13" t="n">
        <x:f>G1242-L1242</x:f>
        <x:v>8862.82</x:v>
      </x:c>
      <x:c r="N1242" s="9" t="str">
        <x:f>IF(H1242=0,"0 Current",IF(H1242&lt;=30,"1 1-30",IF(H1242&lt;=60,"2 31-60",IF(H1242&lt;=90,"3 61-90",IF(H1242&lt;=120,"4 91-120","5 121+")))))</x:f>
        <x:v>5 121+</x:v>
      </x:c>
      <x:c r="O1242" s="9" t="n">
        <x:f>IF(J1242&gt;0,1,0)</x:f>
        <x:v>1</x:v>
      </x:c>
    </x:row>
    <x:row r="1243">
      <x:c r="A1243" s="15" t="str">
        <x:v>1239</x:v>
      </x:c>
      <x:c r="B1243" s="9" t="str">
        <x:v>Alex</x:v>
      </x:c>
      <x:c r="C1243" s="9" t="str">
        <x:v>Medical</x:v>
      </x:c>
      <x:c r="D1243" s="9" t="str">
        <x:v>Northeast</x:v>
      </x:c>
      <x:c r="E1243" s="9" t="n">
        <x:v>625</x:v>
      </x:c>
      <x:c r="F1243" s="11" t="n">
        <x:v>46079</x:v>
      </x:c>
      <x:c r="G1243" s="13" t="n">
        <x:v>3807.66</x:v>
      </x:c>
      <x:c r="H1243" s="9" t="n">
        <x:v>207</x:v>
      </x:c>
      <x:c r="I1243" s="9" t="n">
        <x:v>8</x:v>
      </x:c>
      <x:c r="J1243" s="9" t="n">
        <x:v>3</x:v>
      </x:c>
      <x:c r="K1243" s="9" t="n">
        <x:v>1</x:v>
      </x:c>
      <x:c r="L1243" s="13" t="n">
        <x:f>SUMIFS('Payments'!$D$5:$D$3014,'Payments'!$B$5:$B$3014,A1243)</x:f>
        <x:v>693.1700000000001</x:v>
      </x:c>
      <x:c r="M1243" s="13" t="n">
        <x:f>G1243-L1243</x:f>
        <x:v>3114.49</x:v>
      </x:c>
      <x:c r="N1243" s="9" t="str">
        <x:f>IF(H1243=0,"0 Current",IF(H1243&lt;=30,"1 1-30",IF(H1243&lt;=60,"2 31-60",IF(H1243&lt;=90,"3 61-90",IF(H1243&lt;=120,"4 91-120","5 121+")))))</x:f>
        <x:v>5 121+</x:v>
      </x:c>
      <x:c r="O1243" s="9" t="n">
        <x:f>IF(J1243&gt;0,1,0)</x:f>
        <x:v>1</x:v>
      </x:c>
    </x:row>
    <x:row r="1244">
      <x:c r="A1244" s="15" t="str">
        <x:v>1240</x:v>
      </x:c>
      <x:c r="B1244" s="9" t="str">
        <x:v>Jordan</x:v>
      </x:c>
      <x:c r="C1244" s="9" t="str">
        <x:v>Auto</x:v>
      </x:c>
      <x:c r="D1244" s="9" t="str">
        <x:v>Northeast</x:v>
      </x:c>
      <x:c r="E1244" s="9" t="n">
        <x:v>502</x:v>
      </x:c>
      <x:c r="F1244" s="11" t="n">
        <x:v>46060</x:v>
      </x:c>
      <x:c r="G1244" s="13" t="n">
        <x:v>1258.72</x:v>
      </x:c>
      <x:c r="H1244" s="9" t="n">
        <x:v>173</x:v>
      </x:c>
      <x:c r="I1244" s="9" t="n">
        <x:v>7</x:v>
      </x:c>
      <x:c r="J1244" s="9" t="n">
        <x:v>4</x:v>
      </x:c>
      <x:c r="K1244" s="9" t="n">
        <x:v>1</x:v>
      </x:c>
      <x:c r="L1244" s="13" t="n">
        <x:f>SUMIFS('Payments'!$D$5:$D$3014,'Payments'!$B$5:$B$3014,A1244)</x:f>
        <x:v>0</x:v>
      </x:c>
      <x:c r="M1244" s="13" t="n">
        <x:f>G1244-L1244</x:f>
        <x:v>1258.72</x:v>
      </x:c>
      <x:c r="N1244" s="9" t="str">
        <x:f>IF(H1244=0,"0 Current",IF(H1244&lt;=30,"1 1-30",IF(H1244&lt;=60,"2 31-60",IF(H1244&lt;=90,"3 61-90",IF(H1244&lt;=120,"4 91-120","5 121+")))))</x:f>
        <x:v>5 121+</x:v>
      </x:c>
      <x:c r="O1244" s="9" t="n">
        <x:f>IF(J1244&gt;0,1,0)</x:f>
        <x:v>1</x:v>
      </x:c>
    </x:row>
    <x:row r="1245">
      <x:c r="A1245" s="15" t="str">
        <x:v>1241</x:v>
      </x:c>
      <x:c r="B1245" s="9" t="str">
        <x:v>Jordan</x:v>
      </x:c>
      <x:c r="C1245" s="9" t="str">
        <x:v>Personal Loan</x:v>
      </x:c>
      <x:c r="D1245" s="9" t="str">
        <x:v>Midwest</x:v>
      </x:c>
      <x:c r="E1245" s="9" t="n">
        <x:v>421</x:v>
      </x:c>
      <x:c r="F1245" s="11" t="n">
        <x:v>46041</x:v>
      </x:c>
      <x:c r="G1245" s="13" t="n">
        <x:v>24503.78</x:v>
      </x:c>
      <x:c r="H1245" s="9" t="n">
        <x:v>107</x:v>
      </x:c>
      <x:c r="I1245" s="9" t="n">
        <x:v>5</x:v>
      </x:c>
      <x:c r="J1245" s="9" t="n">
        <x:v>0</x:v>
      </x:c>
      <x:c r="K1245" s="9" t="n">
        <x:v>0</x:v>
      </x:c>
      <x:c r="L1245" s="13" t="n">
        <x:f>SUMIFS('Payments'!$D$5:$D$3014,'Payments'!$B$5:$B$3014,A1245)</x:f>
        <x:v>3697.69</x:v>
      </x:c>
      <x:c r="M1245" s="13" t="n">
        <x:f>G1245-L1245</x:f>
        <x:v>20806.09</x:v>
      </x:c>
      <x:c r="N1245" s="9" t="str">
        <x:f>IF(H1245=0,"0 Current",IF(H1245&lt;=30,"1 1-30",IF(H1245&lt;=60,"2 31-60",IF(H1245&lt;=90,"3 61-90",IF(H1245&lt;=120,"4 91-120","5 121+")))))</x:f>
        <x:v>4 91-120</x:v>
      </x:c>
      <x:c r="O1245" s="9" t="n">
        <x:f>IF(J1245&gt;0,1,0)</x:f>
        <x:v>0</x:v>
      </x:c>
    </x:row>
    <x:row r="1246">
      <x:c r="A1246" s="15" t="str">
        <x:v>1242</x:v>
      </x:c>
      <x:c r="B1246" s="9" t="str">
        <x:v>Morgan</x:v>
      </x:c>
      <x:c r="C1246" s="9" t="str">
        <x:v>Auto</x:v>
      </x:c>
      <x:c r="D1246" s="9" t="str">
        <x:v>South</x:v>
      </x:c>
      <x:c r="E1246" s="9" t="n">
        <x:v>427</x:v>
      </x:c>
      <x:c r="F1246" s="11" t="n">
        <x:v>46056</x:v>
      </x:c>
      <x:c r="G1246" s="13" t="n">
        <x:v>16185.45</x:v>
      </x:c>
      <x:c r="H1246" s="9" t="n">
        <x:v>1</x:v>
      </x:c>
      <x:c r="I1246" s="9" t="n">
        <x:v>6</x:v>
      </x:c>
      <x:c r="J1246" s="9" t="n">
        <x:v>1</x:v>
      </x:c>
      <x:c r="K1246" s="9" t="n">
        <x:v>0</x:v>
      </x:c>
      <x:c r="L1246" s="13" t="n">
        <x:f>SUMIFS('Payments'!$D$5:$D$3014,'Payments'!$B$5:$B$3014,A1246)</x:f>
        <x:v>1027.8</x:v>
      </x:c>
      <x:c r="M1246" s="13" t="n">
        <x:f>G1246-L1246</x:f>
        <x:v>15157.650000000001</x:v>
      </x:c>
      <x:c r="N1246" s="9" t="str">
        <x:f>IF(H1246=0,"0 Current",IF(H1246&lt;=30,"1 1-30",IF(H1246&lt;=60,"2 31-60",IF(H1246&lt;=90,"3 61-90",IF(H1246&lt;=120,"4 91-120","5 121+")))))</x:f>
        <x:v>1 1-30</x:v>
      </x:c>
      <x:c r="O1246" s="9" t="n">
        <x:f>IF(J1246&gt;0,1,0)</x:f>
        <x:v>1</x:v>
      </x:c>
    </x:row>
    <x:row r="1247">
      <x:c r="A1247" s="15" t="str">
        <x:v>1243</x:v>
      </x:c>
      <x:c r="B1247" s="9" t="str">
        <x:v>Jordan</x:v>
      </x:c>
      <x:c r="C1247" s="9" t="str">
        <x:v>Credit Card</x:v>
      </x:c>
      <x:c r="D1247" s="9" t="str">
        <x:v>South</x:v>
      </x:c>
      <x:c r="E1247" s="9" t="n">
        <x:v>810</x:v>
      </x:c>
      <x:c r="F1247" s="11" t="n">
        <x:v>46045</x:v>
      </x:c>
      <x:c r="G1247" s="13" t="n">
        <x:v>18490.82</x:v>
      </x:c>
      <x:c r="H1247" s="9" t="n">
        <x:v>2</x:v>
      </x:c>
      <x:c r="I1247" s="9" t="n">
        <x:v>1</x:v>
      </x:c>
      <x:c r="J1247" s="9" t="n">
        <x:v>0</x:v>
      </x:c>
      <x:c r="K1247" s="9" t="n">
        <x:v>0</x:v>
      </x:c>
      <x:c r="L1247" s="13" t="n">
        <x:f>SUMIFS('Payments'!$D$5:$D$3014,'Payments'!$B$5:$B$3014,A1247)</x:f>
        <x:v>1547.84</x:v>
      </x:c>
      <x:c r="M1247" s="13" t="n">
        <x:f>G1247-L1247</x:f>
        <x:v>16942.98</x:v>
      </x:c>
      <x:c r="N1247" s="9" t="str">
        <x:f>IF(H1247=0,"0 Current",IF(H1247&lt;=30,"1 1-30",IF(H1247&lt;=60,"2 31-60",IF(H1247&lt;=90,"3 61-90",IF(H1247&lt;=120,"4 91-120","5 121+")))))</x:f>
        <x:v>1 1-30</x:v>
      </x:c>
      <x:c r="O1247" s="9" t="n">
        <x:f>IF(J1247&gt;0,1,0)</x:f>
        <x:v>0</x:v>
      </x:c>
    </x:row>
    <x:row r="1248">
      <x:c r="A1248" s="15" t="str">
        <x:v>1244</x:v>
      </x:c>
      <x:c r="B1248" s="9" t="str">
        <x:v>Casey</x:v>
      </x:c>
      <x:c r="C1248" s="9" t="str">
        <x:v>Medical</x:v>
      </x:c>
      <x:c r="D1248" s="9" t="str">
        <x:v>Northeast</x:v>
      </x:c>
      <x:c r="E1248" s="9" t="n">
        <x:v>622</x:v>
      </x:c>
      <x:c r="F1248" s="11" t="n">
        <x:v>46083</x:v>
      </x:c>
      <x:c r="G1248" s="13" t="n">
        <x:v>1708.48</x:v>
      </x:c>
      <x:c r="H1248" s="9" t="n">
        <x:v>5</x:v>
      </x:c>
      <x:c r="I1248" s="9" t="n">
        <x:v>5</x:v>
      </x:c>
      <x:c r="J1248" s="9" t="n">
        <x:v>1</x:v>
      </x:c>
      <x:c r="K1248" s="9" t="n">
        <x:v>0</x:v>
      </x:c>
      <x:c r="L1248" s="13" t="n">
        <x:f>SUMIFS('Payments'!$D$5:$D$3014,'Payments'!$B$5:$B$3014,A1248)</x:f>
        <x:v>394.02</x:v>
      </x:c>
      <x:c r="M1248" s="13" t="n">
        <x:f>G1248-L1248</x:f>
        <x:v>1314.46</x:v>
      </x:c>
      <x:c r="N1248" s="9" t="str">
        <x:f>IF(H1248=0,"0 Current",IF(H1248&lt;=30,"1 1-30",IF(H1248&lt;=60,"2 31-60",IF(H1248&lt;=90,"3 61-90",IF(H1248&lt;=120,"4 91-120","5 121+")))))</x:f>
        <x:v>1 1-30</x:v>
      </x:c>
      <x:c r="O1248" s="9" t="n">
        <x:f>IF(J1248&gt;0,1,0)</x:f>
        <x:v>1</x:v>
      </x:c>
    </x:row>
    <x:row r="1249">
      <x:c r="A1249" s="15" t="str">
        <x:v>1245</x:v>
      </x:c>
      <x:c r="B1249" s="9" t="str">
        <x:v>Alex</x:v>
      </x:c>
      <x:c r="C1249" s="9" t="str">
        <x:v>Auto</x:v>
      </x:c>
      <x:c r="D1249" s="9" t="str">
        <x:v>South</x:v>
      </x:c>
      <x:c r="E1249" s="9" t="n">
        <x:v>482</x:v>
      </x:c>
      <x:c r="F1249" s="11" t="n">
        <x:v>46159</x:v>
      </x:c>
      <x:c r="G1249" s="13" t="n">
        <x:v>18551.57</x:v>
      </x:c>
      <x:c r="H1249" s="9" t="n">
        <x:v>89</x:v>
      </x:c>
      <x:c r="I1249" s="9" t="n">
        <x:v>2</x:v>
      </x:c>
      <x:c r="J1249" s="9" t="n">
        <x:v>1</x:v>
      </x:c>
      <x:c r="K1249" s="9" t="n">
        <x:v>1</x:v>
      </x:c>
      <x:c r="L1249" s="13" t="n">
        <x:f>SUMIFS('Payments'!$D$5:$D$3014,'Payments'!$B$5:$B$3014,A1249)</x:f>
        <x:v>3774.12</x:v>
      </x:c>
      <x:c r="M1249" s="13" t="n">
        <x:f>G1249-L1249</x:f>
        <x:v>14777.45</x:v>
      </x:c>
      <x:c r="N1249" s="9" t="str">
        <x:f>IF(H1249=0,"0 Current",IF(H1249&lt;=30,"1 1-30",IF(H1249&lt;=60,"2 31-60",IF(H1249&lt;=90,"3 61-90",IF(H1249&lt;=120,"4 91-120","5 121+")))))</x:f>
        <x:v>3 61-90</x:v>
      </x:c>
      <x:c r="O1249" s="9" t="n">
        <x:f>IF(J1249&gt;0,1,0)</x:f>
        <x:v>1</x:v>
      </x:c>
    </x:row>
    <x:row r="1250">
      <x:c r="A1250" s="15" t="str">
        <x:v>1246</x:v>
      </x:c>
      <x:c r="B1250" s="9" t="str">
        <x:v>Jordan</x:v>
      </x:c>
      <x:c r="C1250" s="9" t="str">
        <x:v>Credit Card</x:v>
      </x:c>
      <x:c r="D1250" s="9" t="str">
        <x:v>Midwest</x:v>
      </x:c>
      <x:c r="E1250" s="9" t="n">
        <x:v>763</x:v>
      </x:c>
      <x:c r="F1250" s="11" t="n">
        <x:v>46095</x:v>
      </x:c>
      <x:c r="G1250" s="13" t="n">
        <x:v>12466.9</x:v>
      </x:c>
      <x:c r="H1250" s="9" t="n">
        <x:v>31</x:v>
      </x:c>
      <x:c r="I1250" s="9" t="n">
        <x:v>5</x:v>
      </x:c>
      <x:c r="J1250" s="9" t="n">
        <x:v>1</x:v>
      </x:c>
      <x:c r="K1250" s="9" t="n">
        <x:v>0</x:v>
      </x:c>
      <x:c r="L1250" s="13" t="n">
        <x:f>SUMIFS('Payments'!$D$5:$D$3014,'Payments'!$B$5:$B$3014,A1250)</x:f>
        <x:v>4010.58</x:v>
      </x:c>
      <x:c r="M1250" s="13" t="n">
        <x:f>G1250-L1250</x:f>
        <x:v>8456.32</x:v>
      </x:c>
      <x:c r="N1250" s="9" t="str">
        <x:f>IF(H1250=0,"0 Current",IF(H1250&lt;=30,"1 1-30",IF(H1250&lt;=60,"2 31-60",IF(H1250&lt;=90,"3 61-90",IF(H1250&lt;=120,"4 91-120","5 121+")))))</x:f>
        <x:v>2 31-60</x:v>
      </x:c>
      <x:c r="O1250" s="9" t="n">
        <x:f>IF(J1250&gt;0,1,0)</x:f>
        <x:v>1</x:v>
      </x:c>
    </x:row>
    <x:row r="1251">
      <x:c r="A1251" s="15" t="str">
        <x:v>1247</x:v>
      </x:c>
      <x:c r="B1251" s="9" t="str">
        <x:v>Alex</x:v>
      </x:c>
      <x:c r="C1251" s="9" t="str">
        <x:v>Auto</x:v>
      </x:c>
      <x:c r="D1251" s="9" t="str">
        <x:v>Northeast</x:v>
      </x:c>
      <x:c r="E1251" s="9" t="n">
        <x:v>556</x:v>
      </x:c>
      <x:c r="F1251" s="11" t="n">
        <x:v>46117</x:v>
      </x:c>
      <x:c r="G1251" s="13" t="n">
        <x:v>6766.62</x:v>
      </x:c>
      <x:c r="H1251" s="9" t="n">
        <x:v>13</x:v>
      </x:c>
      <x:c r="I1251" s="9" t="n">
        <x:v>6</x:v>
      </x:c>
      <x:c r="J1251" s="9" t="n">
        <x:v>2</x:v>
      </x:c>
      <x:c r="K1251" s="9" t="n">
        <x:v>1</x:v>
      </x:c>
      <x:c r="L1251" s="13" t="n">
        <x:f>SUMIFS('Payments'!$D$5:$D$3014,'Payments'!$B$5:$B$3014,A1251)</x:f>
        <x:v>569.8000000000001</x:v>
      </x:c>
      <x:c r="M1251" s="13" t="n">
        <x:f>G1251-L1251</x:f>
        <x:v>6196.82</x:v>
      </x:c>
      <x:c r="N1251" s="9" t="str">
        <x:f>IF(H1251=0,"0 Current",IF(H1251&lt;=30,"1 1-30",IF(H1251&lt;=60,"2 31-60",IF(H1251&lt;=90,"3 61-90",IF(H1251&lt;=120,"4 91-120","5 121+")))))</x:f>
        <x:v>1 1-30</x:v>
      </x:c>
      <x:c r="O1251" s="9" t="n">
        <x:f>IF(J1251&gt;0,1,0)</x:f>
        <x:v>1</x:v>
      </x:c>
    </x:row>
    <x:row r="1252">
      <x:c r="A1252" s="15" t="str">
        <x:v>1248</x:v>
      </x:c>
      <x:c r="B1252" s="9" t="str">
        <x:v>Casey</x:v>
      </x:c>
      <x:c r="C1252" s="9" t="str">
        <x:v>Personal Loan</x:v>
      </x:c>
      <x:c r="D1252" s="9" t="str">
        <x:v>Northeast</x:v>
      </x:c>
      <x:c r="E1252" s="9" t="n">
        <x:v>713</x:v>
      </x:c>
      <x:c r="F1252" s="11" t="n">
        <x:v>46126</x:v>
      </x:c>
      <x:c r="G1252" s="13" t="n">
        <x:v>1172.57</x:v>
      </x:c>
      <x:c r="H1252" s="9" t="n">
        <x:v>204</x:v>
      </x:c>
      <x:c r="I1252" s="9" t="n">
        <x:v>5</x:v>
      </x:c>
      <x:c r="J1252" s="9" t="n">
        <x:v>1</x:v>
      </x:c>
      <x:c r="K1252" s="9" t="n">
        <x:v>0</x:v>
      </x:c>
      <x:c r="L1252" s="13" t="n">
        <x:f>SUMIFS('Payments'!$D$5:$D$3014,'Payments'!$B$5:$B$3014,A1252)</x:f>
        <x:v>0</x:v>
      </x:c>
      <x:c r="M1252" s="13" t="n">
        <x:f>G1252-L1252</x:f>
        <x:v>1172.57</x:v>
      </x:c>
      <x:c r="N1252" s="9" t="str">
        <x:f>IF(H1252=0,"0 Current",IF(H1252&lt;=30,"1 1-30",IF(H1252&lt;=60,"2 31-60",IF(H1252&lt;=90,"3 61-90",IF(H1252&lt;=120,"4 91-120","5 121+")))))</x:f>
        <x:v>5 121+</x:v>
      </x:c>
      <x:c r="O1252" s="9" t="n">
        <x:f>IF(J1252&gt;0,1,0)</x:f>
        <x:v>1</x:v>
      </x:c>
    </x:row>
    <x:row r="1253">
      <x:c r="A1253" s="15" t="str">
        <x:v>1249</x:v>
      </x:c>
      <x:c r="B1253" s="9" t="str">
        <x:v>Morgan</x:v>
      </x:c>
      <x:c r="C1253" s="9" t="str">
        <x:v>Personal Loan</x:v>
      </x:c>
      <x:c r="D1253" s="9" t="str">
        <x:v>West</x:v>
      </x:c>
      <x:c r="E1253" s="9" t="n">
        <x:v>628</x:v>
      </x:c>
      <x:c r="F1253" s="11" t="n">
        <x:v>46047</x:v>
      </x:c>
      <x:c r="G1253" s="13" t="n">
        <x:v>13755.4</x:v>
      </x:c>
      <x:c r="H1253" s="9" t="n">
        <x:v>134</x:v>
      </x:c>
      <x:c r="I1253" s="9" t="n">
        <x:v>4</x:v>
      </x:c>
      <x:c r="J1253" s="9" t="n">
        <x:v>1</x:v>
      </x:c>
      <x:c r="K1253" s="9" t="n">
        <x:v>0</x:v>
      </x:c>
      <x:c r="L1253" s="13" t="n">
        <x:f>SUMIFS('Payments'!$D$5:$D$3014,'Payments'!$B$5:$B$3014,A1253)</x:f>
        <x:v>2978.43</x:v>
      </x:c>
      <x:c r="M1253" s="13" t="n">
        <x:f>G1253-L1253</x:f>
        <x:v>10776.97</x:v>
      </x:c>
      <x:c r="N1253" s="9" t="str">
        <x:f>IF(H1253=0,"0 Current",IF(H1253&lt;=30,"1 1-30",IF(H1253&lt;=60,"2 31-60",IF(H1253&lt;=90,"3 61-90",IF(H1253&lt;=120,"4 91-120","5 121+")))))</x:f>
        <x:v>5 121+</x:v>
      </x:c>
      <x:c r="O1253" s="9" t="n">
        <x:f>IF(J1253&gt;0,1,0)</x:f>
        <x:v>1</x:v>
      </x:c>
    </x:row>
    <x:row r="1254">
      <x:c r="A1254" s="15" t="str">
        <x:v>1250</x:v>
      </x:c>
      <x:c r="B1254" s="9" t="str">
        <x:v>Casey</x:v>
      </x:c>
      <x:c r="C1254" s="9" t="str">
        <x:v>Personal Loan</x:v>
      </x:c>
      <x:c r="D1254" s="9" t="str">
        <x:v>South</x:v>
      </x:c>
      <x:c r="E1254" s="9" t="n">
        <x:v>761</x:v>
      </x:c>
      <x:c r="F1254" s="11" t="n">
        <x:v>46090</x:v>
      </x:c>
      <x:c r="G1254" s="13" t="n">
        <x:v>15824.59</x:v>
      </x:c>
      <x:c r="H1254" s="9" t="n">
        <x:v>177</x:v>
      </x:c>
      <x:c r="I1254" s="9" t="n">
        <x:v>1</x:v>
      </x:c>
      <x:c r="J1254" s="9" t="n">
        <x:v>1</x:v>
      </x:c>
      <x:c r="K1254" s="9" t="n">
        <x:v>0</x:v>
      </x:c>
      <x:c r="L1254" s="13" t="n">
        <x:f>SUMIFS('Payments'!$D$5:$D$3014,'Payments'!$B$5:$B$3014,A1254)</x:f>
        <x:v>3603.21</x:v>
      </x:c>
      <x:c r="M1254" s="13" t="n">
        <x:f>G1254-L1254</x:f>
        <x:v>12221.380000000001</x:v>
      </x:c>
      <x:c r="N1254" s="9" t="str">
        <x:f>IF(H1254=0,"0 Current",IF(H1254&lt;=30,"1 1-30",IF(H1254&lt;=60,"2 31-60",IF(H1254&lt;=90,"3 61-90",IF(H1254&lt;=120,"4 91-120","5 121+")))))</x:f>
        <x:v>5 121+</x:v>
      </x:c>
      <x:c r="O1254" s="9" t="n">
        <x:f>IF(J1254&gt;0,1,0)</x:f>
        <x:v>1</x:v>
      </x:c>
    </x:row>
    <x:row r="1255">
      <x:c r="A1255" s="15" t="str">
        <x:v>1251</x:v>
      </x:c>
      <x:c r="B1255" s="9" t="str">
        <x:v>Riley</x:v>
      </x:c>
      <x:c r="C1255" s="9" t="str">
        <x:v>Auto</x:v>
      </x:c>
      <x:c r="D1255" s="9" t="str">
        <x:v>Midwest</x:v>
      </x:c>
      <x:c r="E1255" s="9" t="n">
        <x:v>812</x:v>
      </x:c>
      <x:c r="F1255" s="11" t="n">
        <x:v>46157</x:v>
      </x:c>
      <x:c r="G1255" s="13" t="n">
        <x:v>24641.52</x:v>
      </x:c>
      <x:c r="H1255" s="9" t="n">
        <x:v>190</x:v>
      </x:c>
      <x:c r="I1255" s="9" t="n">
        <x:v>5</x:v>
      </x:c>
      <x:c r="J1255" s="9" t="n">
        <x:v>2</x:v>
      </x:c>
      <x:c r="K1255" s="9" t="n">
        <x:v>0</x:v>
      </x:c>
      <x:c r="L1255" s="13" t="n">
        <x:f>SUMIFS('Payments'!$D$5:$D$3014,'Payments'!$B$5:$B$3014,A1255)</x:f>
        <x:v>3267.56</x:v>
      </x:c>
      <x:c r="M1255" s="13" t="n">
        <x:f>G1255-L1255</x:f>
        <x:v>21373.96</x:v>
      </x:c>
      <x:c r="N1255" s="9" t="str">
        <x:f>IF(H1255=0,"0 Current",IF(H1255&lt;=30,"1 1-30",IF(H1255&lt;=60,"2 31-60",IF(H1255&lt;=90,"3 61-90",IF(H1255&lt;=120,"4 91-120","5 121+")))))</x:f>
        <x:v>5 121+</x:v>
      </x:c>
      <x:c r="O1255" s="9" t="n">
        <x:f>IF(J1255&gt;0,1,0)</x:f>
        <x:v>1</x:v>
      </x:c>
    </x:row>
    <x:row r="1256">
      <x:c r="A1256" s="15" t="str">
        <x:v>1252</x:v>
      </x:c>
      <x:c r="B1256" s="9" t="str">
        <x:v>Alex</x:v>
      </x:c>
      <x:c r="C1256" s="9" t="str">
        <x:v>Auto</x:v>
      </x:c>
      <x:c r="D1256" s="9" t="str">
        <x:v>West</x:v>
      </x:c>
      <x:c r="E1256" s="9" t="n">
        <x:v>646</x:v>
      </x:c>
      <x:c r="F1256" s="11" t="n">
        <x:v>46124</x:v>
      </x:c>
      <x:c r="G1256" s="13" t="n">
        <x:v>23440.26</x:v>
      </x:c>
      <x:c r="H1256" s="9" t="n">
        <x:v>12</x:v>
      </x:c>
      <x:c r="I1256" s="9" t="n">
        <x:v>7</x:v>
      </x:c>
      <x:c r="J1256" s="9" t="n">
        <x:v>2</x:v>
      </x:c>
      <x:c r="K1256" s="9" t="n">
        <x:v>0</x:v>
      </x:c>
      <x:c r="L1256" s="13" t="n">
        <x:f>SUMIFS('Payments'!$D$5:$D$3014,'Payments'!$B$5:$B$3014,A1256)</x:f>
        <x:v>1283.42</x:v>
      </x:c>
      <x:c r="M1256" s="13" t="n">
        <x:f>G1256-L1256</x:f>
        <x:v>22156.839999999997</x:v>
      </x:c>
      <x:c r="N1256" s="9" t="str">
        <x:f>IF(H1256=0,"0 Current",IF(H1256&lt;=30,"1 1-30",IF(H1256&lt;=60,"2 31-60",IF(H1256&lt;=90,"3 61-90",IF(H1256&lt;=120,"4 91-120","5 121+")))))</x:f>
        <x:v>1 1-30</x:v>
      </x:c>
      <x:c r="O1256" s="9" t="n">
        <x:f>IF(J1256&gt;0,1,0)</x:f>
        <x:v>1</x:v>
      </x:c>
    </x:row>
    <x:row r="1257">
      <x:c r="A1257" s="15" t="str">
        <x:v>1253</x:v>
      </x:c>
      <x:c r="B1257" s="9" t="str">
        <x:v>Taylor</x:v>
      </x:c>
      <x:c r="C1257" s="9" t="str">
        <x:v>Medical</x:v>
      </x:c>
      <x:c r="D1257" s="9" t="str">
        <x:v>South</x:v>
      </x:c>
      <x:c r="E1257" s="9" t="n">
        <x:v>482</x:v>
      </x:c>
      <x:c r="F1257" s="11" t="n">
        <x:v>46145</x:v>
      </x:c>
      <x:c r="G1257" s="13" t="n">
        <x:v>9421.34</x:v>
      </x:c>
      <x:c r="H1257" s="9" t="n">
        <x:v>144</x:v>
      </x:c>
      <x:c r="I1257" s="9" t="n">
        <x:v>2</x:v>
      </x:c>
      <x:c r="J1257" s="9" t="n">
        <x:v>1</x:v>
      </x:c>
      <x:c r="K1257" s="9" t="n">
        <x:v>0</x:v>
      </x:c>
      <x:c r="L1257" s="13" t="n">
        <x:f>SUMIFS('Payments'!$D$5:$D$3014,'Payments'!$B$5:$B$3014,A1257)</x:f>
        <x:v>1599.7</x:v>
      </x:c>
      <x:c r="M1257" s="13" t="n">
        <x:f>G1257-L1257</x:f>
        <x:v>7821.64</x:v>
      </x:c>
      <x:c r="N1257" s="9" t="str">
        <x:f>IF(H1257=0,"0 Current",IF(H1257&lt;=30,"1 1-30",IF(H1257&lt;=60,"2 31-60",IF(H1257&lt;=90,"3 61-90",IF(H1257&lt;=120,"4 91-120","5 121+")))))</x:f>
        <x:v>5 121+</x:v>
      </x:c>
      <x:c r="O1257" s="9" t="n">
        <x:f>IF(J1257&gt;0,1,0)</x:f>
        <x:v>1</x:v>
      </x:c>
    </x:row>
    <x:row r="1258">
      <x:c r="A1258" s="15" t="str">
        <x:v>1254</x:v>
      </x:c>
      <x:c r="B1258" s="9" t="str">
        <x:v>Riley</x:v>
      </x:c>
      <x:c r="C1258" s="9" t="str">
        <x:v>Personal Loan</x:v>
      </x:c>
      <x:c r="D1258" s="9" t="str">
        <x:v>Midwest</x:v>
      </x:c>
      <x:c r="E1258" s="9" t="n">
        <x:v>637</x:v>
      </x:c>
      <x:c r="F1258" s="11" t="n">
        <x:v>46140</x:v>
      </x:c>
      <x:c r="G1258" s="13" t="n">
        <x:v>16273.18</x:v>
      </x:c>
      <x:c r="H1258" s="9" t="n">
        <x:v>42</x:v>
      </x:c>
      <x:c r="I1258" s="9" t="n">
        <x:v>2</x:v>
      </x:c>
      <x:c r="J1258" s="9" t="n">
        <x:v>0</x:v>
      </x:c>
      <x:c r="K1258" s="9" t="n">
        <x:v>0</x:v>
      </x:c>
      <x:c r="L1258" s="13" t="n">
        <x:f>SUMIFS('Payments'!$D$5:$D$3014,'Payments'!$B$5:$B$3014,A1258)</x:f>
        <x:v>3488.1400000000003</x:v>
      </x:c>
      <x:c r="M1258" s="13" t="n">
        <x:f>G1258-L1258</x:f>
        <x:v>12785.04</x:v>
      </x:c>
      <x:c r="N1258" s="9" t="str">
        <x:f>IF(H1258=0,"0 Current",IF(H1258&lt;=30,"1 1-30",IF(H1258&lt;=60,"2 31-60",IF(H1258&lt;=90,"3 61-90",IF(H1258&lt;=120,"4 91-120","5 121+")))))</x:f>
        <x:v>2 31-60</x:v>
      </x:c>
      <x:c r="O1258" s="9" t="n">
        <x:f>IF(J1258&gt;0,1,0)</x:f>
        <x:v>0</x:v>
      </x:c>
    </x:row>
    <x:row r="1259">
      <x:c r="A1259" s="15" t="str">
        <x:v>1255</x:v>
      </x:c>
      <x:c r="B1259" s="9" t="str">
        <x:v>Taylor</x:v>
      </x:c>
      <x:c r="C1259" s="9" t="str">
        <x:v>Credit Card</x:v>
      </x:c>
      <x:c r="D1259" s="9" t="str">
        <x:v>Northeast</x:v>
      </x:c>
      <x:c r="E1259" s="9" t="n">
        <x:v>432</x:v>
      </x:c>
      <x:c r="F1259" s="11" t="n">
        <x:v>46047</x:v>
      </x:c>
      <x:c r="G1259" s="13" t="n">
        <x:v>11042.89</x:v>
      </x:c>
      <x:c r="H1259" s="9" t="n">
        <x:v>108</x:v>
      </x:c>
      <x:c r="I1259" s="9" t="n">
        <x:v>4</x:v>
      </x:c>
      <x:c r="J1259" s="9" t="n">
        <x:v>3</x:v>
      </x:c>
      <x:c r="K1259" s="9" t="n">
        <x:v>0</x:v>
      </x:c>
      <x:c r="L1259" s="13" t="n">
        <x:f>SUMIFS('Payments'!$D$5:$D$3014,'Payments'!$B$5:$B$3014,A1259)</x:f>
        <x:v>2088.08</x:v>
      </x:c>
      <x:c r="M1259" s="13" t="n">
        <x:f>G1259-L1259</x:f>
        <x:v>8954.81</x:v>
      </x:c>
      <x:c r="N1259" s="9" t="str">
        <x:f>IF(H1259=0,"0 Current",IF(H1259&lt;=30,"1 1-30",IF(H1259&lt;=60,"2 31-60",IF(H1259&lt;=90,"3 61-90",IF(H1259&lt;=120,"4 91-120","5 121+")))))</x:f>
        <x:v>4 91-120</x:v>
      </x:c>
      <x:c r="O1259" s="9" t="n">
        <x:f>IF(J1259&gt;0,1,0)</x:f>
        <x:v>1</x:v>
      </x:c>
    </x:row>
    <x:row r="1260">
      <x:c r="A1260" s="15" t="str">
        <x:v>1256</x:v>
      </x:c>
      <x:c r="B1260" s="9" t="str">
        <x:v>Jordan</x:v>
      </x:c>
      <x:c r="C1260" s="9" t="str">
        <x:v>Personal Loan</x:v>
      </x:c>
      <x:c r="D1260" s="9" t="str">
        <x:v>Northeast</x:v>
      </x:c>
      <x:c r="E1260" s="9" t="n">
        <x:v>488</x:v>
      </x:c>
      <x:c r="F1260" s="11" t="n">
        <x:v>46146</x:v>
      </x:c>
      <x:c r="G1260" s="13" t="n">
        <x:v>14399.89</x:v>
      </x:c>
      <x:c r="H1260" s="9" t="n">
        <x:v>215</x:v>
      </x:c>
      <x:c r="I1260" s="9" t="n">
        <x:v>7</x:v>
      </x:c>
      <x:c r="J1260" s="9" t="n">
        <x:v>3</x:v>
      </x:c>
      <x:c r="K1260" s="9" t="n">
        <x:v>0</x:v>
      </x:c>
      <x:c r="L1260" s="13" t="n">
        <x:f>SUMIFS('Payments'!$D$5:$D$3014,'Payments'!$B$5:$B$3014,A1260)</x:f>
        <x:v>1936.53</x:v>
      </x:c>
      <x:c r="M1260" s="13" t="n">
        <x:f>G1260-L1260</x:f>
        <x:v>12463.359999999999</x:v>
      </x:c>
      <x:c r="N1260" s="9" t="str">
        <x:f>IF(H1260=0,"0 Current",IF(H1260&lt;=30,"1 1-30",IF(H1260&lt;=60,"2 31-60",IF(H1260&lt;=90,"3 61-90",IF(H1260&lt;=120,"4 91-120","5 121+")))))</x:f>
        <x:v>5 121+</x:v>
      </x:c>
      <x:c r="O1260" s="9" t="n">
        <x:f>IF(J1260&gt;0,1,0)</x:f>
        <x:v>1</x:v>
      </x:c>
    </x:row>
    <x:row r="1261">
      <x:c r="A1261" s="15" t="str">
        <x:v>1257</x:v>
      </x:c>
      <x:c r="B1261" s="9" t="str">
        <x:v>Morgan</x:v>
      </x:c>
      <x:c r="C1261" s="9" t="str">
        <x:v>Medical</x:v>
      </x:c>
      <x:c r="D1261" s="9" t="str">
        <x:v>Midwest</x:v>
      </x:c>
      <x:c r="E1261" s="9" t="n">
        <x:v>762</x:v>
      </x:c>
      <x:c r="F1261" s="11" t="n">
        <x:v>46062</x:v>
      </x:c>
      <x:c r="G1261" s="13" t="n">
        <x:v>8230.31</x:v>
      </x:c>
      <x:c r="H1261" s="9" t="n">
        <x:v>126</x:v>
      </x:c>
      <x:c r="I1261" s="9" t="n">
        <x:v>8</x:v>
      </x:c>
      <x:c r="J1261" s="9" t="n">
        <x:v>5</x:v>
      </x:c>
      <x:c r="K1261" s="9" t="n">
        <x:v>1</x:v>
      </x:c>
      <x:c r="L1261" s="13" t="n">
        <x:f>SUMIFS('Payments'!$D$5:$D$3014,'Payments'!$B$5:$B$3014,A1261)</x:f>
        <x:v>1027.73</x:v>
      </x:c>
      <x:c r="M1261" s="13" t="n">
        <x:f>G1261-L1261</x:f>
        <x:v>7202.58</x:v>
      </x:c>
      <x:c r="N1261" s="9" t="str">
        <x:f>IF(H1261=0,"0 Current",IF(H1261&lt;=30,"1 1-30",IF(H1261&lt;=60,"2 31-60",IF(H1261&lt;=90,"3 61-90",IF(H1261&lt;=120,"4 91-120","5 121+")))))</x:f>
        <x:v>5 121+</x:v>
      </x:c>
      <x:c r="O1261" s="9" t="n">
        <x:f>IF(J1261&gt;0,1,0)</x:f>
        <x:v>1</x:v>
      </x:c>
    </x:row>
    <x:row r="1262">
      <x:c r="A1262" s="15" t="str">
        <x:v>1258</x:v>
      </x:c>
      <x:c r="B1262" s="9" t="str">
        <x:v>Taylor</x:v>
      </x:c>
      <x:c r="C1262" s="9" t="str">
        <x:v>Credit Card</x:v>
      </x:c>
      <x:c r="D1262" s="9" t="str">
        <x:v>Midwest</x:v>
      </x:c>
      <x:c r="E1262" s="9" t="n">
        <x:v>466</x:v>
      </x:c>
      <x:c r="F1262" s="11" t="n">
        <x:v>46100</x:v>
      </x:c>
      <x:c r="G1262" s="13" t="n">
        <x:v>6173.72</x:v>
      </x:c>
      <x:c r="H1262" s="9" t="n">
        <x:v>186</x:v>
      </x:c>
      <x:c r="I1262" s="9" t="n">
        <x:v>7</x:v>
      </x:c>
      <x:c r="J1262" s="9" t="n">
        <x:v>2</x:v>
      </x:c>
      <x:c r="K1262" s="9" t="n">
        <x:v>0</x:v>
      </x:c>
      <x:c r="L1262" s="13" t="n">
        <x:f>SUMIFS('Payments'!$D$5:$D$3014,'Payments'!$B$5:$B$3014,A1262)</x:f>
        <x:v>0</x:v>
      </x:c>
      <x:c r="M1262" s="13" t="n">
        <x:f>G1262-L1262</x:f>
        <x:v>6173.72</x:v>
      </x:c>
      <x:c r="N1262" s="9" t="str">
        <x:f>IF(H1262=0,"0 Current",IF(H1262&lt;=30,"1 1-30",IF(H1262&lt;=60,"2 31-60",IF(H1262&lt;=90,"3 61-90",IF(H1262&lt;=120,"4 91-120","5 121+")))))</x:f>
        <x:v>5 121+</x:v>
      </x:c>
      <x:c r="O1262" s="9" t="n">
        <x:f>IF(J1262&gt;0,1,0)</x:f>
        <x:v>1</x:v>
      </x:c>
    </x:row>
    <x:row r="1263">
      <x:c r="A1263" s="15" t="str">
        <x:v>1259</x:v>
      </x:c>
      <x:c r="B1263" s="9" t="str">
        <x:v>Jordan</x:v>
      </x:c>
      <x:c r="C1263" s="9" t="str">
        <x:v>Credit Card</x:v>
      </x:c>
      <x:c r="D1263" s="9" t="str">
        <x:v>South</x:v>
      </x:c>
      <x:c r="E1263" s="9" t="n">
        <x:v>810</x:v>
      </x:c>
      <x:c r="F1263" s="11" t="n">
        <x:v>46130</x:v>
      </x:c>
      <x:c r="G1263" s="13" t="n">
        <x:v>6276.39</x:v>
      </x:c>
      <x:c r="H1263" s="9" t="n">
        <x:v>215</x:v>
      </x:c>
      <x:c r="I1263" s="9" t="n">
        <x:v>8</x:v>
      </x:c>
      <x:c r="J1263" s="9" t="n">
        <x:v>5</x:v>
      </x:c>
      <x:c r="K1263" s="9" t="n">
        <x:v>1</x:v>
      </x:c>
      <x:c r="L1263" s="13" t="n">
        <x:f>SUMIFS('Payments'!$D$5:$D$3014,'Payments'!$B$5:$B$3014,A1263)</x:f>
        <x:v>822.64</x:v>
      </x:c>
      <x:c r="M1263" s="13" t="n">
        <x:f>G1263-L1263</x:f>
        <x:v>5453.75</x:v>
      </x:c>
      <x:c r="N1263" s="9" t="str">
        <x:f>IF(H1263=0,"0 Current",IF(H1263&lt;=30,"1 1-30",IF(H1263&lt;=60,"2 31-60",IF(H1263&lt;=90,"3 61-90",IF(H1263&lt;=120,"4 91-120","5 121+")))))</x:f>
        <x:v>5 121+</x:v>
      </x:c>
      <x:c r="O1263" s="9" t="n">
        <x:f>IF(J1263&gt;0,1,0)</x:f>
        <x:v>1</x:v>
      </x:c>
    </x:row>
    <x:row r="1264">
      <x:c r="A1264" s="15" t="str">
        <x:v>1260</x:v>
      </x:c>
      <x:c r="B1264" s="9" t="str">
        <x:v>Taylor</x:v>
      </x:c>
      <x:c r="C1264" s="9" t="str">
        <x:v>Personal Loan</x:v>
      </x:c>
      <x:c r="D1264" s="9" t="str">
        <x:v>West</x:v>
      </x:c>
      <x:c r="E1264" s="9" t="n">
        <x:v>466</x:v>
      </x:c>
      <x:c r="F1264" s="11" t="n">
        <x:v>46169</x:v>
      </x:c>
      <x:c r="G1264" s="13" t="n">
        <x:v>20817.42</x:v>
      </x:c>
      <x:c r="H1264" s="9" t="n">
        <x:v>215</x:v>
      </x:c>
      <x:c r="I1264" s="9" t="n">
        <x:v>5</x:v>
      </x:c>
      <x:c r="J1264" s="9" t="n">
        <x:v>2</x:v>
      </x:c>
      <x:c r="K1264" s="9" t="n">
        <x:v>0</x:v>
      </x:c>
      <x:c r="L1264" s="13" t="n">
        <x:f>SUMIFS('Payments'!$D$5:$D$3014,'Payments'!$B$5:$B$3014,A1264)</x:f>
        <x:v>5450.13</x:v>
      </x:c>
      <x:c r="M1264" s="13" t="n">
        <x:f>G1264-L1264</x:f>
        <x:v>15367.289999999997</x:v>
      </x:c>
      <x:c r="N1264" s="9" t="str">
        <x:f>IF(H1264=0,"0 Current",IF(H1264&lt;=30,"1 1-30",IF(H1264&lt;=60,"2 31-60",IF(H1264&lt;=90,"3 61-90",IF(H1264&lt;=120,"4 91-120","5 121+")))))</x:f>
        <x:v>5 121+</x:v>
      </x:c>
      <x:c r="O1264" s="9" t="n">
        <x:f>IF(J1264&gt;0,1,0)</x:f>
        <x:v>1</x:v>
      </x:c>
    </x:row>
    <x:row r="1265">
      <x:c r="A1265" s="15" t="str">
        <x:v>1261</x:v>
      </x:c>
      <x:c r="B1265" s="9" t="str">
        <x:v>Morgan</x:v>
      </x:c>
      <x:c r="C1265" s="9" t="str">
        <x:v>Medical</x:v>
      </x:c>
      <x:c r="D1265" s="9" t="str">
        <x:v>South</x:v>
      </x:c>
      <x:c r="E1265" s="9" t="n">
        <x:v>556</x:v>
      </x:c>
      <x:c r="F1265" s="11" t="n">
        <x:v>46079</x:v>
      </x:c>
      <x:c r="G1265" s="13" t="n">
        <x:v>11290.26</x:v>
      </x:c>
      <x:c r="H1265" s="9" t="n">
        <x:v>25</x:v>
      </x:c>
      <x:c r="I1265" s="9" t="n">
        <x:v>1</x:v>
      </x:c>
      <x:c r="J1265" s="9" t="n">
        <x:v>1</x:v>
      </x:c>
      <x:c r="K1265" s="9" t="n">
        <x:v>0</x:v>
      </x:c>
      <x:c r="L1265" s="13" t="n">
        <x:f>SUMIFS('Payments'!$D$5:$D$3014,'Payments'!$B$5:$B$3014,A1265)</x:f>
        <x:v>1408.97</x:v>
      </x:c>
      <x:c r="M1265" s="13" t="n">
        <x:f>G1265-L1265</x:f>
        <x:v>9881.29</x:v>
      </x:c>
      <x:c r="N1265" s="9" t="str">
        <x:f>IF(H1265=0,"0 Current",IF(H1265&lt;=30,"1 1-30",IF(H1265&lt;=60,"2 31-60",IF(H1265&lt;=90,"3 61-90",IF(H1265&lt;=120,"4 91-120","5 121+")))))</x:f>
        <x:v>1 1-30</x:v>
      </x:c>
      <x:c r="O1265" s="9" t="n">
        <x:f>IF(J1265&gt;0,1,0)</x:f>
        <x:v>1</x:v>
      </x:c>
    </x:row>
    <x:row r="1266">
      <x:c r="A1266" s="15" t="str">
        <x:v>1262</x:v>
      </x:c>
      <x:c r="B1266" s="9" t="str">
        <x:v>Riley</x:v>
      </x:c>
      <x:c r="C1266" s="9" t="str">
        <x:v>Personal Loan</x:v>
      </x:c>
      <x:c r="D1266" s="9" t="str">
        <x:v>West</x:v>
      </x:c>
      <x:c r="E1266" s="9" t="n">
        <x:v>427</x:v>
      </x:c>
      <x:c r="F1266" s="11" t="n">
        <x:v>46049</x:v>
      </x:c>
      <x:c r="G1266" s="13" t="n">
        <x:v>14322.08</x:v>
      </x:c>
      <x:c r="H1266" s="9" t="n">
        <x:v>58</x:v>
      </x:c>
      <x:c r="I1266" s="9" t="n">
        <x:v>7</x:v>
      </x:c>
      <x:c r="J1266" s="9" t="n">
        <x:v>4</x:v>
      </x:c>
      <x:c r="K1266" s="9" t="n">
        <x:v>1</x:v>
      </x:c>
      <x:c r="L1266" s="13" t="n">
        <x:f>SUMIFS('Payments'!$D$5:$D$3014,'Payments'!$B$5:$B$3014,A1266)</x:f>
        <x:v>254.65</x:v>
      </x:c>
      <x:c r="M1266" s="13" t="n">
        <x:f>G1266-L1266</x:f>
        <x:v>14067.43</x:v>
      </x:c>
      <x:c r="N1266" s="9" t="str">
        <x:f>IF(H1266=0,"0 Current",IF(H1266&lt;=30,"1 1-30",IF(H1266&lt;=60,"2 31-60",IF(H1266&lt;=90,"3 61-90",IF(H1266&lt;=120,"4 91-120","5 121+")))))</x:f>
        <x:v>2 31-60</x:v>
      </x:c>
      <x:c r="O1266" s="9" t="n">
        <x:f>IF(J1266&gt;0,1,0)</x:f>
        <x:v>1</x:v>
      </x:c>
    </x:row>
    <x:row r="1267">
      <x:c r="A1267" s="15" t="str">
        <x:v>1263</x:v>
      </x:c>
      <x:c r="B1267" s="9" t="str">
        <x:v>Taylor</x:v>
      </x:c>
      <x:c r="C1267" s="9" t="str">
        <x:v>Credit Card</x:v>
      </x:c>
      <x:c r="D1267" s="9" t="str">
        <x:v>South</x:v>
      </x:c>
      <x:c r="E1267" s="9" t="n">
        <x:v>809</x:v>
      </x:c>
      <x:c r="F1267" s="11" t="n">
        <x:v>46141</x:v>
      </x:c>
      <x:c r="G1267" s="13" t="n">
        <x:v>21639.95</x:v>
      </x:c>
      <x:c r="H1267" s="9" t="n">
        <x:v>216</x:v>
      </x:c>
      <x:c r="I1267" s="9" t="n">
        <x:v>8</x:v>
      </x:c>
      <x:c r="J1267" s="9" t="n">
        <x:v>4</x:v>
      </x:c>
      <x:c r="K1267" s="9" t="n">
        <x:v>1</x:v>
      </x:c>
      <x:c r="L1267" s="13" t="n">
        <x:f>SUMIFS('Payments'!$D$5:$D$3014,'Payments'!$B$5:$B$3014,A1267)</x:f>
        <x:v>6444.42</x:v>
      </x:c>
      <x:c r="M1267" s="13" t="n">
        <x:f>G1267-L1267</x:f>
        <x:v>15195.53</x:v>
      </x:c>
      <x:c r="N1267" s="9" t="str">
        <x:f>IF(H1267=0,"0 Current",IF(H1267&lt;=30,"1 1-30",IF(H1267&lt;=60,"2 31-60",IF(H1267&lt;=90,"3 61-90",IF(H1267&lt;=120,"4 91-120","5 121+")))))</x:f>
        <x:v>5 121+</x:v>
      </x:c>
      <x:c r="O1267" s="9" t="n">
        <x:f>IF(J1267&gt;0,1,0)</x:f>
        <x:v>1</x:v>
      </x:c>
    </x:row>
    <x:row r="1268">
      <x:c r="A1268" s="15" t="str">
        <x:v>1264</x:v>
      </x:c>
      <x:c r="B1268" s="9" t="str">
        <x:v>Jordan</x:v>
      </x:c>
      <x:c r="C1268" s="9" t="str">
        <x:v>Personal Loan</x:v>
      </x:c>
      <x:c r="D1268" s="9" t="str">
        <x:v>South</x:v>
      </x:c>
      <x:c r="E1268" s="9" t="n">
        <x:v>482</x:v>
      </x:c>
      <x:c r="F1268" s="11" t="n">
        <x:v>46117</x:v>
      </x:c>
      <x:c r="G1268" s="13" t="n">
        <x:v>17311.35</x:v>
      </x:c>
      <x:c r="H1268" s="9" t="n">
        <x:v>100</x:v>
      </x:c>
      <x:c r="I1268" s="9" t="n">
        <x:v>5</x:v>
      </x:c>
      <x:c r="J1268" s="9" t="n">
        <x:v>2</x:v>
      </x:c>
      <x:c r="K1268" s="9" t="n">
        <x:v>0</x:v>
      </x:c>
      <x:c r="L1268" s="13" t="n">
        <x:f>SUMIFS('Payments'!$D$5:$D$3014,'Payments'!$B$5:$B$3014,A1268)</x:f>
        <x:v>0</x:v>
      </x:c>
      <x:c r="M1268" s="13" t="n">
        <x:f>G1268-L1268</x:f>
        <x:v>17311.35</x:v>
      </x:c>
      <x:c r="N1268" s="9" t="str">
        <x:f>IF(H1268=0,"0 Current",IF(H1268&lt;=30,"1 1-30",IF(H1268&lt;=60,"2 31-60",IF(H1268&lt;=90,"3 61-90",IF(H1268&lt;=120,"4 91-120","5 121+")))))</x:f>
        <x:v>4 91-120</x:v>
      </x:c>
      <x:c r="O1268" s="9" t="n">
        <x:f>IF(J1268&gt;0,1,0)</x:f>
        <x:v>1</x:v>
      </x:c>
    </x:row>
    <x:row r="1269">
      <x:c r="A1269" s="15" t="str">
        <x:v>1265</x:v>
      </x:c>
      <x:c r="B1269" s="9" t="str">
        <x:v>Casey</x:v>
      </x:c>
      <x:c r="C1269" s="9" t="str">
        <x:v>Auto</x:v>
      </x:c>
      <x:c r="D1269" s="9" t="str">
        <x:v>Midwest</x:v>
      </x:c>
      <x:c r="E1269" s="9" t="n">
        <x:v>463</x:v>
      </x:c>
      <x:c r="F1269" s="11" t="n">
        <x:v>46023</x:v>
      </x:c>
      <x:c r="G1269" s="13" t="n">
        <x:v>19155.17</x:v>
      </x:c>
      <x:c r="H1269" s="9" t="n">
        <x:v>205</x:v>
      </x:c>
      <x:c r="I1269" s="9" t="n">
        <x:v>0</x:v>
      </x:c>
      <x:c r="J1269" s="9" t="n">
        <x:v>0</x:v>
      </x:c>
      <x:c r="K1269" s="9" t="n">
        <x:v>0</x:v>
      </x:c>
      <x:c r="L1269" s="13" t="n">
        <x:f>SUMIFS('Payments'!$D$5:$D$3014,'Payments'!$B$5:$B$3014,A1269)</x:f>
        <x:v>0</x:v>
      </x:c>
      <x:c r="M1269" s="13" t="n">
        <x:f>G1269-L1269</x:f>
        <x:v>19155.17</x:v>
      </x:c>
      <x:c r="N1269" s="9" t="str">
        <x:f>IF(H1269=0,"0 Current",IF(H1269&lt;=30,"1 1-30",IF(H1269&lt;=60,"2 31-60",IF(H1269&lt;=90,"3 61-90",IF(H1269&lt;=120,"4 91-120","5 121+")))))</x:f>
        <x:v>5 121+</x:v>
      </x:c>
      <x:c r="O1269" s="9" t="n">
        <x:f>IF(J1269&gt;0,1,0)</x:f>
        <x:v>0</x:v>
      </x:c>
    </x:row>
    <x:row r="1270">
      <x:c r="A1270" s="15" t="str">
        <x:v>1266</x:v>
      </x:c>
      <x:c r="B1270" s="9" t="str">
        <x:v>Riley</x:v>
      </x:c>
      <x:c r="C1270" s="9" t="str">
        <x:v>Auto</x:v>
      </x:c>
      <x:c r="D1270" s="9" t="str">
        <x:v>Midwest</x:v>
      </x:c>
      <x:c r="E1270" s="9" t="n">
        <x:v>696</x:v>
      </x:c>
      <x:c r="F1270" s="11" t="n">
        <x:v>46162</x:v>
      </x:c>
      <x:c r="G1270" s="13" t="n">
        <x:v>2989.48</x:v>
      </x:c>
      <x:c r="H1270" s="9" t="n">
        <x:v>21</x:v>
      </x:c>
      <x:c r="I1270" s="9" t="n">
        <x:v>5</x:v>
      </x:c>
      <x:c r="J1270" s="9" t="n">
        <x:v>2</x:v>
      </x:c>
      <x:c r="K1270" s="9" t="n">
        <x:v>1</x:v>
      </x:c>
      <x:c r="L1270" s="13" t="n">
        <x:f>SUMIFS('Payments'!$D$5:$D$3014,'Payments'!$B$5:$B$3014,A1270)</x:f>
        <x:v>571.89</x:v>
      </x:c>
      <x:c r="M1270" s="13" t="n">
        <x:f>G1270-L1270</x:f>
        <x:v>2417.59</x:v>
      </x:c>
      <x:c r="N1270" s="9" t="str">
        <x:f>IF(H1270=0,"0 Current",IF(H1270&lt;=30,"1 1-30",IF(H1270&lt;=60,"2 31-60",IF(H1270&lt;=90,"3 61-90",IF(H1270&lt;=120,"4 91-120","5 121+")))))</x:f>
        <x:v>1 1-30</x:v>
      </x:c>
      <x:c r="O1270" s="9" t="n">
        <x:f>IF(J1270&gt;0,1,0)</x:f>
        <x:v>1</x:v>
      </x:c>
    </x:row>
    <x:row r="1271">
      <x:c r="A1271" s="15" t="str">
        <x:v>1267</x:v>
      </x:c>
      <x:c r="B1271" s="9" t="str">
        <x:v>Jordan</x:v>
      </x:c>
      <x:c r="C1271" s="9" t="str">
        <x:v>Medical</x:v>
      </x:c>
      <x:c r="D1271" s="9" t="str">
        <x:v>South</x:v>
      </x:c>
      <x:c r="E1271" s="9" t="n">
        <x:v>797</x:v>
      </x:c>
      <x:c r="F1271" s="11" t="n">
        <x:v>46114</x:v>
      </x:c>
      <x:c r="G1271" s="13" t="n">
        <x:v>21200.25</x:v>
      </x:c>
      <x:c r="H1271" s="9" t="n">
        <x:v>65</x:v>
      </x:c>
      <x:c r="I1271" s="9" t="n">
        <x:v>8</x:v>
      </x:c>
      <x:c r="J1271" s="9" t="n">
        <x:v>2</x:v>
      </x:c>
      <x:c r="K1271" s="9" t="n">
        <x:v>0</x:v>
      </x:c>
      <x:c r="L1271" s="13" t="n">
        <x:f>SUMIFS('Payments'!$D$5:$D$3014,'Payments'!$B$5:$B$3014,A1271)</x:f>
        <x:v>2593.6299999999997</x:v>
      </x:c>
      <x:c r="M1271" s="13" t="n">
        <x:f>G1271-L1271</x:f>
        <x:v>18606.62</x:v>
      </x:c>
      <x:c r="N1271" s="9" t="str">
        <x:f>IF(H1271=0,"0 Current",IF(H1271&lt;=30,"1 1-30",IF(H1271&lt;=60,"2 31-60",IF(H1271&lt;=90,"3 61-90",IF(H1271&lt;=120,"4 91-120","5 121+")))))</x:f>
        <x:v>3 61-90</x:v>
      </x:c>
      <x:c r="O1271" s="9" t="n">
        <x:f>IF(J1271&gt;0,1,0)</x:f>
        <x:v>1</x:v>
      </x:c>
    </x:row>
    <x:row r="1272">
      <x:c r="A1272" s="15" t="str">
        <x:v>1268</x:v>
      </x:c>
      <x:c r="B1272" s="9" t="str">
        <x:v>Riley</x:v>
      </x:c>
      <x:c r="C1272" s="9" t="str">
        <x:v>Personal Loan</x:v>
      </x:c>
      <x:c r="D1272" s="9" t="str">
        <x:v>West</x:v>
      </x:c>
      <x:c r="E1272" s="9" t="n">
        <x:v>714</x:v>
      </x:c>
      <x:c r="F1272" s="11" t="n">
        <x:v>46089</x:v>
      </x:c>
      <x:c r="G1272" s="13" t="n">
        <x:v>3381.95</x:v>
      </x:c>
      <x:c r="H1272" s="9" t="n">
        <x:v>1</x:v>
      </x:c>
      <x:c r="I1272" s="9" t="n">
        <x:v>8</x:v>
      </x:c>
      <x:c r="J1272" s="9" t="n">
        <x:v>3</x:v>
      </x:c>
      <x:c r="K1272" s="9" t="n">
        <x:v>1</x:v>
      </x:c>
      <x:c r="L1272" s="13" t="n">
        <x:f>SUMIFS('Payments'!$D$5:$D$3014,'Payments'!$B$5:$B$3014,A1272)</x:f>
        <x:v>142.19</x:v>
      </x:c>
      <x:c r="M1272" s="13" t="n">
        <x:f>G1272-L1272</x:f>
        <x:v>3239.7599999999998</x:v>
      </x:c>
      <x:c r="N1272" s="9" t="str">
        <x:f>IF(H1272=0,"0 Current",IF(H1272&lt;=30,"1 1-30",IF(H1272&lt;=60,"2 31-60",IF(H1272&lt;=90,"3 61-90",IF(H1272&lt;=120,"4 91-120","5 121+")))))</x:f>
        <x:v>1 1-30</x:v>
      </x:c>
      <x:c r="O1272" s="9" t="n">
        <x:f>IF(J1272&gt;0,1,0)</x:f>
        <x:v>1</x:v>
      </x:c>
    </x:row>
    <x:row r="1273">
      <x:c r="A1273" s="15" t="str">
        <x:v>1269</x:v>
      </x:c>
      <x:c r="B1273" s="9" t="str">
        <x:v>Casey</x:v>
      </x:c>
      <x:c r="C1273" s="9" t="str">
        <x:v>Auto</x:v>
      </x:c>
      <x:c r="D1273" s="9" t="str">
        <x:v>South</x:v>
      </x:c>
      <x:c r="E1273" s="9" t="n">
        <x:v>637</x:v>
      </x:c>
      <x:c r="F1273" s="11" t="n">
        <x:v>46099</x:v>
      </x:c>
      <x:c r="G1273" s="13" t="n">
        <x:v>11731.55</x:v>
      </x:c>
      <x:c r="H1273" s="9" t="n">
        <x:v>15</x:v>
      </x:c>
      <x:c r="I1273" s="9" t="n">
        <x:v>5</x:v>
      </x:c>
      <x:c r="J1273" s="9" t="n">
        <x:v>3</x:v>
      </x:c>
      <x:c r="K1273" s="9" t="n">
        <x:v>0</x:v>
      </x:c>
      <x:c r="L1273" s="13" t="n">
        <x:f>SUMIFS('Payments'!$D$5:$D$3014,'Payments'!$B$5:$B$3014,A1273)</x:f>
        <x:v>128.54</x:v>
      </x:c>
      <x:c r="M1273" s="13" t="n">
        <x:f>G1273-L1273</x:f>
        <x:v>11603.009999999998</x:v>
      </x:c>
      <x:c r="N1273" s="9" t="str">
        <x:f>IF(H1273=0,"0 Current",IF(H1273&lt;=30,"1 1-30",IF(H1273&lt;=60,"2 31-60",IF(H1273&lt;=90,"3 61-90",IF(H1273&lt;=120,"4 91-120","5 121+")))))</x:f>
        <x:v>1 1-30</x:v>
      </x:c>
      <x:c r="O1273" s="9" t="n">
        <x:f>IF(J1273&gt;0,1,0)</x:f>
        <x:v>1</x:v>
      </x:c>
    </x:row>
    <x:row r="1274">
      <x:c r="A1274" s="15" t="str">
        <x:v>1270</x:v>
      </x:c>
      <x:c r="B1274" s="9" t="str">
        <x:v>Taylor</x:v>
      </x:c>
      <x:c r="C1274" s="9" t="str">
        <x:v>Credit Card</x:v>
      </x:c>
      <x:c r="D1274" s="9" t="str">
        <x:v>Midwest</x:v>
      </x:c>
      <x:c r="E1274" s="9" t="n">
        <x:v>421</x:v>
      </x:c>
      <x:c r="F1274" s="11" t="n">
        <x:v>46077</x:v>
      </x:c>
      <x:c r="G1274" s="13" t="n">
        <x:v>11787.49</x:v>
      </x:c>
      <x:c r="H1274" s="9" t="n">
        <x:v>149</x:v>
      </x:c>
      <x:c r="I1274" s="9" t="n">
        <x:v>7</x:v>
      </x:c>
      <x:c r="J1274" s="9" t="n">
        <x:v>2</x:v>
      </x:c>
      <x:c r="K1274" s="9" t="n">
        <x:v>1</x:v>
      </x:c>
      <x:c r="L1274" s="13" t="n">
        <x:f>SUMIFS('Payments'!$D$5:$D$3014,'Payments'!$B$5:$B$3014,A1274)</x:f>
        <x:v>2721.25</x:v>
      </x:c>
      <x:c r="M1274" s="13" t="n">
        <x:f>G1274-L1274</x:f>
        <x:v>9066.24</x:v>
      </x:c>
      <x:c r="N1274" s="9" t="str">
        <x:f>IF(H1274=0,"0 Current",IF(H1274&lt;=30,"1 1-30",IF(H1274&lt;=60,"2 31-60",IF(H1274&lt;=90,"3 61-90",IF(H1274&lt;=120,"4 91-120","5 121+")))))</x:f>
        <x:v>5 121+</x:v>
      </x:c>
      <x:c r="O1274" s="9" t="n">
        <x:f>IF(J1274&gt;0,1,0)</x:f>
        <x:v>1</x:v>
      </x:c>
    </x:row>
    <x:row r="1275">
      <x:c r="A1275" s="15" t="str">
        <x:v>1271</x:v>
      </x:c>
      <x:c r="B1275" s="9" t="str">
        <x:v>Morgan</x:v>
      </x:c>
      <x:c r="C1275" s="9" t="str">
        <x:v>Personal Loan</x:v>
      </x:c>
      <x:c r="D1275" s="9" t="str">
        <x:v>Midwest</x:v>
      </x:c>
      <x:c r="E1275" s="9" t="n">
        <x:v>683</x:v>
      </x:c>
      <x:c r="F1275" s="11" t="n">
        <x:v>46075</x:v>
      </x:c>
      <x:c r="G1275" s="13" t="n">
        <x:v>15345.21</x:v>
      </x:c>
      <x:c r="H1275" s="9" t="n">
        <x:v>130</x:v>
      </x:c>
      <x:c r="I1275" s="9" t="n">
        <x:v>5</x:v>
      </x:c>
      <x:c r="J1275" s="9" t="n">
        <x:v>2</x:v>
      </x:c>
      <x:c r="K1275" s="9" t="n">
        <x:v>0</x:v>
      </x:c>
      <x:c r="L1275" s="13" t="n">
        <x:f>SUMIFS('Payments'!$D$5:$D$3014,'Payments'!$B$5:$B$3014,A1275)</x:f>
        <x:v>0</x:v>
      </x:c>
      <x:c r="M1275" s="13" t="n">
        <x:f>G1275-L1275</x:f>
        <x:v>15345.21</x:v>
      </x:c>
      <x:c r="N1275" s="9" t="str">
        <x:f>IF(H1275=0,"0 Current",IF(H1275&lt;=30,"1 1-30",IF(H1275&lt;=60,"2 31-60",IF(H1275&lt;=90,"3 61-90",IF(H1275&lt;=120,"4 91-120","5 121+")))))</x:f>
        <x:v>5 121+</x:v>
      </x:c>
      <x:c r="O1275" s="9" t="n">
        <x:f>IF(J1275&gt;0,1,0)</x:f>
        <x:v>1</x:v>
      </x:c>
    </x:row>
    <x:row r="1276">
      <x:c r="A1276" s="15" t="str">
        <x:v>1272</x:v>
      </x:c>
      <x:c r="B1276" s="9" t="str">
        <x:v>Casey</x:v>
      </x:c>
      <x:c r="C1276" s="9" t="str">
        <x:v>Medical</x:v>
      </x:c>
      <x:c r="D1276" s="9" t="str">
        <x:v>West</x:v>
      </x:c>
      <x:c r="E1276" s="9" t="n">
        <x:v>701</x:v>
      </x:c>
      <x:c r="F1276" s="11" t="n">
        <x:v>46087</x:v>
      </x:c>
      <x:c r="G1276" s="13" t="n">
        <x:v>11835.72</x:v>
      </x:c>
      <x:c r="H1276" s="9" t="n">
        <x:v>23</x:v>
      </x:c>
      <x:c r="I1276" s="9" t="n">
        <x:v>8</x:v>
      </x:c>
      <x:c r="J1276" s="9" t="n">
        <x:v>3</x:v>
      </x:c>
      <x:c r="K1276" s="9" t="n">
        <x:v>0</x:v>
      </x:c>
      <x:c r="L1276" s="13" t="n">
        <x:f>SUMIFS('Payments'!$D$5:$D$3014,'Payments'!$B$5:$B$3014,A1276)</x:f>
        <x:v>1777.3</x:v>
      </x:c>
      <x:c r="M1276" s="13" t="n">
        <x:f>G1276-L1276</x:f>
        <x:v>10058.42</x:v>
      </x:c>
      <x:c r="N1276" s="9" t="str">
        <x:f>IF(H1276=0,"0 Current",IF(H1276&lt;=30,"1 1-30",IF(H1276&lt;=60,"2 31-60",IF(H1276&lt;=90,"3 61-90",IF(H1276&lt;=120,"4 91-120","5 121+")))))</x:f>
        <x:v>1 1-30</x:v>
      </x:c>
      <x:c r="O1276" s="9" t="n">
        <x:f>IF(J1276&gt;0,1,0)</x:f>
        <x:v>1</x:v>
      </x:c>
    </x:row>
    <x:row r="1277">
      <x:c r="A1277" s="15" t="str">
        <x:v>1273</x:v>
      </x:c>
      <x:c r="B1277" s="9" t="str">
        <x:v>Taylor</x:v>
      </x:c>
      <x:c r="C1277" s="9" t="str">
        <x:v>Credit Card</x:v>
      </x:c>
      <x:c r="D1277" s="9" t="str">
        <x:v>Midwest</x:v>
      </x:c>
      <x:c r="E1277" s="9" t="n">
        <x:v>816</x:v>
      </x:c>
      <x:c r="F1277" s="11" t="n">
        <x:v>46116</x:v>
      </x:c>
      <x:c r="G1277" s="13" t="n">
        <x:v>5268.03</x:v>
      </x:c>
      <x:c r="H1277" s="9" t="n">
        <x:v>131</x:v>
      </x:c>
      <x:c r="I1277" s="9" t="n">
        <x:v>3</x:v>
      </x:c>
      <x:c r="J1277" s="9" t="n">
        <x:v>2</x:v>
      </x:c>
      <x:c r="K1277" s="9" t="n">
        <x:v>0</x:v>
      </x:c>
      <x:c r="L1277" s="13" t="n">
        <x:f>SUMIFS('Payments'!$D$5:$D$3014,'Payments'!$B$5:$B$3014,A1277)</x:f>
        <x:v>1451.82</x:v>
      </x:c>
      <x:c r="M1277" s="13" t="n">
        <x:f>G1277-L1277</x:f>
        <x:v>3816.21</x:v>
      </x:c>
      <x:c r="N1277" s="9" t="str">
        <x:f>IF(H1277=0,"0 Current",IF(H1277&lt;=30,"1 1-30",IF(H1277&lt;=60,"2 31-60",IF(H1277&lt;=90,"3 61-90",IF(H1277&lt;=120,"4 91-120","5 121+")))))</x:f>
        <x:v>5 121+</x:v>
      </x:c>
      <x:c r="O1277" s="9" t="n">
        <x:f>IF(J1277&gt;0,1,0)</x:f>
        <x:v>1</x:v>
      </x:c>
    </x:row>
    <x:row r="1278">
      <x:c r="A1278" s="15" t="str">
        <x:v>1274</x:v>
      </x:c>
      <x:c r="B1278" s="9" t="str">
        <x:v>Taylor</x:v>
      </x:c>
      <x:c r="C1278" s="9" t="str">
        <x:v>Personal Loan</x:v>
      </x:c>
      <x:c r="D1278" s="9" t="str">
        <x:v>West</x:v>
      </x:c>
      <x:c r="E1278" s="9" t="n">
        <x:v>735</x:v>
      </x:c>
      <x:c r="F1278" s="11" t="n">
        <x:v>46156</x:v>
      </x:c>
      <x:c r="G1278" s="13" t="n">
        <x:v>17127.55</x:v>
      </x:c>
      <x:c r="H1278" s="9" t="n">
        <x:v>27</x:v>
      </x:c>
      <x:c r="I1278" s="9" t="n">
        <x:v>0</x:v>
      </x:c>
      <x:c r="J1278" s="9" t="n">
        <x:v>0</x:v>
      </x:c>
      <x:c r="K1278" s="9" t="n">
        <x:v>0</x:v>
      </x:c>
      <x:c r="L1278" s="13" t="n">
        <x:f>SUMIFS('Payments'!$D$5:$D$3014,'Payments'!$B$5:$B$3014,A1278)</x:f>
        <x:v>4233.62</x:v>
      </x:c>
      <x:c r="M1278" s="13" t="n">
        <x:f>G1278-L1278</x:f>
        <x:v>12893.93</x:v>
      </x:c>
      <x:c r="N1278" s="9" t="str">
        <x:f>IF(H1278=0,"0 Current",IF(H1278&lt;=30,"1 1-30",IF(H1278&lt;=60,"2 31-60",IF(H1278&lt;=90,"3 61-90",IF(H1278&lt;=120,"4 91-120","5 121+")))))</x:f>
        <x:v>1 1-30</x:v>
      </x:c>
      <x:c r="O1278" s="9" t="n">
        <x:f>IF(J1278&gt;0,1,0)</x:f>
        <x:v>0</x:v>
      </x:c>
    </x:row>
    <x:row r="1279">
      <x:c r="A1279" s="15" t="str">
        <x:v>1275</x:v>
      </x:c>
      <x:c r="B1279" s="9" t="str">
        <x:v>Morgan</x:v>
      </x:c>
      <x:c r="C1279" s="9" t="str">
        <x:v>Medical</x:v>
      </x:c>
      <x:c r="D1279" s="9" t="str">
        <x:v>Northeast</x:v>
      </x:c>
      <x:c r="E1279" s="9" t="n">
        <x:v>578</x:v>
      </x:c>
      <x:c r="F1279" s="11" t="n">
        <x:v>46115</x:v>
      </x:c>
      <x:c r="G1279" s="13" t="n">
        <x:v>23511.46</x:v>
      </x:c>
      <x:c r="H1279" s="9" t="n">
        <x:v>117</x:v>
      </x:c>
      <x:c r="I1279" s="9" t="n">
        <x:v>3</x:v>
      </x:c>
      <x:c r="J1279" s="9" t="n">
        <x:v>2</x:v>
      </x:c>
      <x:c r="K1279" s="9" t="n">
        <x:v>0</x:v>
      </x:c>
      <x:c r="L1279" s="13" t="n">
        <x:f>SUMIFS('Payments'!$D$5:$D$3014,'Payments'!$B$5:$B$3014,A1279)</x:f>
        <x:v>5773.959999999999</x:v>
      </x:c>
      <x:c r="M1279" s="13" t="n">
        <x:f>G1279-L1279</x:f>
        <x:v>17737.5</x:v>
      </x:c>
      <x:c r="N1279" s="9" t="str">
        <x:f>IF(H1279=0,"0 Current",IF(H1279&lt;=30,"1 1-30",IF(H1279&lt;=60,"2 31-60",IF(H1279&lt;=90,"3 61-90",IF(H1279&lt;=120,"4 91-120","5 121+")))))</x:f>
        <x:v>4 91-120</x:v>
      </x:c>
      <x:c r="O1279" s="9" t="n">
        <x:f>IF(J1279&gt;0,1,0)</x:f>
        <x:v>1</x:v>
      </x:c>
    </x:row>
    <x:row r="1280">
      <x:c r="A1280" s="15" t="str">
        <x:v>1276</x:v>
      </x:c>
      <x:c r="B1280" s="9" t="str">
        <x:v>Alex</x:v>
      </x:c>
      <x:c r="C1280" s="9" t="str">
        <x:v>Credit Card</x:v>
      </x:c>
      <x:c r="D1280" s="9" t="str">
        <x:v>Midwest</x:v>
      </x:c>
      <x:c r="E1280" s="9" t="n">
        <x:v>732</x:v>
      </x:c>
      <x:c r="F1280" s="11" t="n">
        <x:v>46045</x:v>
      </x:c>
      <x:c r="G1280" s="13" t="n">
        <x:v>16083.11</x:v>
      </x:c>
      <x:c r="H1280" s="9" t="n">
        <x:v>119</x:v>
      </x:c>
      <x:c r="I1280" s="9" t="n">
        <x:v>4</x:v>
      </x:c>
      <x:c r="J1280" s="9" t="n">
        <x:v>3</x:v>
      </x:c>
      <x:c r="K1280" s="9" t="n">
        <x:v>1</x:v>
      </x:c>
      <x:c r="L1280" s="13" t="n">
        <x:f>SUMIFS('Payments'!$D$5:$D$3014,'Payments'!$B$5:$B$3014,A1280)</x:f>
        <x:v>4016.5099999999993</x:v>
      </x:c>
      <x:c r="M1280" s="13" t="n">
        <x:f>G1280-L1280</x:f>
        <x:v>12066.600000000002</x:v>
      </x:c>
      <x:c r="N1280" s="9" t="str">
        <x:f>IF(H1280=0,"0 Current",IF(H1280&lt;=30,"1 1-30",IF(H1280&lt;=60,"2 31-60",IF(H1280&lt;=90,"3 61-90",IF(H1280&lt;=120,"4 91-120","5 121+")))))</x:f>
        <x:v>4 91-120</x:v>
      </x:c>
      <x:c r="O1280" s="9" t="n">
        <x:f>IF(J1280&gt;0,1,0)</x:f>
        <x:v>1</x:v>
      </x:c>
    </x:row>
    <x:row r="1281">
      <x:c r="A1281" s="15" t="str">
        <x:v>1277</x:v>
      </x:c>
      <x:c r="B1281" s="9" t="str">
        <x:v>Taylor</x:v>
      </x:c>
      <x:c r="C1281" s="9" t="str">
        <x:v>Credit Card</x:v>
      </x:c>
      <x:c r="D1281" s="9" t="str">
        <x:v>Northeast</x:v>
      </x:c>
      <x:c r="E1281" s="9" t="n">
        <x:v>650</x:v>
      </x:c>
      <x:c r="F1281" s="11" t="n">
        <x:v>46059</x:v>
      </x:c>
      <x:c r="G1281" s="13" t="n">
        <x:v>9730.13</x:v>
      </x:c>
      <x:c r="H1281" s="9" t="n">
        <x:v>115</x:v>
      </x:c>
      <x:c r="I1281" s="9" t="n">
        <x:v>0</x:v>
      </x:c>
      <x:c r="J1281" s="9" t="n">
        <x:v>0</x:v>
      </x:c>
      <x:c r="K1281" s="9" t="n">
        <x:v>0</x:v>
      </x:c>
      <x:c r="L1281" s="13" t="n">
        <x:f>SUMIFS('Payments'!$D$5:$D$3014,'Payments'!$B$5:$B$3014,A1281)</x:f>
        <x:v>2086.54</x:v>
      </x:c>
      <x:c r="M1281" s="13" t="n">
        <x:f>G1281-L1281</x:f>
        <x:v>7643.589999999999</x:v>
      </x:c>
      <x:c r="N1281" s="9" t="str">
        <x:f>IF(H1281=0,"0 Current",IF(H1281&lt;=30,"1 1-30",IF(H1281&lt;=60,"2 31-60",IF(H1281&lt;=90,"3 61-90",IF(H1281&lt;=120,"4 91-120","5 121+")))))</x:f>
        <x:v>4 91-120</x:v>
      </x:c>
      <x:c r="O1281" s="9" t="n">
        <x:f>IF(J1281&gt;0,1,0)</x:f>
        <x:v>0</x:v>
      </x:c>
    </x:row>
    <x:row r="1282">
      <x:c r="A1282" s="15" t="str">
        <x:v>1278</x:v>
      </x:c>
      <x:c r="B1282" s="9" t="str">
        <x:v>Jordan</x:v>
      </x:c>
      <x:c r="C1282" s="9" t="str">
        <x:v>Auto</x:v>
      </x:c>
      <x:c r="D1282" s="9" t="str">
        <x:v>South</x:v>
      </x:c>
      <x:c r="E1282" s="9" t="n">
        <x:v>446</x:v>
      </x:c>
      <x:c r="F1282" s="11" t="n">
        <x:v>46132</x:v>
      </x:c>
      <x:c r="G1282" s="13" t="n">
        <x:v>13769.03</x:v>
      </x:c>
      <x:c r="H1282" s="9" t="n">
        <x:v>14</x:v>
      </x:c>
      <x:c r="I1282" s="9" t="n">
        <x:v>6</x:v>
      </x:c>
      <x:c r="J1282" s="9" t="n">
        <x:v>2</x:v>
      </x:c>
      <x:c r="K1282" s="9" t="n">
        <x:v>1</x:v>
      </x:c>
      <x:c r="L1282" s="13" t="n">
        <x:f>SUMIFS('Payments'!$D$5:$D$3014,'Payments'!$B$5:$B$3014,A1282)</x:f>
        <x:v>4270.47</x:v>
      </x:c>
      <x:c r="M1282" s="13" t="n">
        <x:f>G1282-L1282</x:f>
        <x:v>9498.560000000001</x:v>
      </x:c>
      <x:c r="N1282" s="9" t="str">
        <x:f>IF(H1282=0,"0 Current",IF(H1282&lt;=30,"1 1-30",IF(H1282&lt;=60,"2 31-60",IF(H1282&lt;=90,"3 61-90",IF(H1282&lt;=120,"4 91-120","5 121+")))))</x:f>
        <x:v>1 1-30</x:v>
      </x:c>
      <x:c r="O1282" s="9" t="n">
        <x:f>IF(J1282&gt;0,1,0)</x:f>
        <x:v>1</x:v>
      </x:c>
    </x:row>
    <x:row r="1283">
      <x:c r="A1283" s="15" t="str">
        <x:v>1279</x:v>
      </x:c>
      <x:c r="B1283" s="9" t="str">
        <x:v>Riley</x:v>
      </x:c>
      <x:c r="C1283" s="9" t="str">
        <x:v>Personal Loan</x:v>
      </x:c>
      <x:c r="D1283" s="9" t="str">
        <x:v>West</x:v>
      </x:c>
      <x:c r="E1283" s="9" t="n">
        <x:v>450</x:v>
      </x:c>
      <x:c r="F1283" s="11" t="n">
        <x:v>46039</x:v>
      </x:c>
      <x:c r="G1283" s="13" t="n">
        <x:v>15295.08</x:v>
      </x:c>
      <x:c r="H1283" s="9" t="n">
        <x:v>126</x:v>
      </x:c>
      <x:c r="I1283" s="9" t="n">
        <x:v>6</x:v>
      </x:c>
      <x:c r="J1283" s="9" t="n">
        <x:v>1</x:v>
      </x:c>
      <x:c r="K1283" s="9" t="n">
        <x:v>1</x:v>
      </x:c>
      <x:c r="L1283" s="13" t="n">
        <x:f>SUMIFS('Payments'!$D$5:$D$3014,'Payments'!$B$5:$B$3014,A1283)</x:f>
        <x:v>4279.4400000000005</x:v>
      </x:c>
      <x:c r="M1283" s="13" t="n">
        <x:f>G1283-L1283</x:f>
        <x:v>11015.64</x:v>
      </x:c>
      <x:c r="N1283" s="9" t="str">
        <x:f>IF(H1283=0,"0 Current",IF(H1283&lt;=30,"1 1-30",IF(H1283&lt;=60,"2 31-60",IF(H1283&lt;=90,"3 61-90",IF(H1283&lt;=120,"4 91-120","5 121+")))))</x:f>
        <x:v>5 121+</x:v>
      </x:c>
      <x:c r="O1283" s="9" t="n">
        <x:f>IF(J1283&gt;0,1,0)</x:f>
        <x:v>1</x:v>
      </x:c>
    </x:row>
    <x:row r="1284">
      <x:c r="A1284" s="15" t="str">
        <x:v>1280</x:v>
      </x:c>
      <x:c r="B1284" s="9" t="str">
        <x:v>Alex</x:v>
      </x:c>
      <x:c r="C1284" s="9" t="str">
        <x:v>Medical</x:v>
      </x:c>
      <x:c r="D1284" s="9" t="str">
        <x:v>West</x:v>
      </x:c>
      <x:c r="E1284" s="9" t="n">
        <x:v>790</x:v>
      </x:c>
      <x:c r="F1284" s="11" t="n">
        <x:v>46145</x:v>
      </x:c>
      <x:c r="G1284" s="13" t="n">
        <x:v>17218.23</x:v>
      </x:c>
      <x:c r="H1284" s="9" t="n">
        <x:v>151</x:v>
      </x:c>
      <x:c r="I1284" s="9" t="n">
        <x:v>0</x:v>
      </x:c>
      <x:c r="J1284" s="9" t="n">
        <x:v>0</x:v>
      </x:c>
      <x:c r="K1284" s="9" t="n">
        <x:v>0</x:v>
      </x:c>
      <x:c r="L1284" s="13" t="n">
        <x:f>SUMIFS('Payments'!$D$5:$D$3014,'Payments'!$B$5:$B$3014,A1284)</x:f>
        <x:v>3944.48</x:v>
      </x:c>
      <x:c r="M1284" s="13" t="n">
        <x:f>G1284-L1284</x:f>
        <x:v>13273.75</x:v>
      </x:c>
      <x:c r="N1284" s="9" t="str">
        <x:f>IF(H1284=0,"0 Current",IF(H1284&lt;=30,"1 1-30",IF(H1284&lt;=60,"2 31-60",IF(H1284&lt;=90,"3 61-90",IF(H1284&lt;=120,"4 91-120","5 121+")))))</x:f>
        <x:v>5 121+</x:v>
      </x:c>
      <x:c r="O1284" s="9" t="n">
        <x:f>IF(J1284&gt;0,1,0)</x:f>
        <x:v>0</x:v>
      </x:c>
    </x:row>
    <x:row r="1285">
      <x:c r="A1285" s="15" t="str">
        <x:v>1281</x:v>
      </x:c>
      <x:c r="B1285" s="9" t="str">
        <x:v>Riley</x:v>
      </x:c>
      <x:c r="C1285" s="9" t="str">
        <x:v>Credit Card</x:v>
      </x:c>
      <x:c r="D1285" s="9" t="str">
        <x:v>Midwest</x:v>
      </x:c>
      <x:c r="E1285" s="9" t="n">
        <x:v>750</x:v>
      </x:c>
      <x:c r="F1285" s="11" t="n">
        <x:v>46108</x:v>
      </x:c>
      <x:c r="G1285" s="13" t="n">
        <x:v>4200.03</x:v>
      </x:c>
      <x:c r="H1285" s="9" t="n">
        <x:v>39</x:v>
      </x:c>
      <x:c r="I1285" s="9" t="n">
        <x:v>8</x:v>
      </x:c>
      <x:c r="J1285" s="9" t="n">
        <x:v>3</x:v>
      </x:c>
      <x:c r="K1285" s="9" t="n">
        <x:v>0</x:v>
      </x:c>
      <x:c r="L1285" s="13" t="n">
        <x:f>SUMIFS('Payments'!$D$5:$D$3014,'Payments'!$B$5:$B$3014,A1285)</x:f>
        <x:v>1574.27</x:v>
      </x:c>
      <x:c r="M1285" s="13" t="n">
        <x:f>G1285-L1285</x:f>
        <x:v>2625.7599999999998</x:v>
      </x:c>
      <x:c r="N1285" s="9" t="str">
        <x:f>IF(H1285=0,"0 Current",IF(H1285&lt;=30,"1 1-30",IF(H1285&lt;=60,"2 31-60",IF(H1285&lt;=90,"3 61-90",IF(H1285&lt;=120,"4 91-120","5 121+")))))</x:f>
        <x:v>2 31-60</x:v>
      </x:c>
      <x:c r="O1285" s="9" t="n">
        <x:f>IF(J1285&gt;0,1,0)</x:f>
        <x:v>1</x:v>
      </x:c>
    </x:row>
    <x:row r="1286">
      <x:c r="A1286" s="15" t="str">
        <x:v>1282</x:v>
      </x:c>
      <x:c r="B1286" s="9" t="str">
        <x:v>Morgan</x:v>
      </x:c>
      <x:c r="C1286" s="9" t="str">
        <x:v>Medical</x:v>
      </x:c>
      <x:c r="D1286" s="9" t="str">
        <x:v>South</x:v>
      </x:c>
      <x:c r="E1286" s="9" t="n">
        <x:v>477</x:v>
      </x:c>
      <x:c r="F1286" s="11" t="n">
        <x:v>46165</x:v>
      </x:c>
      <x:c r="G1286" s="13" t="n">
        <x:v>6538.89</x:v>
      </x:c>
      <x:c r="H1286" s="9" t="n">
        <x:v>57</x:v>
      </x:c>
      <x:c r="I1286" s="9" t="n">
        <x:v>7</x:v>
      </x:c>
      <x:c r="J1286" s="9" t="n">
        <x:v>3</x:v>
      </x:c>
      <x:c r="K1286" s="9" t="n">
        <x:v>1</x:v>
      </x:c>
      <x:c r="L1286" s="13" t="n">
        <x:f>SUMIFS('Payments'!$D$5:$D$3014,'Payments'!$B$5:$B$3014,A1286)</x:f>
        <x:v>1088.45</x:v>
      </x:c>
      <x:c r="M1286" s="13" t="n">
        <x:f>G1286-L1286</x:f>
        <x:v>5450.4400000000005</x:v>
      </x:c>
      <x:c r="N1286" s="9" t="str">
        <x:f>IF(H1286=0,"0 Current",IF(H1286&lt;=30,"1 1-30",IF(H1286&lt;=60,"2 31-60",IF(H1286&lt;=90,"3 61-90",IF(H1286&lt;=120,"4 91-120","5 121+")))))</x:f>
        <x:v>2 31-60</x:v>
      </x:c>
      <x:c r="O1286" s="9" t="n">
        <x:f>IF(J1286&gt;0,1,0)</x:f>
        <x:v>1</x:v>
      </x:c>
    </x:row>
    <x:row r="1287">
      <x:c r="A1287" s="15" t="str">
        <x:v>1283</x:v>
      </x:c>
      <x:c r="B1287" s="9" t="str">
        <x:v>Morgan</x:v>
      </x:c>
      <x:c r="C1287" s="9" t="str">
        <x:v>Medical</x:v>
      </x:c>
      <x:c r="D1287" s="9" t="str">
        <x:v>West</x:v>
      </x:c>
      <x:c r="E1287" s="9" t="n">
        <x:v>774</x:v>
      </x:c>
      <x:c r="F1287" s="11" t="n">
        <x:v>46137</x:v>
      </x:c>
      <x:c r="G1287" s="13" t="n">
        <x:v>1056.57</x:v>
      </x:c>
      <x:c r="H1287" s="9" t="n">
        <x:v>189</x:v>
      </x:c>
      <x:c r="I1287" s="9" t="n">
        <x:v>2</x:v>
      </x:c>
      <x:c r="J1287" s="9" t="n">
        <x:v>0</x:v>
      </x:c>
      <x:c r="K1287" s="9" t="n">
        <x:v>0</x:v>
      </x:c>
      <x:c r="L1287" s="13" t="n">
        <x:f>SUMIFS('Payments'!$D$5:$D$3014,'Payments'!$B$5:$B$3014,A1287)</x:f>
        <x:v>0</x:v>
      </x:c>
      <x:c r="M1287" s="13" t="n">
        <x:f>G1287-L1287</x:f>
        <x:v>1056.57</x:v>
      </x:c>
      <x:c r="N1287" s="9" t="str">
        <x:f>IF(H1287=0,"0 Current",IF(H1287&lt;=30,"1 1-30",IF(H1287&lt;=60,"2 31-60",IF(H1287&lt;=90,"3 61-90",IF(H1287&lt;=120,"4 91-120","5 121+")))))</x:f>
        <x:v>5 121+</x:v>
      </x:c>
      <x:c r="O1287" s="9" t="n">
        <x:f>IF(J1287&gt;0,1,0)</x:f>
        <x:v>0</x:v>
      </x:c>
    </x:row>
    <x:row r="1288">
      <x:c r="A1288" s="15" t="str">
        <x:v>1284</x:v>
      </x:c>
      <x:c r="B1288" s="9" t="str">
        <x:v>Morgan</x:v>
      </x:c>
      <x:c r="C1288" s="9" t="str">
        <x:v>Personal Loan</x:v>
      </x:c>
      <x:c r="D1288" s="9" t="str">
        <x:v>Northeast</x:v>
      </x:c>
      <x:c r="E1288" s="9" t="n">
        <x:v>768</x:v>
      </x:c>
      <x:c r="F1288" s="11" t="n">
        <x:v>46033</x:v>
      </x:c>
      <x:c r="G1288" s="13" t="n">
        <x:v>13850.12</x:v>
      </x:c>
      <x:c r="H1288" s="9" t="n">
        <x:v>32</x:v>
      </x:c>
      <x:c r="I1288" s="9" t="n">
        <x:v>8</x:v>
      </x:c>
      <x:c r="J1288" s="9" t="n">
        <x:v>3</x:v>
      </x:c>
      <x:c r="K1288" s="9" t="n">
        <x:v>1</x:v>
      </x:c>
      <x:c r="L1288" s="13" t="n">
        <x:f>SUMIFS('Payments'!$D$5:$D$3014,'Payments'!$B$5:$B$3014,A1288)</x:f>
        <x:v>0</x:v>
      </x:c>
      <x:c r="M1288" s="13" t="n">
        <x:f>G1288-L1288</x:f>
        <x:v>13850.12</x:v>
      </x:c>
      <x:c r="N1288" s="9" t="str">
        <x:f>IF(H1288=0,"0 Current",IF(H1288&lt;=30,"1 1-30",IF(H1288&lt;=60,"2 31-60",IF(H1288&lt;=90,"3 61-90",IF(H1288&lt;=120,"4 91-120","5 121+")))))</x:f>
        <x:v>2 31-60</x:v>
      </x:c>
      <x:c r="O1288" s="9" t="n">
        <x:f>IF(J1288&gt;0,1,0)</x:f>
        <x:v>1</x:v>
      </x:c>
    </x:row>
    <x:row r="1289">
      <x:c r="A1289" s="15" t="str">
        <x:v>1285</x:v>
      </x:c>
      <x:c r="B1289" s="9" t="str">
        <x:v>Casey</x:v>
      </x:c>
      <x:c r="C1289" s="9" t="str">
        <x:v>Credit Card</x:v>
      </x:c>
      <x:c r="D1289" s="9" t="str">
        <x:v>South</x:v>
      </x:c>
      <x:c r="E1289" s="9" t="n">
        <x:v>560</x:v>
      </x:c>
      <x:c r="F1289" s="11" t="n">
        <x:v>46049</x:v>
      </x:c>
      <x:c r="G1289" s="13" t="n">
        <x:v>6891.46</x:v>
      </x:c>
      <x:c r="H1289" s="9" t="n">
        <x:v>50</x:v>
      </x:c>
      <x:c r="I1289" s="9" t="n">
        <x:v>8</x:v>
      </x:c>
      <x:c r="J1289" s="9" t="n">
        <x:v>3</x:v>
      </x:c>
      <x:c r="K1289" s="9" t="n">
        <x:v>0</x:v>
      </x:c>
      <x:c r="L1289" s="13" t="n">
        <x:f>SUMIFS('Payments'!$D$5:$D$3014,'Payments'!$B$5:$B$3014,A1289)</x:f>
        <x:v>1704.27</x:v>
      </x:c>
      <x:c r="M1289" s="13" t="n">
        <x:f>G1289-L1289</x:f>
        <x:v>5187.1900000000005</x:v>
      </x:c>
      <x:c r="N1289" s="9" t="str">
        <x:f>IF(H1289=0,"0 Current",IF(H1289&lt;=30,"1 1-30",IF(H1289&lt;=60,"2 31-60",IF(H1289&lt;=90,"3 61-90",IF(H1289&lt;=120,"4 91-120","5 121+")))))</x:f>
        <x:v>2 31-60</x:v>
      </x:c>
      <x:c r="O1289" s="9" t="n">
        <x:f>IF(J1289&gt;0,1,0)</x:f>
        <x:v>1</x:v>
      </x:c>
    </x:row>
    <x:row r="1290">
      <x:c r="A1290" s="15" t="str">
        <x:v>1286</x:v>
      </x:c>
      <x:c r="B1290" s="9" t="str">
        <x:v>Jordan</x:v>
      </x:c>
      <x:c r="C1290" s="9" t="str">
        <x:v>Auto</x:v>
      </x:c>
      <x:c r="D1290" s="9" t="str">
        <x:v>Northeast</x:v>
      </x:c>
      <x:c r="E1290" s="9" t="n">
        <x:v>632</x:v>
      </x:c>
      <x:c r="F1290" s="11" t="n">
        <x:v>46154</x:v>
      </x:c>
      <x:c r="G1290" s="13" t="n">
        <x:v>12744.11</x:v>
      </x:c>
      <x:c r="H1290" s="9" t="n">
        <x:v>147</x:v>
      </x:c>
      <x:c r="I1290" s="9" t="n">
        <x:v>6</x:v>
      </x:c>
      <x:c r="J1290" s="9" t="n">
        <x:v>3</x:v>
      </x:c>
      <x:c r="K1290" s="9" t="n">
        <x:v>0</x:v>
      </x:c>
      <x:c r="L1290" s="13" t="n">
        <x:f>SUMIFS('Payments'!$D$5:$D$3014,'Payments'!$B$5:$B$3014,A1290)</x:f>
        <x:v>692.76</x:v>
      </x:c>
      <x:c r="M1290" s="13" t="n">
        <x:f>G1290-L1290</x:f>
        <x:v>12051.35</x:v>
      </x:c>
      <x:c r="N1290" s="9" t="str">
        <x:f>IF(H1290=0,"0 Current",IF(H1290&lt;=30,"1 1-30",IF(H1290&lt;=60,"2 31-60",IF(H1290&lt;=90,"3 61-90",IF(H1290&lt;=120,"4 91-120","5 121+")))))</x:f>
        <x:v>5 121+</x:v>
      </x:c>
      <x:c r="O1290" s="9" t="n">
        <x:f>IF(J1290&gt;0,1,0)</x:f>
        <x:v>1</x:v>
      </x:c>
    </x:row>
    <x:row r="1291">
      <x:c r="A1291" s="15" t="str">
        <x:v>1287</x:v>
      </x:c>
      <x:c r="B1291" s="9" t="str">
        <x:v>Jordan</x:v>
      </x:c>
      <x:c r="C1291" s="9" t="str">
        <x:v>Auto</x:v>
      </x:c>
      <x:c r="D1291" s="9" t="str">
        <x:v>South</x:v>
      </x:c>
      <x:c r="E1291" s="9" t="n">
        <x:v>813</x:v>
      </x:c>
      <x:c r="F1291" s="11" t="n">
        <x:v>46076</x:v>
      </x:c>
      <x:c r="G1291" s="13" t="n">
        <x:v>5492.27</x:v>
      </x:c>
      <x:c r="H1291" s="9" t="n">
        <x:v>93</x:v>
      </x:c>
      <x:c r="I1291" s="9" t="n">
        <x:v>8</x:v>
      </x:c>
      <x:c r="J1291" s="9" t="n">
        <x:v>3</x:v>
      </x:c>
      <x:c r="K1291" s="9" t="n">
        <x:v>1</x:v>
      </x:c>
      <x:c r="L1291" s="13" t="n">
        <x:f>SUMIFS('Payments'!$D$5:$D$3014,'Payments'!$B$5:$B$3014,A1291)</x:f>
        <x:v>952.4799999999999</x:v>
      </x:c>
      <x:c r="M1291" s="13" t="n">
        <x:f>G1291-L1291</x:f>
        <x:v>4539.790000000001</x:v>
      </x:c>
      <x:c r="N1291" s="9" t="str">
        <x:f>IF(H1291=0,"0 Current",IF(H1291&lt;=30,"1 1-30",IF(H1291&lt;=60,"2 31-60",IF(H1291&lt;=90,"3 61-90",IF(H1291&lt;=120,"4 91-120","5 121+")))))</x:f>
        <x:v>4 91-120</x:v>
      </x:c>
      <x:c r="O1291" s="9" t="n">
        <x:f>IF(J1291&gt;0,1,0)</x:f>
        <x:v>1</x:v>
      </x:c>
    </x:row>
    <x:row r="1292">
      <x:c r="A1292" s="15" t="str">
        <x:v>1288</x:v>
      </x:c>
      <x:c r="B1292" s="9" t="str">
        <x:v>Riley</x:v>
      </x:c>
      <x:c r="C1292" s="9" t="str">
        <x:v>Auto</x:v>
      </x:c>
      <x:c r="D1292" s="9" t="str">
        <x:v>West</x:v>
      </x:c>
      <x:c r="E1292" s="9" t="n">
        <x:v>653</x:v>
      </x:c>
      <x:c r="F1292" s="11" t="n">
        <x:v>46111</x:v>
      </x:c>
      <x:c r="G1292" s="13" t="n">
        <x:v>11165.67</x:v>
      </x:c>
      <x:c r="H1292" s="9" t="n">
        <x:v>204</x:v>
      </x:c>
      <x:c r="I1292" s="9" t="n">
        <x:v>7</x:v>
      </x:c>
      <x:c r="J1292" s="9" t="n">
        <x:v>3</x:v>
      </x:c>
      <x:c r="K1292" s="9" t="n">
        <x:v>0</x:v>
      </x:c>
      <x:c r="L1292" s="13" t="n">
        <x:f>SUMIFS('Payments'!$D$5:$D$3014,'Payments'!$B$5:$B$3014,A1292)</x:f>
        <x:v>1400.75</x:v>
      </x:c>
      <x:c r="M1292" s="13" t="n">
        <x:f>G1292-L1292</x:f>
        <x:v>9764.92</x:v>
      </x:c>
      <x:c r="N1292" s="9" t="str">
        <x:f>IF(H1292=0,"0 Current",IF(H1292&lt;=30,"1 1-30",IF(H1292&lt;=60,"2 31-60",IF(H1292&lt;=90,"3 61-90",IF(H1292&lt;=120,"4 91-120","5 121+")))))</x:f>
        <x:v>5 121+</x:v>
      </x:c>
      <x:c r="O1292" s="9" t="n">
        <x:f>IF(J1292&gt;0,1,0)</x:f>
        <x:v>1</x:v>
      </x:c>
    </x:row>
    <x:row r="1293">
      <x:c r="A1293" s="15" t="str">
        <x:v>1289</x:v>
      </x:c>
      <x:c r="B1293" s="9" t="str">
        <x:v>Alex</x:v>
      </x:c>
      <x:c r="C1293" s="9" t="str">
        <x:v>Credit Card</x:v>
      </x:c>
      <x:c r="D1293" s="9" t="str">
        <x:v>Northeast</x:v>
      </x:c>
      <x:c r="E1293" s="9" t="n">
        <x:v>599</x:v>
      </x:c>
      <x:c r="F1293" s="11" t="n">
        <x:v>46039</x:v>
      </x:c>
      <x:c r="G1293" s="13" t="n">
        <x:v>19036.87</x:v>
      </x:c>
      <x:c r="H1293" s="9" t="n">
        <x:v>41</x:v>
      </x:c>
      <x:c r="I1293" s="9" t="n">
        <x:v>1</x:v>
      </x:c>
      <x:c r="J1293" s="9" t="n">
        <x:v>0</x:v>
      </x:c>
      <x:c r="K1293" s="9" t="n">
        <x:v>0</x:v>
      </x:c>
      <x:c r="L1293" s="13" t="n">
        <x:f>SUMIFS('Payments'!$D$5:$D$3014,'Payments'!$B$5:$B$3014,A1293)</x:f>
        <x:v>211.64</x:v>
      </x:c>
      <x:c r="M1293" s="13" t="n">
        <x:f>G1293-L1293</x:f>
        <x:v>18825.23</x:v>
      </x:c>
      <x:c r="N1293" s="9" t="str">
        <x:f>IF(H1293=0,"0 Current",IF(H1293&lt;=30,"1 1-30",IF(H1293&lt;=60,"2 31-60",IF(H1293&lt;=90,"3 61-90",IF(H1293&lt;=120,"4 91-120","5 121+")))))</x:f>
        <x:v>2 31-60</x:v>
      </x:c>
      <x:c r="O1293" s="9" t="n">
        <x:f>IF(J1293&gt;0,1,0)</x:f>
        <x:v>0</x:v>
      </x:c>
    </x:row>
    <x:row r="1294">
      <x:c r="A1294" s="15" t="str">
        <x:v>1290</x:v>
      </x:c>
      <x:c r="B1294" s="9" t="str">
        <x:v>Alex</x:v>
      </x:c>
      <x:c r="C1294" s="9" t="str">
        <x:v>Personal Loan</x:v>
      </x:c>
      <x:c r="D1294" s="9" t="str">
        <x:v>Northeast</x:v>
      </x:c>
      <x:c r="E1294" s="9" t="n">
        <x:v>652</x:v>
      </x:c>
      <x:c r="F1294" s="11" t="n">
        <x:v>46041</x:v>
      </x:c>
      <x:c r="G1294" s="13" t="n">
        <x:v>12524.19</x:v>
      </x:c>
      <x:c r="H1294" s="9" t="n">
        <x:v>214</x:v>
      </x:c>
      <x:c r="I1294" s="9" t="n">
        <x:v>4</x:v>
      </x:c>
      <x:c r="J1294" s="9" t="n">
        <x:v>1</x:v>
      </x:c>
      <x:c r="K1294" s="9" t="n">
        <x:v>0</x:v>
      </x:c>
      <x:c r="L1294" s="13" t="n">
        <x:f>SUMIFS('Payments'!$D$5:$D$3014,'Payments'!$B$5:$B$3014,A1294)</x:f>
        <x:v>1430.55</x:v>
      </x:c>
      <x:c r="M1294" s="13" t="n">
        <x:f>G1294-L1294</x:f>
        <x:v>11093.640000000001</x:v>
      </x:c>
      <x:c r="N1294" s="9" t="str">
        <x:f>IF(H1294=0,"0 Current",IF(H1294&lt;=30,"1 1-30",IF(H1294&lt;=60,"2 31-60",IF(H1294&lt;=90,"3 61-90",IF(H1294&lt;=120,"4 91-120","5 121+")))))</x:f>
        <x:v>5 121+</x:v>
      </x:c>
      <x:c r="O1294" s="9" t="n">
        <x:f>IF(J1294&gt;0,1,0)</x:f>
        <x:v>1</x:v>
      </x:c>
    </x:row>
    <x:row r="1295">
      <x:c r="A1295" s="15" t="str">
        <x:v>1291</x:v>
      </x:c>
      <x:c r="B1295" s="9" t="str">
        <x:v>Morgan</x:v>
      </x:c>
      <x:c r="C1295" s="9" t="str">
        <x:v>Medical</x:v>
      </x:c>
      <x:c r="D1295" s="9" t="str">
        <x:v>Midwest</x:v>
      </x:c>
      <x:c r="E1295" s="9" t="n">
        <x:v>694</x:v>
      </x:c>
      <x:c r="F1295" s="11" t="n">
        <x:v>46055</x:v>
      </x:c>
      <x:c r="G1295" s="13" t="n">
        <x:v>22982.07</x:v>
      </x:c>
      <x:c r="H1295" s="9" t="n">
        <x:v>51</x:v>
      </x:c>
      <x:c r="I1295" s="9" t="n">
        <x:v>2</x:v>
      </x:c>
      <x:c r="J1295" s="9" t="n">
        <x:v>2</x:v>
      </x:c>
      <x:c r="K1295" s="9" t="n">
        <x:v>1</x:v>
      </x:c>
      <x:c r="L1295" s="13" t="n">
        <x:f>SUMIFS('Payments'!$D$5:$D$3014,'Payments'!$B$5:$B$3014,A1295)</x:f>
        <x:v>0</x:v>
      </x:c>
      <x:c r="M1295" s="13" t="n">
        <x:f>G1295-L1295</x:f>
        <x:v>22982.07</x:v>
      </x:c>
      <x:c r="N1295" s="9" t="str">
        <x:f>IF(H1295=0,"0 Current",IF(H1295&lt;=30,"1 1-30",IF(H1295&lt;=60,"2 31-60",IF(H1295&lt;=90,"3 61-90",IF(H1295&lt;=120,"4 91-120","5 121+")))))</x:f>
        <x:v>2 31-60</x:v>
      </x:c>
      <x:c r="O1295" s="9" t="n">
        <x:f>IF(J1295&gt;0,1,0)</x:f>
        <x:v>1</x:v>
      </x:c>
    </x:row>
    <x:row r="1296">
      <x:c r="A1296" s="15" t="str">
        <x:v>1292</x:v>
      </x:c>
      <x:c r="B1296" s="9" t="str">
        <x:v>Taylor</x:v>
      </x:c>
      <x:c r="C1296" s="9" t="str">
        <x:v>Auto</x:v>
      </x:c>
      <x:c r="D1296" s="9" t="str">
        <x:v>South</x:v>
      </x:c>
      <x:c r="E1296" s="9" t="n">
        <x:v>754</x:v>
      </x:c>
      <x:c r="F1296" s="11" t="n">
        <x:v>46030</x:v>
      </x:c>
      <x:c r="G1296" s="13" t="n">
        <x:v>24623.03</x:v>
      </x:c>
      <x:c r="H1296" s="9" t="n">
        <x:v>181</x:v>
      </x:c>
      <x:c r="I1296" s="9" t="n">
        <x:v>3</x:v>
      </x:c>
      <x:c r="J1296" s="9" t="n">
        <x:v>1</x:v>
      </x:c>
      <x:c r="K1296" s="9" t="n">
        <x:v>1</x:v>
      </x:c>
      <x:c r="L1296" s="13" t="n">
        <x:f>SUMIFS('Payments'!$D$5:$D$3014,'Payments'!$B$5:$B$3014,A1296)</x:f>
        <x:v>621.18</x:v>
      </x:c>
      <x:c r="M1296" s="13" t="n">
        <x:f>G1296-L1296</x:f>
        <x:v>24001.85</x:v>
      </x:c>
      <x:c r="N1296" s="9" t="str">
        <x:f>IF(H1296=0,"0 Current",IF(H1296&lt;=30,"1 1-30",IF(H1296&lt;=60,"2 31-60",IF(H1296&lt;=90,"3 61-90",IF(H1296&lt;=120,"4 91-120","5 121+")))))</x:f>
        <x:v>5 121+</x:v>
      </x:c>
      <x:c r="O1296" s="9" t="n">
        <x:f>IF(J1296&gt;0,1,0)</x:f>
        <x:v>1</x:v>
      </x:c>
    </x:row>
    <x:row r="1297">
      <x:c r="A1297" s="15" t="str">
        <x:v>1293</x:v>
      </x:c>
      <x:c r="B1297" s="9" t="str">
        <x:v>Alex</x:v>
      </x:c>
      <x:c r="C1297" s="9" t="str">
        <x:v>Medical</x:v>
      </x:c>
      <x:c r="D1297" s="9" t="str">
        <x:v>Northeast</x:v>
      </x:c>
      <x:c r="E1297" s="9" t="n">
        <x:v>766</x:v>
      </x:c>
      <x:c r="F1297" s="11" t="n">
        <x:v>46128</x:v>
      </x:c>
      <x:c r="G1297" s="13" t="n">
        <x:v>18766.5</x:v>
      </x:c>
      <x:c r="H1297" s="9" t="n">
        <x:v>80</x:v>
      </x:c>
      <x:c r="I1297" s="9" t="n">
        <x:v>2</x:v>
      </x:c>
      <x:c r="J1297" s="9" t="n">
        <x:v>0</x:v>
      </x:c>
      <x:c r="K1297" s="9" t="n">
        <x:v>0</x:v>
      </x:c>
      <x:c r="L1297" s="13" t="n">
        <x:f>SUMIFS('Payments'!$D$5:$D$3014,'Payments'!$B$5:$B$3014,A1297)</x:f>
        <x:v>1468.7199999999998</x:v>
      </x:c>
      <x:c r="M1297" s="13" t="n">
        <x:f>G1297-L1297</x:f>
        <x:v>17297.78</x:v>
      </x:c>
      <x:c r="N1297" s="9" t="str">
        <x:f>IF(H1297=0,"0 Current",IF(H1297&lt;=30,"1 1-30",IF(H1297&lt;=60,"2 31-60",IF(H1297&lt;=90,"3 61-90",IF(H1297&lt;=120,"4 91-120","5 121+")))))</x:f>
        <x:v>3 61-90</x:v>
      </x:c>
      <x:c r="O1297" s="9" t="n">
        <x:f>IF(J1297&gt;0,1,0)</x:f>
        <x:v>0</x:v>
      </x:c>
    </x:row>
    <x:row r="1298">
      <x:c r="A1298" s="15" t="str">
        <x:v>1294</x:v>
      </x:c>
      <x:c r="B1298" s="9" t="str">
        <x:v>Taylor</x:v>
      </x:c>
      <x:c r="C1298" s="9" t="str">
        <x:v>Auto</x:v>
      </x:c>
      <x:c r="D1298" s="9" t="str">
        <x:v>Northeast</x:v>
      </x:c>
      <x:c r="E1298" s="9" t="n">
        <x:v>805</x:v>
      </x:c>
      <x:c r="F1298" s="11" t="n">
        <x:v>46041</x:v>
      </x:c>
      <x:c r="G1298" s="13" t="n">
        <x:v>9255.89</x:v>
      </x:c>
      <x:c r="H1298" s="9" t="n">
        <x:v>141</x:v>
      </x:c>
      <x:c r="I1298" s="9" t="n">
        <x:v>5</x:v>
      </x:c>
      <x:c r="J1298" s="9" t="n">
        <x:v>2</x:v>
      </x:c>
      <x:c r="K1298" s="9" t="n">
        <x:v>0</x:v>
      </x:c>
      <x:c r="L1298" s="13" t="n">
        <x:f>SUMIFS('Payments'!$D$5:$D$3014,'Payments'!$B$5:$B$3014,A1298)</x:f>
        <x:v>561.78</x:v>
      </x:c>
      <x:c r="M1298" s="13" t="n">
        <x:f>G1298-L1298</x:f>
        <x:v>8694.109999999999</x:v>
      </x:c>
      <x:c r="N1298" s="9" t="str">
        <x:f>IF(H1298=0,"0 Current",IF(H1298&lt;=30,"1 1-30",IF(H1298&lt;=60,"2 31-60",IF(H1298&lt;=90,"3 61-90",IF(H1298&lt;=120,"4 91-120","5 121+")))))</x:f>
        <x:v>5 121+</x:v>
      </x:c>
      <x:c r="O1298" s="9" t="n">
        <x:f>IF(J1298&gt;0,1,0)</x:f>
        <x:v>1</x:v>
      </x:c>
    </x:row>
    <x:row r="1299">
      <x:c r="A1299" s="15" t="str">
        <x:v>1295</x:v>
      </x:c>
      <x:c r="B1299" s="9" t="str">
        <x:v>Jordan</x:v>
      </x:c>
      <x:c r="C1299" s="9" t="str">
        <x:v>Credit Card</x:v>
      </x:c>
      <x:c r="D1299" s="9" t="str">
        <x:v>Northeast</x:v>
      </x:c>
      <x:c r="E1299" s="9" t="n">
        <x:v>745</x:v>
      </x:c>
      <x:c r="F1299" s="11" t="n">
        <x:v>46126</x:v>
      </x:c>
      <x:c r="G1299" s="13" t="n">
        <x:v>5545.64</x:v>
      </x:c>
      <x:c r="H1299" s="9" t="n">
        <x:v>157</x:v>
      </x:c>
      <x:c r="I1299" s="9" t="n">
        <x:v>5</x:v>
      </x:c>
      <x:c r="J1299" s="9" t="n">
        <x:v>4</x:v>
      </x:c>
      <x:c r="K1299" s="9" t="n">
        <x:v>1</x:v>
      </x:c>
      <x:c r="L1299" s="13" t="n">
        <x:f>SUMIFS('Payments'!$D$5:$D$3014,'Payments'!$B$5:$B$3014,A1299)</x:f>
        <x:v>286.94</x:v>
      </x:c>
      <x:c r="M1299" s="13" t="n">
        <x:f>G1299-L1299</x:f>
        <x:v>5258.700000000001</x:v>
      </x:c>
      <x:c r="N1299" s="9" t="str">
        <x:f>IF(H1299=0,"0 Current",IF(H1299&lt;=30,"1 1-30",IF(H1299&lt;=60,"2 31-60",IF(H1299&lt;=90,"3 61-90",IF(H1299&lt;=120,"4 91-120","5 121+")))))</x:f>
        <x:v>5 121+</x:v>
      </x:c>
      <x:c r="O1299" s="9" t="n">
        <x:f>IF(J1299&gt;0,1,0)</x:f>
        <x:v>1</x:v>
      </x:c>
    </x:row>
    <x:row r="1300">
      <x:c r="A1300" s="15" t="str">
        <x:v>1296</x:v>
      </x:c>
      <x:c r="B1300" s="9" t="str">
        <x:v>Morgan</x:v>
      </x:c>
      <x:c r="C1300" s="9" t="str">
        <x:v>Auto</x:v>
      </x:c>
      <x:c r="D1300" s="9" t="str">
        <x:v>West</x:v>
      </x:c>
      <x:c r="E1300" s="9" t="n">
        <x:v>596</x:v>
      </x:c>
      <x:c r="F1300" s="11" t="n">
        <x:v>46051</x:v>
      </x:c>
      <x:c r="G1300" s="13" t="n">
        <x:v>23551.28</x:v>
      </x:c>
      <x:c r="H1300" s="9" t="n">
        <x:v>192</x:v>
      </x:c>
      <x:c r="I1300" s="9" t="n">
        <x:v>1</x:v>
      </x:c>
      <x:c r="J1300" s="9" t="n">
        <x:v>0</x:v>
      </x:c>
      <x:c r="K1300" s="9" t="n">
        <x:v>0</x:v>
      </x:c>
      <x:c r="L1300" s="13" t="n">
        <x:f>SUMIFS('Payments'!$D$5:$D$3014,'Payments'!$B$5:$B$3014,A1300)</x:f>
        <x:v>2000.24</x:v>
      </x:c>
      <x:c r="M1300" s="13" t="n">
        <x:f>G1300-L1300</x:f>
        <x:v>21551.039999999997</x:v>
      </x:c>
      <x:c r="N1300" s="9" t="str">
        <x:f>IF(H1300=0,"0 Current",IF(H1300&lt;=30,"1 1-30",IF(H1300&lt;=60,"2 31-60",IF(H1300&lt;=90,"3 61-90",IF(H1300&lt;=120,"4 91-120","5 121+")))))</x:f>
        <x:v>5 121+</x:v>
      </x:c>
      <x:c r="O1300" s="9" t="n">
        <x:f>IF(J1300&gt;0,1,0)</x:f>
        <x:v>0</x:v>
      </x:c>
    </x:row>
    <x:row r="1301">
      <x:c r="A1301" s="15" t="str">
        <x:v>1297</x:v>
      </x:c>
      <x:c r="B1301" s="9" t="str">
        <x:v>Riley</x:v>
      </x:c>
      <x:c r="C1301" s="9" t="str">
        <x:v>Personal Loan</x:v>
      </x:c>
      <x:c r="D1301" s="9" t="str">
        <x:v>Midwest</x:v>
      </x:c>
      <x:c r="E1301" s="9" t="n">
        <x:v>600</x:v>
      </x:c>
      <x:c r="F1301" s="11" t="n">
        <x:v>46114</x:v>
      </x:c>
      <x:c r="G1301" s="13" t="n">
        <x:v>16496.74</x:v>
      </x:c>
      <x:c r="H1301" s="9" t="n">
        <x:v>149</x:v>
      </x:c>
      <x:c r="I1301" s="9" t="n">
        <x:v>7</x:v>
      </x:c>
      <x:c r="J1301" s="9" t="n">
        <x:v>3</x:v>
      </x:c>
      <x:c r="K1301" s="9" t="n">
        <x:v>0</x:v>
      </x:c>
      <x:c r="L1301" s="13" t="n">
        <x:f>SUMIFS('Payments'!$D$5:$D$3014,'Payments'!$B$5:$B$3014,A1301)</x:f>
        <x:v>1686.04</x:v>
      </x:c>
      <x:c r="M1301" s="13" t="n">
        <x:f>G1301-L1301</x:f>
        <x:v>14810.7</x:v>
      </x:c>
      <x:c r="N1301" s="9" t="str">
        <x:f>IF(H1301=0,"0 Current",IF(H1301&lt;=30,"1 1-30",IF(H1301&lt;=60,"2 31-60",IF(H1301&lt;=90,"3 61-90",IF(H1301&lt;=120,"4 91-120","5 121+")))))</x:f>
        <x:v>5 121+</x:v>
      </x:c>
      <x:c r="O1301" s="9" t="n">
        <x:f>IF(J1301&gt;0,1,0)</x:f>
        <x:v>1</x:v>
      </x:c>
    </x:row>
    <x:row r="1302">
      <x:c r="A1302" s="15" t="str">
        <x:v>1298</x:v>
      </x:c>
      <x:c r="B1302" s="9" t="str">
        <x:v>Jordan</x:v>
      </x:c>
      <x:c r="C1302" s="9" t="str">
        <x:v>Auto</x:v>
      </x:c>
      <x:c r="D1302" s="9" t="str">
        <x:v>West</x:v>
      </x:c>
      <x:c r="E1302" s="9" t="n">
        <x:v>752</x:v>
      </x:c>
      <x:c r="F1302" s="11" t="n">
        <x:v>46076</x:v>
      </x:c>
      <x:c r="G1302" s="13" t="n">
        <x:v>11870.17</x:v>
      </x:c>
      <x:c r="H1302" s="9" t="n">
        <x:v>123</x:v>
      </x:c>
      <x:c r="I1302" s="9" t="n">
        <x:v>0</x:v>
      </x:c>
      <x:c r="J1302" s="9" t="n">
        <x:v>0</x:v>
      </x:c>
      <x:c r="K1302" s="9" t="n">
        <x:v>0</x:v>
      </x:c>
      <x:c r="L1302" s="13" t="n">
        <x:f>SUMIFS('Payments'!$D$5:$D$3014,'Payments'!$B$5:$B$3014,A1302)</x:f>
        <x:v>483.34</x:v>
      </x:c>
      <x:c r="M1302" s="13" t="n">
        <x:f>G1302-L1302</x:f>
        <x:v>11386.83</x:v>
      </x:c>
      <x:c r="N1302" s="9" t="str">
        <x:f>IF(H1302=0,"0 Current",IF(H1302&lt;=30,"1 1-30",IF(H1302&lt;=60,"2 31-60",IF(H1302&lt;=90,"3 61-90",IF(H1302&lt;=120,"4 91-120","5 121+")))))</x:f>
        <x:v>5 121+</x:v>
      </x:c>
      <x:c r="O1302" s="9" t="n">
        <x:f>IF(J1302&gt;0,1,0)</x:f>
        <x:v>0</x:v>
      </x:c>
    </x:row>
    <x:row r="1303">
      <x:c r="A1303" s="15" t="str">
        <x:v>1299</x:v>
      </x:c>
      <x:c r="B1303" s="9" t="str">
        <x:v>Casey</x:v>
      </x:c>
      <x:c r="C1303" s="9" t="str">
        <x:v>Credit Card</x:v>
      </x:c>
      <x:c r="D1303" s="9" t="str">
        <x:v>Midwest</x:v>
      </x:c>
      <x:c r="E1303" s="9" t="n">
        <x:v>701</x:v>
      </x:c>
      <x:c r="F1303" s="11" t="n">
        <x:v>46099</x:v>
      </x:c>
      <x:c r="G1303" s="13" t="n">
        <x:v>20163.81</x:v>
      </x:c>
      <x:c r="H1303" s="9" t="n">
        <x:v>64</x:v>
      </x:c>
      <x:c r="I1303" s="9" t="n">
        <x:v>1</x:v>
      </x:c>
      <x:c r="J1303" s="9" t="n">
        <x:v>1</x:v>
      </x:c>
      <x:c r="K1303" s="9" t="n">
        <x:v>0</x:v>
      </x:c>
      <x:c r="L1303" s="13" t="n">
        <x:f>SUMIFS('Payments'!$D$5:$D$3014,'Payments'!$B$5:$B$3014,A1303)</x:f>
        <x:v>2660.3199999999997</x:v>
      </x:c>
      <x:c r="M1303" s="13" t="n">
        <x:f>G1303-L1303</x:f>
        <x:v>17503.49</x:v>
      </x:c>
      <x:c r="N1303" s="9" t="str">
        <x:f>IF(H1303=0,"0 Current",IF(H1303&lt;=30,"1 1-30",IF(H1303&lt;=60,"2 31-60",IF(H1303&lt;=90,"3 61-90",IF(H1303&lt;=120,"4 91-120","5 121+")))))</x:f>
        <x:v>3 61-90</x:v>
      </x:c>
      <x:c r="O1303" s="9" t="n">
        <x:f>IF(J1303&gt;0,1,0)</x:f>
        <x:v>1</x:v>
      </x:c>
    </x:row>
    <x:row r="1304">
      <x:c r="A1304" s="15" t="str">
        <x:v>1300</x:v>
      </x:c>
      <x:c r="B1304" s="9" t="str">
        <x:v>Casey</x:v>
      </x:c>
      <x:c r="C1304" s="9" t="str">
        <x:v>Personal Loan</x:v>
      </x:c>
      <x:c r="D1304" s="9" t="str">
        <x:v>South</x:v>
      </x:c>
      <x:c r="E1304" s="9" t="n">
        <x:v>669</x:v>
      </x:c>
      <x:c r="F1304" s="11" t="n">
        <x:v>46097</x:v>
      </x:c>
      <x:c r="G1304" s="13" t="n">
        <x:v>24837.85</x:v>
      </x:c>
      <x:c r="H1304" s="9" t="n">
        <x:v>23</x:v>
      </x:c>
      <x:c r="I1304" s="9" t="n">
        <x:v>4</x:v>
      </x:c>
      <x:c r="J1304" s="9" t="n">
        <x:v>1</x:v>
      </x:c>
      <x:c r="K1304" s="9" t="n">
        <x:v>0</x:v>
      </x:c>
      <x:c r="L1304" s="13" t="n">
        <x:f>SUMIFS('Payments'!$D$5:$D$3014,'Payments'!$B$5:$B$3014,A1304)</x:f>
        <x:v>0</x:v>
      </x:c>
      <x:c r="M1304" s="13" t="n">
        <x:f>G1304-L1304</x:f>
        <x:v>24837.85</x:v>
      </x:c>
      <x:c r="N1304" s="9" t="str">
        <x:f>IF(H1304=0,"0 Current",IF(H1304&lt;=30,"1 1-30",IF(H1304&lt;=60,"2 31-60",IF(H1304&lt;=90,"3 61-90",IF(H1304&lt;=120,"4 91-120","5 121+")))))</x:f>
        <x:v>1 1-30</x:v>
      </x:c>
      <x:c r="O1304" s="9" t="n">
        <x:f>IF(J1304&gt;0,1,0)</x:f>
        <x:v>1</x:v>
      </x:c>
    </x:row>
    <x:row r="1305">
      <x:c r="A1305" s="15" t="str">
        <x:v>1301</x:v>
      </x:c>
      <x:c r="B1305" s="9" t="str">
        <x:v>Jordan</x:v>
      </x:c>
      <x:c r="C1305" s="9" t="str">
        <x:v>Personal Loan</x:v>
      </x:c>
      <x:c r="D1305" s="9" t="str">
        <x:v>Northeast</x:v>
      </x:c>
      <x:c r="E1305" s="9" t="n">
        <x:v>443</x:v>
      </x:c>
      <x:c r="F1305" s="11" t="n">
        <x:v>46057</x:v>
      </x:c>
      <x:c r="G1305" s="13" t="n">
        <x:v>838.78</x:v>
      </x:c>
      <x:c r="H1305" s="9" t="n">
        <x:v>73</x:v>
      </x:c>
      <x:c r="I1305" s="9" t="n">
        <x:v>6</x:v>
      </x:c>
      <x:c r="J1305" s="9" t="n">
        <x:v>2</x:v>
      </x:c>
      <x:c r="K1305" s="9" t="n">
        <x:v>0</x:v>
      </x:c>
      <x:c r="L1305" s="13" t="n">
        <x:f>SUMIFS('Payments'!$D$5:$D$3014,'Payments'!$B$5:$B$3014,A1305)</x:f>
        <x:v>82.22</x:v>
      </x:c>
      <x:c r="M1305" s="13" t="n">
        <x:f>G1305-L1305</x:f>
        <x:v>756.56</x:v>
      </x:c>
      <x:c r="N1305" s="9" t="str">
        <x:f>IF(H1305=0,"0 Current",IF(H1305&lt;=30,"1 1-30",IF(H1305&lt;=60,"2 31-60",IF(H1305&lt;=90,"3 61-90",IF(H1305&lt;=120,"4 91-120","5 121+")))))</x:f>
        <x:v>3 61-90</x:v>
      </x:c>
      <x:c r="O1305" s="9" t="n">
        <x:f>IF(J1305&gt;0,1,0)</x:f>
        <x:v>1</x:v>
      </x:c>
    </x:row>
    <x:row r="1306">
      <x:c r="A1306" s="15" t="str">
        <x:v>1302</x:v>
      </x:c>
      <x:c r="B1306" s="9" t="str">
        <x:v>Jordan</x:v>
      </x:c>
      <x:c r="C1306" s="9" t="str">
        <x:v>Credit Card</x:v>
      </x:c>
      <x:c r="D1306" s="9" t="str">
        <x:v>South</x:v>
      </x:c>
      <x:c r="E1306" s="9" t="n">
        <x:v>555</x:v>
      </x:c>
      <x:c r="F1306" s="11" t="n">
        <x:v>46085</x:v>
      </x:c>
      <x:c r="G1306" s="13" t="n">
        <x:v>4097.62</x:v>
      </x:c>
      <x:c r="H1306" s="9" t="n">
        <x:v>83</x:v>
      </x:c>
      <x:c r="I1306" s="9" t="n">
        <x:v>1</x:v>
      </x:c>
      <x:c r="J1306" s="9" t="n">
        <x:v>0</x:v>
      </x:c>
      <x:c r="K1306" s="9" t="n">
        <x:v>0</x:v>
      </x:c>
      <x:c r="L1306" s="13" t="n">
        <x:f>SUMIFS('Payments'!$D$5:$D$3014,'Payments'!$B$5:$B$3014,A1306)</x:f>
        <x:v>0</x:v>
      </x:c>
      <x:c r="M1306" s="13" t="n">
        <x:f>G1306-L1306</x:f>
        <x:v>4097.62</x:v>
      </x:c>
      <x:c r="N1306" s="9" t="str">
        <x:f>IF(H1306=0,"0 Current",IF(H1306&lt;=30,"1 1-30",IF(H1306&lt;=60,"2 31-60",IF(H1306&lt;=90,"3 61-90",IF(H1306&lt;=120,"4 91-120","5 121+")))))</x:f>
        <x:v>3 61-90</x:v>
      </x:c>
      <x:c r="O1306" s="9" t="n">
        <x:f>IF(J1306&gt;0,1,0)</x:f>
        <x:v>0</x:v>
      </x:c>
    </x:row>
    <x:row r="1307">
      <x:c r="A1307" s="15" t="str">
        <x:v>1303</x:v>
      </x:c>
      <x:c r="B1307" s="9" t="str">
        <x:v>Morgan</x:v>
      </x:c>
      <x:c r="C1307" s="9" t="str">
        <x:v>Credit Card</x:v>
      </x:c>
      <x:c r="D1307" s="9" t="str">
        <x:v>West</x:v>
      </x:c>
      <x:c r="E1307" s="9" t="n">
        <x:v>670</x:v>
      </x:c>
      <x:c r="F1307" s="11" t="n">
        <x:v>46146</x:v>
      </x:c>
      <x:c r="G1307" s="13" t="n">
        <x:v>22933.68</x:v>
      </x:c>
      <x:c r="H1307" s="9" t="n">
        <x:v>204</x:v>
      </x:c>
      <x:c r="I1307" s="9" t="n">
        <x:v>7</x:v>
      </x:c>
      <x:c r="J1307" s="9" t="n">
        <x:v>3</x:v>
      </x:c>
      <x:c r="K1307" s="9" t="n">
        <x:v>0</x:v>
      </x:c>
      <x:c r="L1307" s="13" t="n">
        <x:f>SUMIFS('Payments'!$D$5:$D$3014,'Payments'!$B$5:$B$3014,A1307)</x:f>
        <x:v>0</x:v>
      </x:c>
      <x:c r="M1307" s="13" t="n">
        <x:f>G1307-L1307</x:f>
        <x:v>22933.68</x:v>
      </x:c>
      <x:c r="N1307" s="9" t="str">
        <x:f>IF(H1307=0,"0 Current",IF(H1307&lt;=30,"1 1-30",IF(H1307&lt;=60,"2 31-60",IF(H1307&lt;=90,"3 61-90",IF(H1307&lt;=120,"4 91-120","5 121+")))))</x:f>
        <x:v>5 121+</x:v>
      </x:c>
      <x:c r="O1307" s="9" t="n">
        <x:f>IF(J1307&gt;0,1,0)</x:f>
        <x:v>1</x:v>
      </x:c>
    </x:row>
    <x:row r="1308">
      <x:c r="A1308" s="15" t="str">
        <x:v>1304</x:v>
      </x:c>
      <x:c r="B1308" s="9" t="str">
        <x:v>Taylor</x:v>
      </x:c>
      <x:c r="C1308" s="9" t="str">
        <x:v>Medical</x:v>
      </x:c>
      <x:c r="D1308" s="9" t="str">
        <x:v>Northeast</x:v>
      </x:c>
      <x:c r="E1308" s="9" t="n">
        <x:v>722</x:v>
      </x:c>
      <x:c r="F1308" s="11" t="n">
        <x:v>46127</x:v>
      </x:c>
      <x:c r="G1308" s="13" t="n">
        <x:v>23481.25</x:v>
      </x:c>
      <x:c r="H1308" s="9" t="n">
        <x:v>221</x:v>
      </x:c>
      <x:c r="I1308" s="9" t="n">
        <x:v>3</x:v>
      </x:c>
      <x:c r="J1308" s="9" t="n">
        <x:v>0</x:v>
      </x:c>
      <x:c r="K1308" s="9" t="n">
        <x:v>0</x:v>
      </x:c>
      <x:c r="L1308" s="13" t="n">
        <x:f>SUMIFS('Payments'!$D$5:$D$3014,'Payments'!$B$5:$B$3014,A1308)</x:f>
        <x:v>2826.0299999999997</x:v>
      </x:c>
      <x:c r="M1308" s="13" t="n">
        <x:f>G1308-L1308</x:f>
        <x:v>20655.22</x:v>
      </x:c>
      <x:c r="N1308" s="9" t="str">
        <x:f>IF(H1308=0,"0 Current",IF(H1308&lt;=30,"1 1-30",IF(H1308&lt;=60,"2 31-60",IF(H1308&lt;=90,"3 61-90",IF(H1308&lt;=120,"4 91-120","5 121+")))))</x:f>
        <x:v>5 121+</x:v>
      </x:c>
      <x:c r="O1308" s="9" t="n">
        <x:f>IF(J1308&gt;0,1,0)</x:f>
        <x:v>0</x:v>
      </x:c>
    </x:row>
    <x:row r="1309">
      <x:c r="A1309" s="15" t="str">
        <x:v>1305</x:v>
      </x:c>
      <x:c r="B1309" s="9" t="str">
        <x:v>Jordan</x:v>
      </x:c>
      <x:c r="C1309" s="9" t="str">
        <x:v>Credit Card</x:v>
      </x:c>
      <x:c r="D1309" s="9" t="str">
        <x:v>Northeast</x:v>
      </x:c>
      <x:c r="E1309" s="9" t="n">
        <x:v>715</x:v>
      </x:c>
      <x:c r="F1309" s="11" t="n">
        <x:v>46151</x:v>
      </x:c>
      <x:c r="G1309" s="13" t="n">
        <x:v>18608.37</x:v>
      </x:c>
      <x:c r="H1309" s="9" t="n">
        <x:v>172</x:v>
      </x:c>
      <x:c r="I1309" s="9" t="n">
        <x:v>1</x:v>
      </x:c>
      <x:c r="J1309" s="9" t="n">
        <x:v>0</x:v>
      </x:c>
      <x:c r="K1309" s="9" t="n">
        <x:v>0</x:v>
      </x:c>
      <x:c r="L1309" s="13" t="n">
        <x:f>SUMIFS('Payments'!$D$5:$D$3014,'Payments'!$B$5:$B$3014,A1309)</x:f>
        <x:v>2639.1800000000003</x:v>
      </x:c>
      <x:c r="M1309" s="13" t="n">
        <x:f>G1309-L1309</x:f>
        <x:v>15969.189999999999</x:v>
      </x:c>
      <x:c r="N1309" s="9" t="str">
        <x:f>IF(H1309=0,"0 Current",IF(H1309&lt;=30,"1 1-30",IF(H1309&lt;=60,"2 31-60",IF(H1309&lt;=90,"3 61-90",IF(H1309&lt;=120,"4 91-120","5 121+")))))</x:f>
        <x:v>5 121+</x:v>
      </x:c>
      <x:c r="O1309" s="9" t="n">
        <x:f>IF(J1309&gt;0,1,0)</x:f>
        <x:v>0</x:v>
      </x:c>
    </x:row>
    <x:row r="1310">
      <x:c r="A1310" s="15" t="str">
        <x:v>1306</x:v>
      </x:c>
      <x:c r="B1310" s="9" t="str">
        <x:v>Morgan</x:v>
      </x:c>
      <x:c r="C1310" s="9" t="str">
        <x:v>Auto</x:v>
      </x:c>
      <x:c r="D1310" s="9" t="str">
        <x:v>Northeast</x:v>
      </x:c>
      <x:c r="E1310" s="9" t="n">
        <x:v>810</x:v>
      </x:c>
      <x:c r="F1310" s="11" t="n">
        <x:v>46062</x:v>
      </x:c>
      <x:c r="G1310" s="13" t="n">
        <x:v>1645.4</x:v>
      </x:c>
      <x:c r="H1310" s="9" t="n">
        <x:v>9</x:v>
      </x:c>
      <x:c r="I1310" s="9" t="n">
        <x:v>5</x:v>
      </x:c>
      <x:c r="J1310" s="9" t="n">
        <x:v>0</x:v>
      </x:c>
      <x:c r="K1310" s="9" t="n">
        <x:v>0</x:v>
      </x:c>
      <x:c r="L1310" s="13" t="n">
        <x:f>SUMIFS('Payments'!$D$5:$D$3014,'Payments'!$B$5:$B$3014,A1310)</x:f>
        <x:v>0</x:v>
      </x:c>
      <x:c r="M1310" s="13" t="n">
        <x:f>G1310-L1310</x:f>
        <x:v>1645.4</x:v>
      </x:c>
      <x:c r="N1310" s="9" t="str">
        <x:f>IF(H1310=0,"0 Current",IF(H1310&lt;=30,"1 1-30",IF(H1310&lt;=60,"2 31-60",IF(H1310&lt;=90,"3 61-90",IF(H1310&lt;=120,"4 91-120","5 121+")))))</x:f>
        <x:v>1 1-30</x:v>
      </x:c>
      <x:c r="O1310" s="9" t="n">
        <x:f>IF(J1310&gt;0,1,0)</x:f>
        <x:v>0</x:v>
      </x:c>
    </x:row>
    <x:row r="1311">
      <x:c r="A1311" s="15" t="str">
        <x:v>1307</x:v>
      </x:c>
      <x:c r="B1311" s="9" t="str">
        <x:v>Jordan</x:v>
      </x:c>
      <x:c r="C1311" s="9" t="str">
        <x:v>Credit Card</x:v>
      </x:c>
      <x:c r="D1311" s="9" t="str">
        <x:v>Northeast</x:v>
      </x:c>
      <x:c r="E1311" s="9" t="n">
        <x:v>740</x:v>
      </x:c>
      <x:c r="F1311" s="11" t="n">
        <x:v>46057</x:v>
      </x:c>
      <x:c r="G1311" s="13" t="n">
        <x:v>6230.68</x:v>
      </x:c>
      <x:c r="H1311" s="9" t="n">
        <x:v>81</x:v>
      </x:c>
      <x:c r="I1311" s="9" t="n">
        <x:v>2</x:v>
      </x:c>
      <x:c r="J1311" s="9" t="n">
        <x:v>1</x:v>
      </x:c>
      <x:c r="K1311" s="9" t="n">
        <x:v>0</x:v>
      </x:c>
      <x:c r="L1311" s="13" t="n">
        <x:f>SUMIFS('Payments'!$D$5:$D$3014,'Payments'!$B$5:$B$3014,A1311)</x:f>
        <x:v>181.03</x:v>
      </x:c>
      <x:c r="M1311" s="13" t="n">
        <x:f>G1311-L1311</x:f>
        <x:v>6049.650000000001</x:v>
      </x:c>
      <x:c r="N1311" s="9" t="str">
        <x:f>IF(H1311=0,"0 Current",IF(H1311&lt;=30,"1 1-30",IF(H1311&lt;=60,"2 31-60",IF(H1311&lt;=90,"3 61-90",IF(H1311&lt;=120,"4 91-120","5 121+")))))</x:f>
        <x:v>3 61-90</x:v>
      </x:c>
      <x:c r="O1311" s="9" t="n">
        <x:f>IF(J1311&gt;0,1,0)</x:f>
        <x:v>1</x:v>
      </x:c>
    </x:row>
    <x:row r="1312">
      <x:c r="A1312" s="15" t="str">
        <x:v>1308</x:v>
      </x:c>
      <x:c r="B1312" s="9" t="str">
        <x:v>Alex</x:v>
      </x:c>
      <x:c r="C1312" s="9" t="str">
        <x:v>Medical</x:v>
      </x:c>
      <x:c r="D1312" s="9" t="str">
        <x:v>Midwest</x:v>
      </x:c>
      <x:c r="E1312" s="9" t="n">
        <x:v>739</x:v>
      </x:c>
      <x:c r="F1312" s="11" t="n">
        <x:v>46047</x:v>
      </x:c>
      <x:c r="G1312" s="13" t="n">
        <x:v>2444.35</x:v>
      </x:c>
      <x:c r="H1312" s="9" t="n">
        <x:v>65</x:v>
      </x:c>
      <x:c r="I1312" s="9" t="n">
        <x:v>5</x:v>
      </x:c>
      <x:c r="J1312" s="9" t="n">
        <x:v>2</x:v>
      </x:c>
      <x:c r="K1312" s="9" t="n">
        <x:v>0</x:v>
      </x:c>
      <x:c r="L1312" s="13" t="n">
        <x:f>SUMIFS('Payments'!$D$5:$D$3014,'Payments'!$B$5:$B$3014,A1312)</x:f>
        <x:v>321.53</x:v>
      </x:c>
      <x:c r="M1312" s="13" t="n">
        <x:f>G1312-L1312</x:f>
        <x:v>2122.8199999999997</x:v>
      </x:c>
      <x:c r="N1312" s="9" t="str">
        <x:f>IF(H1312=0,"0 Current",IF(H1312&lt;=30,"1 1-30",IF(H1312&lt;=60,"2 31-60",IF(H1312&lt;=90,"3 61-90",IF(H1312&lt;=120,"4 91-120","5 121+")))))</x:f>
        <x:v>3 61-90</x:v>
      </x:c>
      <x:c r="O1312" s="9" t="n">
        <x:f>IF(J1312&gt;0,1,0)</x:f>
        <x:v>1</x:v>
      </x:c>
    </x:row>
    <x:row r="1313">
      <x:c r="A1313" s="15" t="str">
        <x:v>1309</x:v>
      </x:c>
      <x:c r="B1313" s="9" t="str">
        <x:v>Casey</x:v>
      </x:c>
      <x:c r="C1313" s="9" t="str">
        <x:v>Medical</x:v>
      </x:c>
      <x:c r="D1313" s="9" t="str">
        <x:v>South</x:v>
      </x:c>
      <x:c r="E1313" s="9" t="n">
        <x:v>482</x:v>
      </x:c>
      <x:c r="F1313" s="11" t="n">
        <x:v>46108</x:v>
      </x:c>
      <x:c r="G1313" s="13" t="n">
        <x:v>5794.9</x:v>
      </x:c>
      <x:c r="H1313" s="9" t="n">
        <x:v>128</x:v>
      </x:c>
      <x:c r="I1313" s="9" t="n">
        <x:v>4</x:v>
      </x:c>
      <x:c r="J1313" s="9" t="n">
        <x:v>2</x:v>
      </x:c>
      <x:c r="K1313" s="9" t="n">
        <x:v>0</x:v>
      </x:c>
      <x:c r="L1313" s="13" t="n">
        <x:f>SUMIFS('Payments'!$D$5:$D$3014,'Payments'!$B$5:$B$3014,A1313)</x:f>
        <x:v>1007.91</x:v>
      </x:c>
      <x:c r="M1313" s="13" t="n">
        <x:f>G1313-L1313</x:f>
        <x:v>4786.99</x:v>
      </x:c>
      <x:c r="N1313" s="9" t="str">
        <x:f>IF(H1313=0,"0 Current",IF(H1313&lt;=30,"1 1-30",IF(H1313&lt;=60,"2 31-60",IF(H1313&lt;=90,"3 61-90",IF(H1313&lt;=120,"4 91-120","5 121+")))))</x:f>
        <x:v>5 121+</x:v>
      </x:c>
      <x:c r="O1313" s="9" t="n">
        <x:f>IF(J1313&gt;0,1,0)</x:f>
        <x:v>1</x:v>
      </x:c>
    </x:row>
    <x:row r="1314">
      <x:c r="A1314" s="15" t="str">
        <x:v>1310</x:v>
      </x:c>
      <x:c r="B1314" s="9" t="str">
        <x:v>Morgan</x:v>
      </x:c>
      <x:c r="C1314" s="9" t="str">
        <x:v>Auto</x:v>
      </x:c>
      <x:c r="D1314" s="9" t="str">
        <x:v>West</x:v>
      </x:c>
      <x:c r="E1314" s="9" t="n">
        <x:v>710</x:v>
      </x:c>
      <x:c r="F1314" s="11" t="n">
        <x:v>46114</x:v>
      </x:c>
      <x:c r="G1314" s="13" t="n">
        <x:v>10881.62</x:v>
      </x:c>
      <x:c r="H1314" s="9" t="n">
        <x:v>160</x:v>
      </x:c>
      <x:c r="I1314" s="9" t="n">
        <x:v>8</x:v>
      </x:c>
      <x:c r="J1314" s="9" t="n">
        <x:v>3</x:v>
      </x:c>
      <x:c r="K1314" s="9" t="n">
        <x:v>1</x:v>
      </x:c>
      <x:c r="L1314" s="13" t="n">
        <x:f>SUMIFS('Payments'!$D$5:$D$3014,'Payments'!$B$5:$B$3014,A1314)</x:f>
        <x:v>735.42</x:v>
      </x:c>
      <x:c r="M1314" s="13" t="n">
        <x:f>G1314-L1314</x:f>
        <x:v>10146.2</x:v>
      </x:c>
      <x:c r="N1314" s="9" t="str">
        <x:f>IF(H1314=0,"0 Current",IF(H1314&lt;=30,"1 1-30",IF(H1314&lt;=60,"2 31-60",IF(H1314&lt;=90,"3 61-90",IF(H1314&lt;=120,"4 91-120","5 121+")))))</x:f>
        <x:v>5 121+</x:v>
      </x:c>
      <x:c r="O1314" s="9" t="n">
        <x:f>IF(J1314&gt;0,1,0)</x:f>
        <x:v>1</x:v>
      </x:c>
    </x:row>
    <x:row r="1315">
      <x:c r="A1315" s="15" t="str">
        <x:v>1311</x:v>
      </x:c>
      <x:c r="B1315" s="9" t="str">
        <x:v>Jordan</x:v>
      </x:c>
      <x:c r="C1315" s="9" t="str">
        <x:v>Credit Card</x:v>
      </x:c>
      <x:c r="D1315" s="9" t="str">
        <x:v>West</x:v>
      </x:c>
      <x:c r="E1315" s="9" t="n">
        <x:v>596</x:v>
      </x:c>
      <x:c r="F1315" s="11" t="n">
        <x:v>46122</x:v>
      </x:c>
      <x:c r="G1315" s="13" t="n">
        <x:v>7114.67</x:v>
      </x:c>
      <x:c r="H1315" s="9" t="n">
        <x:v>158</x:v>
      </x:c>
      <x:c r="I1315" s="9" t="n">
        <x:v>3</x:v>
      </x:c>
      <x:c r="J1315" s="9" t="n">
        <x:v>1</x:v>
      </x:c>
      <x:c r="K1315" s="9" t="n">
        <x:v>0</x:v>
      </x:c>
      <x:c r="L1315" s="13" t="n">
        <x:f>SUMIFS('Payments'!$D$5:$D$3014,'Payments'!$B$5:$B$3014,A1315)</x:f>
        <x:v>1333.4299999999998</x:v>
      </x:c>
      <x:c r="M1315" s="13" t="n">
        <x:f>G1315-L1315</x:f>
        <x:v>5781.24</x:v>
      </x:c>
      <x:c r="N1315" s="9" t="str">
        <x:f>IF(H1315=0,"0 Current",IF(H1315&lt;=30,"1 1-30",IF(H1315&lt;=60,"2 31-60",IF(H1315&lt;=90,"3 61-90",IF(H1315&lt;=120,"4 91-120","5 121+")))))</x:f>
        <x:v>5 121+</x:v>
      </x:c>
      <x:c r="O1315" s="9" t="n">
        <x:f>IF(J1315&gt;0,1,0)</x:f>
        <x:v>1</x:v>
      </x:c>
    </x:row>
    <x:row r="1316">
      <x:c r="A1316" s="15" t="str">
        <x:v>1312</x:v>
      </x:c>
      <x:c r="B1316" s="9" t="str">
        <x:v>Morgan</x:v>
      </x:c>
      <x:c r="C1316" s="9" t="str">
        <x:v>Personal Loan</x:v>
      </x:c>
      <x:c r="D1316" s="9" t="str">
        <x:v>West</x:v>
      </x:c>
      <x:c r="E1316" s="9" t="n">
        <x:v>438</x:v>
      </x:c>
      <x:c r="F1316" s="11" t="n">
        <x:v>46136</x:v>
      </x:c>
      <x:c r="G1316" s="13" t="n">
        <x:v>11857.96</x:v>
      </x:c>
      <x:c r="H1316" s="9" t="n">
        <x:v>170</x:v>
      </x:c>
      <x:c r="I1316" s="9" t="n">
        <x:v>8</x:v>
      </x:c>
      <x:c r="J1316" s="9" t="n">
        <x:v>3</x:v>
      </x:c>
      <x:c r="K1316" s="9" t="n">
        <x:v>1</x:v>
      </x:c>
      <x:c r="L1316" s="13" t="n">
        <x:f>SUMIFS('Payments'!$D$5:$D$3014,'Payments'!$B$5:$B$3014,A1316)</x:f>
        <x:v>896.21</x:v>
      </x:c>
      <x:c r="M1316" s="13" t="n">
        <x:f>G1316-L1316</x:f>
        <x:v>10961.75</x:v>
      </x:c>
      <x:c r="N1316" s="9" t="str">
        <x:f>IF(H1316=0,"0 Current",IF(H1316&lt;=30,"1 1-30",IF(H1316&lt;=60,"2 31-60",IF(H1316&lt;=90,"3 61-90",IF(H1316&lt;=120,"4 91-120","5 121+")))))</x:f>
        <x:v>5 121+</x:v>
      </x:c>
      <x:c r="O1316" s="9" t="n">
        <x:f>IF(J1316&gt;0,1,0)</x:f>
        <x:v>1</x:v>
      </x:c>
    </x:row>
    <x:row r="1317">
      <x:c r="A1317" s="15" t="str">
        <x:v>1313</x:v>
      </x:c>
      <x:c r="B1317" s="9" t="str">
        <x:v>Jordan</x:v>
      </x:c>
      <x:c r="C1317" s="9" t="str">
        <x:v>Medical</x:v>
      </x:c>
      <x:c r="D1317" s="9" t="str">
        <x:v>Midwest</x:v>
      </x:c>
      <x:c r="E1317" s="9" t="n">
        <x:v>653</x:v>
      </x:c>
      <x:c r="F1317" s="11" t="n">
        <x:v>46163</x:v>
      </x:c>
      <x:c r="G1317" s="13" t="n">
        <x:v>9920.63</x:v>
      </x:c>
      <x:c r="H1317" s="9" t="n">
        <x:v>240</x:v>
      </x:c>
      <x:c r="I1317" s="9" t="n">
        <x:v>6</x:v>
      </x:c>
      <x:c r="J1317" s="9" t="n">
        <x:v>1</x:v>
      </x:c>
      <x:c r="K1317" s="9" t="n">
        <x:v>0</x:v>
      </x:c>
      <x:c r="L1317" s="13" t="n">
        <x:f>SUMIFS('Payments'!$D$5:$D$3014,'Payments'!$B$5:$B$3014,A1317)</x:f>
        <x:v>989.07</x:v>
      </x:c>
      <x:c r="M1317" s="13" t="n">
        <x:f>G1317-L1317</x:f>
        <x:v>8931.56</x:v>
      </x:c>
      <x:c r="N1317" s="9" t="str">
        <x:f>IF(H1317=0,"0 Current",IF(H1317&lt;=30,"1 1-30",IF(H1317&lt;=60,"2 31-60",IF(H1317&lt;=90,"3 61-90",IF(H1317&lt;=120,"4 91-120","5 121+")))))</x:f>
        <x:v>5 121+</x:v>
      </x:c>
      <x:c r="O1317" s="9" t="n">
        <x:f>IF(J1317&gt;0,1,0)</x:f>
        <x:v>1</x:v>
      </x:c>
    </x:row>
    <x:row r="1318">
      <x:c r="A1318" s="15" t="str">
        <x:v>1314</x:v>
      </x:c>
      <x:c r="B1318" s="9" t="str">
        <x:v>Morgan</x:v>
      </x:c>
      <x:c r="C1318" s="9" t="str">
        <x:v>Personal Loan</x:v>
      </x:c>
      <x:c r="D1318" s="9" t="str">
        <x:v>Northeast</x:v>
      </x:c>
      <x:c r="E1318" s="9" t="n">
        <x:v>603</x:v>
      </x:c>
      <x:c r="F1318" s="11" t="n">
        <x:v>46162</x:v>
      </x:c>
      <x:c r="G1318" s="13" t="n">
        <x:v>3736.49</x:v>
      </x:c>
      <x:c r="H1318" s="9" t="n">
        <x:v>220</x:v>
      </x:c>
      <x:c r="I1318" s="9" t="n">
        <x:v>1</x:v>
      </x:c>
      <x:c r="J1318" s="9" t="n">
        <x:v>0</x:v>
      </x:c>
      <x:c r="K1318" s="9" t="n">
        <x:v>0</x:v>
      </x:c>
      <x:c r="L1318" s="13" t="n">
        <x:f>SUMIFS('Payments'!$D$5:$D$3014,'Payments'!$B$5:$B$3014,A1318)</x:f>
        <x:v>451.58</x:v>
      </x:c>
      <x:c r="M1318" s="13" t="n">
        <x:f>G1318-L1318</x:f>
        <x:v>3284.91</x:v>
      </x:c>
      <x:c r="N1318" s="9" t="str">
        <x:f>IF(H1318=0,"0 Current",IF(H1318&lt;=30,"1 1-30",IF(H1318&lt;=60,"2 31-60",IF(H1318&lt;=90,"3 61-90",IF(H1318&lt;=120,"4 91-120","5 121+")))))</x:f>
        <x:v>5 121+</x:v>
      </x:c>
      <x:c r="O1318" s="9" t="n">
        <x:f>IF(J1318&gt;0,1,0)</x:f>
        <x:v>0</x:v>
      </x:c>
    </x:row>
    <x:row r="1319">
      <x:c r="A1319" s="15" t="str">
        <x:v>1315</x:v>
      </x:c>
      <x:c r="B1319" s="9" t="str">
        <x:v>Taylor</x:v>
      </x:c>
      <x:c r="C1319" s="9" t="str">
        <x:v>Credit Card</x:v>
      </x:c>
      <x:c r="D1319" s="9" t="str">
        <x:v>Midwest</x:v>
      </x:c>
      <x:c r="E1319" s="9" t="n">
        <x:v>775</x:v>
      </x:c>
      <x:c r="F1319" s="11" t="n">
        <x:v>46154</x:v>
      </x:c>
      <x:c r="G1319" s="13" t="n">
        <x:v>8751.63</x:v>
      </x:c>
      <x:c r="H1319" s="9" t="n">
        <x:v>7</x:v>
      </x:c>
      <x:c r="I1319" s="9" t="n">
        <x:v>3</x:v>
      </x:c>
      <x:c r="J1319" s="9" t="n">
        <x:v>1</x:v>
      </x:c>
      <x:c r="K1319" s="9" t="n">
        <x:v>0</x:v>
      </x:c>
      <x:c r="L1319" s="13" t="n">
        <x:f>SUMIFS('Payments'!$D$5:$D$3014,'Payments'!$B$5:$B$3014,A1319)</x:f>
        <x:v>40.3</x:v>
      </x:c>
      <x:c r="M1319" s="13" t="n">
        <x:f>G1319-L1319</x:f>
        <x:v>8711.33</x:v>
      </x:c>
      <x:c r="N1319" s="9" t="str">
        <x:f>IF(H1319=0,"0 Current",IF(H1319&lt;=30,"1 1-30",IF(H1319&lt;=60,"2 31-60",IF(H1319&lt;=90,"3 61-90",IF(H1319&lt;=120,"4 91-120","5 121+")))))</x:f>
        <x:v>1 1-30</x:v>
      </x:c>
      <x:c r="O1319" s="9" t="n">
        <x:f>IF(J1319&gt;0,1,0)</x:f>
        <x:v>1</x:v>
      </x:c>
    </x:row>
    <x:row r="1320">
      <x:c r="A1320" s="15" t="str">
        <x:v>1316</x:v>
      </x:c>
      <x:c r="B1320" s="9" t="str">
        <x:v>Jordan</x:v>
      </x:c>
      <x:c r="C1320" s="9" t="str">
        <x:v>Auto</x:v>
      </x:c>
      <x:c r="D1320" s="9" t="str">
        <x:v>Northeast</x:v>
      </x:c>
      <x:c r="E1320" s="9" t="n">
        <x:v>567</x:v>
      </x:c>
      <x:c r="F1320" s="11" t="n">
        <x:v>46024</x:v>
      </x:c>
      <x:c r="G1320" s="13" t="n">
        <x:v>4502.15</x:v>
      </x:c>
      <x:c r="H1320" s="9" t="n">
        <x:v>208</x:v>
      </x:c>
      <x:c r="I1320" s="9" t="n">
        <x:v>3</x:v>
      </x:c>
      <x:c r="J1320" s="9" t="n">
        <x:v>2</x:v>
      </x:c>
      <x:c r="K1320" s="9" t="n">
        <x:v>1</x:v>
      </x:c>
      <x:c r="L1320" s="13" t="n">
        <x:f>SUMIFS('Payments'!$D$5:$D$3014,'Payments'!$B$5:$B$3014,A1320)</x:f>
        <x:v>1010.68</x:v>
      </x:c>
      <x:c r="M1320" s="13" t="n">
        <x:f>G1320-L1320</x:f>
        <x:v>3491.47</x:v>
      </x:c>
      <x:c r="N1320" s="9" t="str">
        <x:f>IF(H1320=0,"0 Current",IF(H1320&lt;=30,"1 1-30",IF(H1320&lt;=60,"2 31-60",IF(H1320&lt;=90,"3 61-90",IF(H1320&lt;=120,"4 91-120","5 121+")))))</x:f>
        <x:v>5 121+</x:v>
      </x:c>
      <x:c r="O1320" s="9" t="n">
        <x:f>IF(J1320&gt;0,1,0)</x:f>
        <x:v>1</x:v>
      </x:c>
    </x:row>
    <x:row r="1321">
      <x:c r="A1321" s="15" t="str">
        <x:v>1317</x:v>
      </x:c>
      <x:c r="B1321" s="9" t="str">
        <x:v>Morgan</x:v>
      </x:c>
      <x:c r="C1321" s="9" t="str">
        <x:v>Personal Loan</x:v>
      </x:c>
      <x:c r="D1321" s="9" t="str">
        <x:v>West</x:v>
      </x:c>
      <x:c r="E1321" s="9" t="n">
        <x:v>649</x:v>
      </x:c>
      <x:c r="F1321" s="11" t="n">
        <x:v>46099</x:v>
      </x:c>
      <x:c r="G1321" s="13" t="n">
        <x:v>19039.72</x:v>
      </x:c>
      <x:c r="H1321" s="9" t="n">
        <x:v>164</x:v>
      </x:c>
      <x:c r="I1321" s="9" t="n">
        <x:v>2</x:v>
      </x:c>
      <x:c r="J1321" s="9" t="n">
        <x:v>1</x:v>
      </x:c>
      <x:c r="K1321" s="9" t="n">
        <x:v>0</x:v>
      </x:c>
      <x:c r="L1321" s="13" t="n">
        <x:f>SUMIFS('Payments'!$D$5:$D$3014,'Payments'!$B$5:$B$3014,A1321)</x:f>
        <x:v>4180.2</x:v>
      </x:c>
      <x:c r="M1321" s="13" t="n">
        <x:f>G1321-L1321</x:f>
        <x:v>14859.52</x:v>
      </x:c>
      <x:c r="N1321" s="9" t="str">
        <x:f>IF(H1321=0,"0 Current",IF(H1321&lt;=30,"1 1-30",IF(H1321&lt;=60,"2 31-60",IF(H1321&lt;=90,"3 61-90",IF(H1321&lt;=120,"4 91-120","5 121+")))))</x:f>
        <x:v>5 121+</x:v>
      </x:c>
      <x:c r="O1321" s="9" t="n">
        <x:f>IF(J1321&gt;0,1,0)</x:f>
        <x:v>1</x:v>
      </x:c>
    </x:row>
    <x:row r="1322">
      <x:c r="A1322" s="15" t="str">
        <x:v>1318</x:v>
      </x:c>
      <x:c r="B1322" s="9" t="str">
        <x:v>Casey</x:v>
      </x:c>
      <x:c r="C1322" s="9" t="str">
        <x:v>Auto</x:v>
      </x:c>
      <x:c r="D1322" s="9" t="str">
        <x:v>South</x:v>
      </x:c>
      <x:c r="E1322" s="9" t="n">
        <x:v>717</x:v>
      </x:c>
      <x:c r="F1322" s="11" t="n">
        <x:v>46126</x:v>
      </x:c>
      <x:c r="G1322" s="13" t="n">
        <x:v>9103.13</x:v>
      </x:c>
      <x:c r="H1322" s="9" t="n">
        <x:v>35</x:v>
      </x:c>
      <x:c r="I1322" s="9" t="n">
        <x:v>4</x:v>
      </x:c>
      <x:c r="J1322" s="9" t="n">
        <x:v>3</x:v>
      </x:c>
      <x:c r="K1322" s="9" t="n">
        <x:v>1</x:v>
      </x:c>
      <x:c r="L1322" s="13" t="n">
        <x:f>SUMIFS('Payments'!$D$5:$D$3014,'Payments'!$B$5:$B$3014,A1322)</x:f>
        <x:v>2456.8099999999995</x:v>
      </x:c>
      <x:c r="M1322" s="13" t="n">
        <x:f>G1322-L1322</x:f>
        <x:v>6646.32</x:v>
      </x:c>
      <x:c r="N1322" s="9" t="str">
        <x:f>IF(H1322=0,"0 Current",IF(H1322&lt;=30,"1 1-30",IF(H1322&lt;=60,"2 31-60",IF(H1322&lt;=90,"3 61-90",IF(H1322&lt;=120,"4 91-120","5 121+")))))</x:f>
        <x:v>2 31-60</x:v>
      </x:c>
      <x:c r="O1322" s="9" t="n">
        <x:f>IF(J1322&gt;0,1,0)</x:f>
        <x:v>1</x:v>
      </x:c>
    </x:row>
    <x:row r="1323">
      <x:c r="A1323" s="15" t="str">
        <x:v>1319</x:v>
      </x:c>
      <x:c r="B1323" s="9" t="str">
        <x:v>Riley</x:v>
      </x:c>
      <x:c r="C1323" s="9" t="str">
        <x:v>Credit Card</x:v>
      </x:c>
      <x:c r="D1323" s="9" t="str">
        <x:v>Northeast</x:v>
      </x:c>
      <x:c r="E1323" s="9" t="n">
        <x:v>554</x:v>
      </x:c>
      <x:c r="F1323" s="11" t="n">
        <x:v>46121</x:v>
      </x:c>
      <x:c r="G1323" s="13" t="n">
        <x:v>12752.88</x:v>
      </x:c>
      <x:c r="H1323" s="9" t="n">
        <x:v>158</x:v>
      </x:c>
      <x:c r="I1323" s="9" t="n">
        <x:v>5</x:v>
      </x:c>
      <x:c r="J1323" s="9" t="n">
        <x:v>2</x:v>
      </x:c>
      <x:c r="K1323" s="9" t="n">
        <x:v>0</x:v>
      </x:c>
      <x:c r="L1323" s="13" t="n">
        <x:f>SUMIFS('Payments'!$D$5:$D$3014,'Payments'!$B$5:$B$3014,A1323)</x:f>
        <x:v>2880.51</x:v>
      </x:c>
      <x:c r="M1323" s="13" t="n">
        <x:f>G1323-L1323</x:f>
        <x:v>9872.369999999999</x:v>
      </x:c>
      <x:c r="N1323" s="9" t="str">
        <x:f>IF(H1323=0,"0 Current",IF(H1323&lt;=30,"1 1-30",IF(H1323&lt;=60,"2 31-60",IF(H1323&lt;=90,"3 61-90",IF(H1323&lt;=120,"4 91-120","5 121+")))))</x:f>
        <x:v>5 121+</x:v>
      </x:c>
      <x:c r="O1323" s="9" t="n">
        <x:f>IF(J1323&gt;0,1,0)</x:f>
        <x:v>1</x:v>
      </x:c>
    </x:row>
    <x:row r="1324">
      <x:c r="A1324" s="15" t="str">
        <x:v>1320</x:v>
      </x:c>
      <x:c r="B1324" s="9" t="str">
        <x:v>Riley</x:v>
      </x:c>
      <x:c r="C1324" s="9" t="str">
        <x:v>Credit Card</x:v>
      </x:c>
      <x:c r="D1324" s="9" t="str">
        <x:v>West</x:v>
      </x:c>
      <x:c r="E1324" s="9" t="n">
        <x:v>667</x:v>
      </x:c>
      <x:c r="F1324" s="11" t="n">
        <x:v>46125</x:v>
      </x:c>
      <x:c r="G1324" s="13" t="n">
        <x:v>10855.67</x:v>
      </x:c>
      <x:c r="H1324" s="9" t="n">
        <x:v>194</x:v>
      </x:c>
      <x:c r="I1324" s="9" t="n">
        <x:v>3</x:v>
      </x:c>
      <x:c r="J1324" s="9" t="n">
        <x:v>1</x:v>
      </x:c>
      <x:c r="K1324" s="9" t="n">
        <x:v>0</x:v>
      </x:c>
      <x:c r="L1324" s="13" t="n">
        <x:f>SUMIFS('Payments'!$D$5:$D$3014,'Payments'!$B$5:$B$3014,A1324)</x:f>
        <x:v>0</x:v>
      </x:c>
      <x:c r="M1324" s="13" t="n">
        <x:f>G1324-L1324</x:f>
        <x:v>10855.67</x:v>
      </x:c>
      <x:c r="N1324" s="9" t="str">
        <x:f>IF(H1324=0,"0 Current",IF(H1324&lt;=30,"1 1-30",IF(H1324&lt;=60,"2 31-60",IF(H1324&lt;=90,"3 61-90",IF(H1324&lt;=120,"4 91-120","5 121+")))))</x:f>
        <x:v>5 121+</x:v>
      </x:c>
      <x:c r="O1324" s="9" t="n">
        <x:f>IF(J1324&gt;0,1,0)</x:f>
        <x:v>1</x:v>
      </x:c>
    </x:row>
    <x:row r="1325">
      <x:c r="A1325" s="15" t="str">
        <x:v>1321</x:v>
      </x:c>
      <x:c r="B1325" s="9" t="str">
        <x:v>Riley</x:v>
      </x:c>
      <x:c r="C1325" s="9" t="str">
        <x:v>Personal Loan</x:v>
      </x:c>
      <x:c r="D1325" s="9" t="str">
        <x:v>Midwest</x:v>
      </x:c>
      <x:c r="E1325" s="9" t="n">
        <x:v>820</x:v>
      </x:c>
      <x:c r="F1325" s="11" t="n">
        <x:v>46075</x:v>
      </x:c>
      <x:c r="G1325" s="13" t="n">
        <x:v>11976.95</x:v>
      </x:c>
      <x:c r="H1325" s="9" t="n">
        <x:v>11</x:v>
      </x:c>
      <x:c r="I1325" s="9" t="n">
        <x:v>0</x:v>
      </x:c>
      <x:c r="J1325" s="9" t="n">
        <x:v>0</x:v>
      </x:c>
      <x:c r="K1325" s="9" t="n">
        <x:v>0</x:v>
      </x:c>
      <x:c r="L1325" s="13" t="n">
        <x:f>SUMIFS('Payments'!$D$5:$D$3014,'Payments'!$B$5:$B$3014,A1325)</x:f>
        <x:v>3182.79</x:v>
      </x:c>
      <x:c r="M1325" s="13" t="n">
        <x:f>G1325-L1325</x:f>
        <x:v>8794.16</x:v>
      </x:c>
      <x:c r="N1325" s="9" t="str">
        <x:f>IF(H1325=0,"0 Current",IF(H1325&lt;=30,"1 1-30",IF(H1325&lt;=60,"2 31-60",IF(H1325&lt;=90,"3 61-90",IF(H1325&lt;=120,"4 91-120","5 121+")))))</x:f>
        <x:v>1 1-30</x:v>
      </x:c>
      <x:c r="O1325" s="9" t="n">
        <x:f>IF(J1325&gt;0,1,0)</x:f>
        <x:v>0</x:v>
      </x:c>
    </x:row>
    <x:row r="1326">
      <x:c r="A1326" s="15" t="str">
        <x:v>1322</x:v>
      </x:c>
      <x:c r="B1326" s="9" t="str">
        <x:v>Riley</x:v>
      </x:c>
      <x:c r="C1326" s="9" t="str">
        <x:v>Credit Card</x:v>
      </x:c>
      <x:c r="D1326" s="9" t="str">
        <x:v>Midwest</x:v>
      </x:c>
      <x:c r="E1326" s="9" t="n">
        <x:v>502</x:v>
      </x:c>
      <x:c r="F1326" s="11" t="n">
        <x:v>46041</x:v>
      </x:c>
      <x:c r="G1326" s="13" t="n">
        <x:v>11029.6</x:v>
      </x:c>
      <x:c r="H1326" s="9" t="n">
        <x:v>102</x:v>
      </x:c>
      <x:c r="I1326" s="9" t="n">
        <x:v>4</x:v>
      </x:c>
      <x:c r="J1326" s="9" t="n">
        <x:v>4</x:v>
      </x:c>
      <x:c r="K1326" s="9" t="n">
        <x:v>0</x:v>
      </x:c>
      <x:c r="L1326" s="13" t="n">
        <x:f>SUMIFS('Payments'!$D$5:$D$3014,'Payments'!$B$5:$B$3014,A1326)</x:f>
        <x:v>0</x:v>
      </x:c>
      <x:c r="M1326" s="13" t="n">
        <x:f>G1326-L1326</x:f>
        <x:v>11029.6</x:v>
      </x:c>
      <x:c r="N1326" s="9" t="str">
        <x:f>IF(H1326=0,"0 Current",IF(H1326&lt;=30,"1 1-30",IF(H1326&lt;=60,"2 31-60",IF(H1326&lt;=90,"3 61-90",IF(H1326&lt;=120,"4 91-120","5 121+")))))</x:f>
        <x:v>4 91-120</x:v>
      </x:c>
      <x:c r="O1326" s="9" t="n">
        <x:f>IF(J1326&gt;0,1,0)</x:f>
        <x:v>1</x:v>
      </x:c>
    </x:row>
    <x:row r="1327">
      <x:c r="A1327" s="15" t="str">
        <x:v>1323</x:v>
      </x:c>
      <x:c r="B1327" s="9" t="str">
        <x:v>Casey</x:v>
      </x:c>
      <x:c r="C1327" s="9" t="str">
        <x:v>Auto</x:v>
      </x:c>
      <x:c r="D1327" s="9" t="str">
        <x:v>Midwest</x:v>
      </x:c>
      <x:c r="E1327" s="9" t="n">
        <x:v>732</x:v>
      </x:c>
      <x:c r="F1327" s="11" t="n">
        <x:v>46064</x:v>
      </x:c>
      <x:c r="G1327" s="13" t="n">
        <x:v>2121.2</x:v>
      </x:c>
      <x:c r="H1327" s="9" t="n">
        <x:v>218</x:v>
      </x:c>
      <x:c r="I1327" s="9" t="n">
        <x:v>0</x:v>
      </x:c>
      <x:c r="J1327" s="9" t="n">
        <x:v>0</x:v>
      </x:c>
      <x:c r="K1327" s="9" t="n">
        <x:v>0</x:v>
      </x:c>
      <x:c r="L1327" s="13" t="n">
        <x:f>SUMIFS('Payments'!$D$5:$D$3014,'Payments'!$B$5:$B$3014,A1327)</x:f>
        <x:v>492.46</x:v>
      </x:c>
      <x:c r="M1327" s="13" t="n">
        <x:f>G1327-L1327</x:f>
        <x:v>1628.7399999999998</x:v>
      </x:c>
      <x:c r="N1327" s="9" t="str">
        <x:f>IF(H1327=0,"0 Current",IF(H1327&lt;=30,"1 1-30",IF(H1327&lt;=60,"2 31-60",IF(H1327&lt;=90,"3 61-90",IF(H1327&lt;=120,"4 91-120","5 121+")))))</x:f>
        <x:v>5 121+</x:v>
      </x:c>
      <x:c r="O1327" s="9" t="n">
        <x:f>IF(J1327&gt;0,1,0)</x:f>
        <x:v>0</x:v>
      </x:c>
    </x:row>
    <x:row r="1328">
      <x:c r="A1328" s="15" t="str">
        <x:v>1324</x:v>
      </x:c>
      <x:c r="B1328" s="9" t="str">
        <x:v>Casey</x:v>
      </x:c>
      <x:c r="C1328" s="9" t="str">
        <x:v>Medical</x:v>
      </x:c>
      <x:c r="D1328" s="9" t="str">
        <x:v>Midwest</x:v>
      </x:c>
      <x:c r="E1328" s="9" t="n">
        <x:v>658</x:v>
      </x:c>
      <x:c r="F1328" s="11" t="n">
        <x:v>46086</x:v>
      </x:c>
      <x:c r="G1328" s="13" t="n">
        <x:v>12746.44</x:v>
      </x:c>
      <x:c r="H1328" s="9" t="n">
        <x:v>66</x:v>
      </x:c>
      <x:c r="I1328" s="9" t="n">
        <x:v>3</x:v>
      </x:c>
      <x:c r="J1328" s="9" t="n">
        <x:v>0</x:v>
      </x:c>
      <x:c r="K1328" s="9" t="n">
        <x:v>0</x:v>
      </x:c>
      <x:c r="L1328" s="13" t="n">
        <x:f>SUMIFS('Payments'!$D$5:$D$3014,'Payments'!$B$5:$B$3014,A1328)</x:f>
        <x:v>3311.8199999999997</x:v>
      </x:c>
      <x:c r="M1328" s="13" t="n">
        <x:f>G1328-L1328</x:f>
        <x:v>9434.62</x:v>
      </x:c>
      <x:c r="N1328" s="9" t="str">
        <x:f>IF(H1328=0,"0 Current",IF(H1328&lt;=30,"1 1-30",IF(H1328&lt;=60,"2 31-60",IF(H1328&lt;=90,"3 61-90",IF(H1328&lt;=120,"4 91-120","5 121+")))))</x:f>
        <x:v>3 61-90</x:v>
      </x:c>
      <x:c r="O1328" s="9" t="n">
        <x:f>IF(J1328&gt;0,1,0)</x:f>
        <x:v>0</x:v>
      </x:c>
    </x:row>
    <x:row r="1329">
      <x:c r="A1329" s="15" t="str">
        <x:v>1325</x:v>
      </x:c>
      <x:c r="B1329" s="9" t="str">
        <x:v>Riley</x:v>
      </x:c>
      <x:c r="C1329" s="9" t="str">
        <x:v>Credit Card</x:v>
      </x:c>
      <x:c r="D1329" s="9" t="str">
        <x:v>Northeast</x:v>
      </x:c>
      <x:c r="E1329" s="9" t="n">
        <x:v>678</x:v>
      </x:c>
      <x:c r="F1329" s="11" t="n">
        <x:v>46048</x:v>
      </x:c>
      <x:c r="G1329" s="13" t="n">
        <x:v>9115.47</x:v>
      </x:c>
      <x:c r="H1329" s="9" t="n">
        <x:v>20</x:v>
      </x:c>
      <x:c r="I1329" s="9" t="n">
        <x:v>7</x:v>
      </x:c>
      <x:c r="J1329" s="9" t="n">
        <x:v>4</x:v>
      </x:c>
      <x:c r="K1329" s="9" t="n">
        <x:v>1</x:v>
      </x:c>
      <x:c r="L1329" s="13" t="n">
        <x:f>SUMIFS('Payments'!$D$5:$D$3014,'Payments'!$B$5:$B$3014,A1329)</x:f>
        <x:v>1181.3999999999999</x:v>
      </x:c>
      <x:c r="M1329" s="13" t="n">
        <x:f>G1329-L1329</x:f>
        <x:v>7934.07</x:v>
      </x:c>
      <x:c r="N1329" s="9" t="str">
        <x:f>IF(H1329=0,"0 Current",IF(H1329&lt;=30,"1 1-30",IF(H1329&lt;=60,"2 31-60",IF(H1329&lt;=90,"3 61-90",IF(H1329&lt;=120,"4 91-120","5 121+")))))</x:f>
        <x:v>1 1-30</x:v>
      </x:c>
      <x:c r="O1329" s="9" t="n">
        <x:f>IF(J1329&gt;0,1,0)</x:f>
        <x:v>1</x:v>
      </x:c>
    </x:row>
    <x:row r="1330">
      <x:c r="A1330" s="15" t="str">
        <x:v>1326</x:v>
      </x:c>
      <x:c r="B1330" s="9" t="str">
        <x:v>Taylor</x:v>
      </x:c>
      <x:c r="C1330" s="9" t="str">
        <x:v>Personal Loan</x:v>
      </x:c>
      <x:c r="D1330" s="9" t="str">
        <x:v>West</x:v>
      </x:c>
      <x:c r="E1330" s="9" t="n">
        <x:v>548</x:v>
      </x:c>
      <x:c r="F1330" s="11" t="n">
        <x:v>46156</x:v>
      </x:c>
      <x:c r="G1330" s="13" t="n">
        <x:v>23805.45</x:v>
      </x:c>
      <x:c r="H1330" s="9" t="n">
        <x:v>23</x:v>
      </x:c>
      <x:c r="I1330" s="9" t="n">
        <x:v>2</x:v>
      </x:c>
      <x:c r="J1330" s="9" t="n">
        <x:v>0</x:v>
      </x:c>
      <x:c r="K1330" s="9" t="n">
        <x:v>0</x:v>
      </x:c>
      <x:c r="L1330" s="13" t="n">
        <x:f>SUMIFS('Payments'!$D$5:$D$3014,'Payments'!$B$5:$B$3014,A1330)</x:f>
        <x:v>0</x:v>
      </x:c>
      <x:c r="M1330" s="13" t="n">
        <x:f>G1330-L1330</x:f>
        <x:v>23805.45</x:v>
      </x:c>
      <x:c r="N1330" s="9" t="str">
        <x:f>IF(H1330=0,"0 Current",IF(H1330&lt;=30,"1 1-30",IF(H1330&lt;=60,"2 31-60",IF(H1330&lt;=90,"3 61-90",IF(H1330&lt;=120,"4 91-120","5 121+")))))</x:f>
        <x:v>1 1-30</x:v>
      </x:c>
      <x:c r="O1330" s="9" t="n">
        <x:f>IF(J1330&gt;0,1,0)</x:f>
        <x:v>0</x:v>
      </x:c>
    </x:row>
    <x:row r="1331">
      <x:c r="A1331" s="15" t="str">
        <x:v>1327</x:v>
      </x:c>
      <x:c r="B1331" s="9" t="str">
        <x:v>Taylor</x:v>
      </x:c>
      <x:c r="C1331" s="9" t="str">
        <x:v>Medical</x:v>
      </x:c>
      <x:c r="D1331" s="9" t="str">
        <x:v>Midwest</x:v>
      </x:c>
      <x:c r="E1331" s="9" t="n">
        <x:v>553</x:v>
      </x:c>
      <x:c r="F1331" s="11" t="n">
        <x:v>46057</x:v>
      </x:c>
      <x:c r="G1331" s="13" t="n">
        <x:v>20824.71</x:v>
      </x:c>
      <x:c r="H1331" s="9" t="n">
        <x:v>111</x:v>
      </x:c>
      <x:c r="I1331" s="9" t="n">
        <x:v>6</x:v>
      </x:c>
      <x:c r="J1331" s="9" t="n">
        <x:v>2</x:v>
      </x:c>
      <x:c r="K1331" s="9" t="n">
        <x:v>0</x:v>
      </x:c>
      <x:c r="L1331" s="13" t="n">
        <x:f>SUMIFS('Payments'!$D$5:$D$3014,'Payments'!$B$5:$B$3014,A1331)</x:f>
        <x:v>4219.57</x:v>
      </x:c>
      <x:c r="M1331" s="13" t="n">
        <x:f>G1331-L1331</x:f>
        <x:v>16605.14</x:v>
      </x:c>
      <x:c r="N1331" s="9" t="str">
        <x:f>IF(H1331=0,"0 Current",IF(H1331&lt;=30,"1 1-30",IF(H1331&lt;=60,"2 31-60",IF(H1331&lt;=90,"3 61-90",IF(H1331&lt;=120,"4 91-120","5 121+")))))</x:f>
        <x:v>4 91-120</x:v>
      </x:c>
      <x:c r="O1331" s="9" t="n">
        <x:f>IF(J1331&gt;0,1,0)</x:f>
        <x:v>1</x:v>
      </x:c>
    </x:row>
    <x:row r="1332">
      <x:c r="A1332" s="15" t="str">
        <x:v>1328</x:v>
      </x:c>
      <x:c r="B1332" s="9" t="str">
        <x:v>Casey</x:v>
      </x:c>
      <x:c r="C1332" s="9" t="str">
        <x:v>Medical</x:v>
      </x:c>
      <x:c r="D1332" s="9" t="str">
        <x:v>West</x:v>
      </x:c>
      <x:c r="E1332" s="9" t="n">
        <x:v>442</x:v>
      </x:c>
      <x:c r="F1332" s="11" t="n">
        <x:v>46170</x:v>
      </x:c>
      <x:c r="G1332" s="13" t="n">
        <x:v>12506.95</x:v>
      </x:c>
      <x:c r="H1332" s="9" t="n">
        <x:v>30</x:v>
      </x:c>
      <x:c r="I1332" s="9" t="n">
        <x:v>1</x:v>
      </x:c>
      <x:c r="J1332" s="9" t="n">
        <x:v>0</x:v>
      </x:c>
      <x:c r="K1332" s="9" t="n">
        <x:v>0</x:v>
      </x:c>
      <x:c r="L1332" s="13" t="n">
        <x:f>SUMIFS('Payments'!$D$5:$D$3014,'Payments'!$B$5:$B$3014,A1332)</x:f>
        <x:v>963.96</x:v>
      </x:c>
      <x:c r="M1332" s="13" t="n">
        <x:f>G1332-L1332</x:f>
        <x:v>11542.990000000002</x:v>
      </x:c>
      <x:c r="N1332" s="9" t="str">
        <x:f>IF(H1332=0,"0 Current",IF(H1332&lt;=30,"1 1-30",IF(H1332&lt;=60,"2 31-60",IF(H1332&lt;=90,"3 61-90",IF(H1332&lt;=120,"4 91-120","5 121+")))))</x:f>
        <x:v>1 1-30</x:v>
      </x:c>
      <x:c r="O1332" s="9" t="n">
        <x:f>IF(J1332&gt;0,1,0)</x:f>
        <x:v>0</x:v>
      </x:c>
    </x:row>
    <x:row r="1333">
      <x:c r="A1333" s="15" t="str">
        <x:v>1329</x:v>
      </x:c>
      <x:c r="B1333" s="9" t="str">
        <x:v>Riley</x:v>
      </x:c>
      <x:c r="C1333" s="9" t="str">
        <x:v>Medical</x:v>
      </x:c>
      <x:c r="D1333" s="9" t="str">
        <x:v>South</x:v>
      </x:c>
      <x:c r="E1333" s="9" t="n">
        <x:v>489</x:v>
      </x:c>
      <x:c r="F1333" s="11" t="n">
        <x:v>46036</x:v>
      </x:c>
      <x:c r="G1333" s="13" t="n">
        <x:v>17737.1</x:v>
      </x:c>
      <x:c r="H1333" s="9" t="n">
        <x:v>99</x:v>
      </x:c>
      <x:c r="I1333" s="9" t="n">
        <x:v>6</x:v>
      </x:c>
      <x:c r="J1333" s="9" t="n">
        <x:v>1</x:v>
      </x:c>
      <x:c r="K1333" s="9" t="n">
        <x:v>0</x:v>
      </x:c>
      <x:c r="L1333" s="13" t="n">
        <x:f>SUMIFS('Payments'!$D$5:$D$3014,'Payments'!$B$5:$B$3014,A1333)</x:f>
        <x:v>0</x:v>
      </x:c>
      <x:c r="M1333" s="13" t="n">
        <x:f>G1333-L1333</x:f>
        <x:v>17737.1</x:v>
      </x:c>
      <x:c r="N1333" s="9" t="str">
        <x:f>IF(H1333=0,"0 Current",IF(H1333&lt;=30,"1 1-30",IF(H1333&lt;=60,"2 31-60",IF(H1333&lt;=90,"3 61-90",IF(H1333&lt;=120,"4 91-120","5 121+")))))</x:f>
        <x:v>4 91-120</x:v>
      </x:c>
      <x:c r="O1333" s="9" t="n">
        <x:f>IF(J1333&gt;0,1,0)</x:f>
        <x:v>1</x:v>
      </x:c>
    </x:row>
    <x:row r="1334">
      <x:c r="A1334" s="15" t="str">
        <x:v>1330</x:v>
      </x:c>
      <x:c r="B1334" s="9" t="str">
        <x:v>Morgan</x:v>
      </x:c>
      <x:c r="C1334" s="9" t="str">
        <x:v>Auto</x:v>
      </x:c>
      <x:c r="D1334" s="9" t="str">
        <x:v>South</x:v>
      </x:c>
      <x:c r="E1334" s="9" t="n">
        <x:v>614</x:v>
      </x:c>
      <x:c r="F1334" s="11" t="n">
        <x:v>46116</x:v>
      </x:c>
      <x:c r="G1334" s="13" t="n">
        <x:v>12369.7</x:v>
      </x:c>
      <x:c r="H1334" s="9" t="n">
        <x:v>149</x:v>
      </x:c>
      <x:c r="I1334" s="9" t="n">
        <x:v>3</x:v>
      </x:c>
      <x:c r="J1334" s="9" t="n">
        <x:v>1</x:v>
      </x:c>
      <x:c r="K1334" s="9" t="n">
        <x:v>0</x:v>
      </x:c>
      <x:c r="L1334" s="13" t="n">
        <x:f>SUMIFS('Payments'!$D$5:$D$3014,'Payments'!$B$5:$B$3014,A1334)</x:f>
        <x:v>3998.04</x:v>
      </x:c>
      <x:c r="M1334" s="13" t="n">
        <x:f>G1334-L1334</x:f>
        <x:v>8371.66</x:v>
      </x:c>
      <x:c r="N1334" s="9" t="str">
        <x:f>IF(H1334=0,"0 Current",IF(H1334&lt;=30,"1 1-30",IF(H1334&lt;=60,"2 31-60",IF(H1334&lt;=90,"3 61-90",IF(H1334&lt;=120,"4 91-120","5 121+")))))</x:f>
        <x:v>5 121+</x:v>
      </x:c>
      <x:c r="O1334" s="9" t="n">
        <x:f>IF(J1334&gt;0,1,0)</x:f>
        <x:v>1</x:v>
      </x:c>
    </x:row>
    <x:row r="1335">
      <x:c r="A1335" s="15" t="str">
        <x:v>1331</x:v>
      </x:c>
      <x:c r="B1335" s="9" t="str">
        <x:v>Morgan</x:v>
      </x:c>
      <x:c r="C1335" s="9" t="str">
        <x:v>Auto</x:v>
      </x:c>
      <x:c r="D1335" s="9" t="str">
        <x:v>West</x:v>
      </x:c>
      <x:c r="E1335" s="9" t="n">
        <x:v>668</x:v>
      </x:c>
      <x:c r="F1335" s="11" t="n">
        <x:v>46110</x:v>
      </x:c>
      <x:c r="G1335" s="13" t="n">
        <x:v>18648.16</x:v>
      </x:c>
      <x:c r="H1335" s="9" t="n">
        <x:v>53</x:v>
      </x:c>
      <x:c r="I1335" s="9" t="n">
        <x:v>2</x:v>
      </x:c>
      <x:c r="J1335" s="9" t="n">
        <x:v>1</x:v>
      </x:c>
      <x:c r="K1335" s="9" t="n">
        <x:v>0</x:v>
      </x:c>
      <x:c r="L1335" s="13" t="n">
        <x:f>SUMIFS('Payments'!$D$5:$D$3014,'Payments'!$B$5:$B$3014,A1335)</x:f>
        <x:v>1750.94</x:v>
      </x:c>
      <x:c r="M1335" s="13" t="n">
        <x:f>G1335-L1335</x:f>
        <x:v>16897.22</x:v>
      </x:c>
      <x:c r="N1335" s="9" t="str">
        <x:f>IF(H1335=0,"0 Current",IF(H1335&lt;=30,"1 1-30",IF(H1335&lt;=60,"2 31-60",IF(H1335&lt;=90,"3 61-90",IF(H1335&lt;=120,"4 91-120","5 121+")))))</x:f>
        <x:v>2 31-60</x:v>
      </x:c>
      <x:c r="O1335" s="9" t="n">
        <x:f>IF(J1335&gt;0,1,0)</x:f>
        <x:v>1</x:v>
      </x:c>
    </x:row>
    <x:row r="1336">
      <x:c r="A1336" s="15" t="str">
        <x:v>1332</x:v>
      </x:c>
      <x:c r="B1336" s="9" t="str">
        <x:v>Casey</x:v>
      </x:c>
      <x:c r="C1336" s="9" t="str">
        <x:v>Auto</x:v>
      </x:c>
      <x:c r="D1336" s="9" t="str">
        <x:v>Northeast</x:v>
      </x:c>
      <x:c r="E1336" s="9" t="n">
        <x:v>586</x:v>
      </x:c>
      <x:c r="F1336" s="11" t="n">
        <x:v>46122</x:v>
      </x:c>
      <x:c r="G1336" s="13" t="n">
        <x:v>17453.68</x:v>
      </x:c>
      <x:c r="H1336" s="9" t="n">
        <x:v>93</x:v>
      </x:c>
      <x:c r="I1336" s="9" t="n">
        <x:v>4</x:v>
      </x:c>
      <x:c r="J1336" s="9" t="n">
        <x:v>1</x:v>
      </x:c>
      <x:c r="K1336" s="9" t="n">
        <x:v>0</x:v>
      </x:c>
      <x:c r="L1336" s="13" t="n">
        <x:f>SUMIFS('Payments'!$D$5:$D$3014,'Payments'!$B$5:$B$3014,A1336)</x:f>
        <x:v>0</x:v>
      </x:c>
      <x:c r="M1336" s="13" t="n">
        <x:f>G1336-L1336</x:f>
        <x:v>17453.68</x:v>
      </x:c>
      <x:c r="N1336" s="9" t="str">
        <x:f>IF(H1336=0,"0 Current",IF(H1336&lt;=30,"1 1-30",IF(H1336&lt;=60,"2 31-60",IF(H1336&lt;=90,"3 61-90",IF(H1336&lt;=120,"4 91-120","5 121+")))))</x:f>
        <x:v>4 91-120</x:v>
      </x:c>
      <x:c r="O1336" s="9" t="n">
        <x:f>IF(J1336&gt;0,1,0)</x:f>
        <x:v>1</x:v>
      </x:c>
    </x:row>
    <x:row r="1337">
      <x:c r="A1337" s="15" t="str">
        <x:v>1333</x:v>
      </x:c>
      <x:c r="B1337" s="9" t="str">
        <x:v>Morgan</x:v>
      </x:c>
      <x:c r="C1337" s="9" t="str">
        <x:v>Auto</x:v>
      </x:c>
      <x:c r="D1337" s="9" t="str">
        <x:v>Northeast</x:v>
      </x:c>
      <x:c r="E1337" s="9" t="n">
        <x:v>621</x:v>
      </x:c>
      <x:c r="F1337" s="11" t="n">
        <x:v>46079</x:v>
      </x:c>
      <x:c r="G1337" s="13" t="n">
        <x:v>713.64</x:v>
      </x:c>
      <x:c r="H1337" s="9" t="n">
        <x:v>220</x:v>
      </x:c>
      <x:c r="I1337" s="9" t="n">
        <x:v>8</x:v>
      </x:c>
      <x:c r="J1337" s="9" t="n">
        <x:v>4</x:v>
      </x:c>
      <x:c r="K1337" s="9" t="n">
        <x:v>1</x:v>
      </x:c>
      <x:c r="L1337" s="13" t="n">
        <x:f>SUMIFS('Payments'!$D$5:$D$3014,'Payments'!$B$5:$B$3014,A1337)</x:f>
        <x:v>31.35</x:v>
      </x:c>
      <x:c r="M1337" s="13" t="n">
        <x:f>G1337-L1337</x:f>
        <x:v>682.29</x:v>
      </x:c>
      <x:c r="N1337" s="9" t="str">
        <x:f>IF(H1337=0,"0 Current",IF(H1337&lt;=30,"1 1-30",IF(H1337&lt;=60,"2 31-60",IF(H1337&lt;=90,"3 61-90",IF(H1337&lt;=120,"4 91-120","5 121+")))))</x:f>
        <x:v>5 121+</x:v>
      </x:c>
      <x:c r="O1337" s="9" t="n">
        <x:f>IF(J1337&gt;0,1,0)</x:f>
        <x:v>1</x:v>
      </x:c>
    </x:row>
    <x:row r="1338">
      <x:c r="A1338" s="15" t="str">
        <x:v>1334</x:v>
      </x:c>
      <x:c r="B1338" s="9" t="str">
        <x:v>Alex</x:v>
      </x:c>
      <x:c r="C1338" s="9" t="str">
        <x:v>Auto</x:v>
      </x:c>
      <x:c r="D1338" s="9" t="str">
        <x:v>West</x:v>
      </x:c>
      <x:c r="E1338" s="9" t="n">
        <x:v>813</x:v>
      </x:c>
      <x:c r="F1338" s="11" t="n">
        <x:v>46160</x:v>
      </x:c>
      <x:c r="G1338" s="13" t="n">
        <x:v>6402.16</x:v>
      </x:c>
      <x:c r="H1338" s="9" t="n">
        <x:v>43</x:v>
      </x:c>
      <x:c r="I1338" s="9" t="n">
        <x:v>1</x:v>
      </x:c>
      <x:c r="J1338" s="9" t="n">
        <x:v>1</x:v>
      </x:c>
      <x:c r="K1338" s="9" t="n">
        <x:v>0</x:v>
      </x:c>
      <x:c r="L1338" s="13" t="n">
        <x:f>SUMIFS('Payments'!$D$5:$D$3014,'Payments'!$B$5:$B$3014,A1338)</x:f>
        <x:v>667.32</x:v>
      </x:c>
      <x:c r="M1338" s="13" t="n">
        <x:f>G1338-L1338</x:f>
        <x:v>5734.84</x:v>
      </x:c>
      <x:c r="N1338" s="9" t="str">
        <x:f>IF(H1338=0,"0 Current",IF(H1338&lt;=30,"1 1-30",IF(H1338&lt;=60,"2 31-60",IF(H1338&lt;=90,"3 61-90",IF(H1338&lt;=120,"4 91-120","5 121+")))))</x:f>
        <x:v>2 31-60</x:v>
      </x:c>
      <x:c r="O1338" s="9" t="n">
        <x:f>IF(J1338&gt;0,1,0)</x:f>
        <x:v>1</x:v>
      </x:c>
    </x:row>
    <x:row r="1339">
      <x:c r="A1339" s="15" t="str">
        <x:v>1335</x:v>
      </x:c>
      <x:c r="B1339" s="9" t="str">
        <x:v>Casey</x:v>
      </x:c>
      <x:c r="C1339" s="9" t="str">
        <x:v>Medical</x:v>
      </x:c>
      <x:c r="D1339" s="9" t="str">
        <x:v>South</x:v>
      </x:c>
      <x:c r="E1339" s="9" t="n">
        <x:v>781</x:v>
      </x:c>
      <x:c r="F1339" s="11" t="n">
        <x:v>46064</x:v>
      </x:c>
      <x:c r="G1339" s="13" t="n">
        <x:v>6372.31</x:v>
      </x:c>
      <x:c r="H1339" s="9" t="n">
        <x:v>46</x:v>
      </x:c>
      <x:c r="I1339" s="9" t="n">
        <x:v>4</x:v>
      </x:c>
      <x:c r="J1339" s="9" t="n">
        <x:v>1</x:v>
      </x:c>
      <x:c r="K1339" s="9" t="n">
        <x:v>1</x:v>
      </x:c>
      <x:c r="L1339" s="13" t="n">
        <x:f>SUMIFS('Payments'!$D$5:$D$3014,'Payments'!$B$5:$B$3014,A1339)</x:f>
        <x:v>738.84</x:v>
      </x:c>
      <x:c r="M1339" s="13" t="n">
        <x:f>G1339-L1339</x:f>
        <x:v>5633.47</x:v>
      </x:c>
      <x:c r="N1339" s="9" t="str">
        <x:f>IF(H1339=0,"0 Current",IF(H1339&lt;=30,"1 1-30",IF(H1339&lt;=60,"2 31-60",IF(H1339&lt;=90,"3 61-90",IF(H1339&lt;=120,"4 91-120","5 121+")))))</x:f>
        <x:v>2 31-60</x:v>
      </x:c>
      <x:c r="O1339" s="9" t="n">
        <x:f>IF(J1339&gt;0,1,0)</x:f>
        <x:v>1</x:v>
      </x:c>
    </x:row>
    <x:row r="1340">
      <x:c r="A1340" s="15" t="str">
        <x:v>1336</x:v>
      </x:c>
      <x:c r="B1340" s="9" t="str">
        <x:v>Alex</x:v>
      </x:c>
      <x:c r="C1340" s="9" t="str">
        <x:v>Credit Card</x:v>
      </x:c>
      <x:c r="D1340" s="9" t="str">
        <x:v>Northeast</x:v>
      </x:c>
      <x:c r="E1340" s="9" t="n">
        <x:v>541</x:v>
      </x:c>
      <x:c r="F1340" s="11" t="n">
        <x:v>46099</x:v>
      </x:c>
      <x:c r="G1340" s="13" t="n">
        <x:v>1840.07</x:v>
      </x:c>
      <x:c r="H1340" s="9" t="n">
        <x:v>9</x:v>
      </x:c>
      <x:c r="I1340" s="9" t="n">
        <x:v>1</x:v>
      </x:c>
      <x:c r="J1340" s="9" t="n">
        <x:v>0</x:v>
      </x:c>
      <x:c r="K1340" s="9" t="n">
        <x:v>0</x:v>
      </x:c>
      <x:c r="L1340" s="13" t="n">
        <x:f>SUMIFS('Payments'!$D$5:$D$3014,'Payments'!$B$5:$B$3014,A1340)</x:f>
        <x:v>486.3399999999999</x:v>
      </x:c>
      <x:c r="M1340" s="13" t="n">
        <x:f>G1340-L1340</x:f>
        <x:v>1353.73</x:v>
      </x:c>
      <x:c r="N1340" s="9" t="str">
        <x:f>IF(H1340=0,"0 Current",IF(H1340&lt;=30,"1 1-30",IF(H1340&lt;=60,"2 31-60",IF(H1340&lt;=90,"3 61-90",IF(H1340&lt;=120,"4 91-120","5 121+")))))</x:f>
        <x:v>1 1-30</x:v>
      </x:c>
      <x:c r="O1340" s="9" t="n">
        <x:f>IF(J1340&gt;0,1,0)</x:f>
        <x:v>0</x:v>
      </x:c>
    </x:row>
    <x:row r="1341">
      <x:c r="A1341" s="15" t="str">
        <x:v>1337</x:v>
      </x:c>
      <x:c r="B1341" s="9" t="str">
        <x:v>Taylor</x:v>
      </x:c>
      <x:c r="C1341" s="9" t="str">
        <x:v>Personal Loan</x:v>
      </x:c>
      <x:c r="D1341" s="9" t="str">
        <x:v>South</x:v>
      </x:c>
      <x:c r="E1341" s="9" t="n">
        <x:v>741</x:v>
      </x:c>
      <x:c r="F1341" s="11" t="n">
        <x:v>46086</x:v>
      </x:c>
      <x:c r="G1341" s="13" t="n">
        <x:v>15055.46</x:v>
      </x:c>
      <x:c r="H1341" s="9" t="n">
        <x:v>49</x:v>
      </x:c>
      <x:c r="I1341" s="9" t="n">
        <x:v>8</x:v>
      </x:c>
      <x:c r="J1341" s="9" t="n">
        <x:v>1</x:v>
      </x:c>
      <x:c r="K1341" s="9" t="n">
        <x:v>0</x:v>
      </x:c>
      <x:c r="L1341" s="13" t="n">
        <x:f>SUMIFS('Payments'!$D$5:$D$3014,'Payments'!$B$5:$B$3014,A1341)</x:f>
        <x:v>1613.11</x:v>
      </x:c>
      <x:c r="M1341" s="13" t="n">
        <x:f>G1341-L1341</x:f>
        <x:v>13442.349999999999</x:v>
      </x:c>
      <x:c r="N1341" s="9" t="str">
        <x:f>IF(H1341=0,"0 Current",IF(H1341&lt;=30,"1 1-30",IF(H1341&lt;=60,"2 31-60",IF(H1341&lt;=90,"3 61-90",IF(H1341&lt;=120,"4 91-120","5 121+")))))</x:f>
        <x:v>2 31-60</x:v>
      </x:c>
      <x:c r="O1341" s="9" t="n">
        <x:f>IF(J1341&gt;0,1,0)</x:f>
        <x:v>1</x:v>
      </x:c>
    </x:row>
    <x:row r="1342">
      <x:c r="A1342" s="15" t="str">
        <x:v>1338</x:v>
      </x:c>
      <x:c r="B1342" s="9" t="str">
        <x:v>Riley</x:v>
      </x:c>
      <x:c r="C1342" s="9" t="str">
        <x:v>Credit Card</x:v>
      </x:c>
      <x:c r="D1342" s="9" t="str">
        <x:v>Midwest</x:v>
      </x:c>
      <x:c r="E1342" s="9" t="n">
        <x:v>601</x:v>
      </x:c>
      <x:c r="F1342" s="11" t="n">
        <x:v>46030</x:v>
      </x:c>
      <x:c r="G1342" s="13" t="n">
        <x:v>5853.01</x:v>
      </x:c>
      <x:c r="H1342" s="9" t="n">
        <x:v>6</x:v>
      </x:c>
      <x:c r="I1342" s="9" t="n">
        <x:v>3</x:v>
      </x:c>
      <x:c r="J1342" s="9" t="n">
        <x:v>2</x:v>
      </x:c>
      <x:c r="K1342" s="9" t="n">
        <x:v>0</x:v>
      </x:c>
      <x:c r="L1342" s="13" t="n">
        <x:f>SUMIFS('Payments'!$D$5:$D$3014,'Payments'!$B$5:$B$3014,A1342)</x:f>
        <x:v>531.21</x:v>
      </x:c>
      <x:c r="M1342" s="13" t="n">
        <x:f>G1342-L1342</x:f>
        <x:v>5321.8</x:v>
      </x:c>
      <x:c r="N1342" s="9" t="str">
        <x:f>IF(H1342=0,"0 Current",IF(H1342&lt;=30,"1 1-30",IF(H1342&lt;=60,"2 31-60",IF(H1342&lt;=90,"3 61-90",IF(H1342&lt;=120,"4 91-120","5 121+")))))</x:f>
        <x:v>1 1-30</x:v>
      </x:c>
      <x:c r="O1342" s="9" t="n">
        <x:f>IF(J1342&gt;0,1,0)</x:f>
        <x:v>1</x:v>
      </x:c>
    </x:row>
    <x:row r="1343">
      <x:c r="A1343" s="15" t="str">
        <x:v>1339</x:v>
      </x:c>
      <x:c r="B1343" s="9" t="str">
        <x:v>Taylor</x:v>
      </x:c>
      <x:c r="C1343" s="9" t="str">
        <x:v>Personal Loan</x:v>
      </x:c>
      <x:c r="D1343" s="9" t="str">
        <x:v>Midwest</x:v>
      </x:c>
      <x:c r="E1343" s="9" t="n">
        <x:v>611</x:v>
      </x:c>
      <x:c r="F1343" s="11" t="n">
        <x:v>46153</x:v>
      </x:c>
      <x:c r="G1343" s="13" t="n">
        <x:v>4510.04</x:v>
      </x:c>
      <x:c r="H1343" s="9" t="n">
        <x:v>120</x:v>
      </x:c>
      <x:c r="I1343" s="9" t="n">
        <x:v>2</x:v>
      </x:c>
      <x:c r="J1343" s="9" t="n">
        <x:v>1</x:v>
      </x:c>
      <x:c r="K1343" s="9" t="n">
        <x:v>0</x:v>
      </x:c>
      <x:c r="L1343" s="13" t="n">
        <x:f>SUMIFS('Payments'!$D$5:$D$3014,'Payments'!$B$5:$B$3014,A1343)</x:f>
        <x:v>1270.25</x:v>
      </x:c>
      <x:c r="M1343" s="13" t="n">
        <x:f>G1343-L1343</x:f>
        <x:v>3239.79</x:v>
      </x:c>
      <x:c r="N1343" s="9" t="str">
        <x:f>IF(H1343=0,"0 Current",IF(H1343&lt;=30,"1 1-30",IF(H1343&lt;=60,"2 31-60",IF(H1343&lt;=90,"3 61-90",IF(H1343&lt;=120,"4 91-120","5 121+")))))</x:f>
        <x:v>4 91-120</x:v>
      </x:c>
      <x:c r="O1343" s="9" t="n">
        <x:f>IF(J1343&gt;0,1,0)</x:f>
        <x:v>1</x:v>
      </x:c>
    </x:row>
    <x:row r="1344">
      <x:c r="A1344" s="15" t="str">
        <x:v>1340</x:v>
      </x:c>
      <x:c r="B1344" s="9" t="str">
        <x:v>Morgan</x:v>
      </x:c>
      <x:c r="C1344" s="9" t="str">
        <x:v>Personal Loan</x:v>
      </x:c>
      <x:c r="D1344" s="9" t="str">
        <x:v>South</x:v>
      </x:c>
      <x:c r="E1344" s="9" t="n">
        <x:v>660</x:v>
      </x:c>
      <x:c r="F1344" s="11" t="n">
        <x:v>46080</x:v>
      </x:c>
      <x:c r="G1344" s="13" t="n">
        <x:v>1446.77</x:v>
      </x:c>
      <x:c r="H1344" s="9" t="n">
        <x:v>127</x:v>
      </x:c>
      <x:c r="I1344" s="9" t="n">
        <x:v>3</x:v>
      </x:c>
      <x:c r="J1344" s="9" t="n">
        <x:v>2</x:v>
      </x:c>
      <x:c r="K1344" s="9" t="n">
        <x:v>1</x:v>
      </x:c>
      <x:c r="L1344" s="13" t="n">
        <x:f>SUMIFS('Payments'!$D$5:$D$3014,'Payments'!$B$5:$B$3014,A1344)</x:f>
        <x:v>208.28</x:v>
      </x:c>
      <x:c r="M1344" s="13" t="n">
        <x:f>G1344-L1344</x:f>
        <x:v>1238.49</x:v>
      </x:c>
      <x:c r="N1344" s="9" t="str">
        <x:f>IF(H1344=0,"0 Current",IF(H1344&lt;=30,"1 1-30",IF(H1344&lt;=60,"2 31-60",IF(H1344&lt;=90,"3 61-90",IF(H1344&lt;=120,"4 91-120","5 121+")))))</x:f>
        <x:v>5 121+</x:v>
      </x:c>
      <x:c r="O1344" s="9" t="n">
        <x:f>IF(J1344&gt;0,1,0)</x:f>
        <x:v>1</x:v>
      </x:c>
    </x:row>
    <x:row r="1345">
      <x:c r="A1345" s="15" t="str">
        <x:v>1341</x:v>
      </x:c>
      <x:c r="B1345" s="9" t="str">
        <x:v>Riley</x:v>
      </x:c>
      <x:c r="C1345" s="9" t="str">
        <x:v>Credit Card</x:v>
      </x:c>
      <x:c r="D1345" s="9" t="str">
        <x:v>West</x:v>
      </x:c>
      <x:c r="E1345" s="9" t="n">
        <x:v>653</x:v>
      </x:c>
      <x:c r="F1345" s="11" t="n">
        <x:v>46084</x:v>
      </x:c>
      <x:c r="G1345" s="13" t="n">
        <x:v>17381.96</x:v>
      </x:c>
      <x:c r="H1345" s="9" t="n">
        <x:v>81</x:v>
      </x:c>
      <x:c r="I1345" s="9" t="n">
        <x:v>7</x:v>
      </x:c>
      <x:c r="J1345" s="9" t="n">
        <x:v>3</x:v>
      </x:c>
      <x:c r="K1345" s="9" t="n">
        <x:v>1</x:v>
      </x:c>
      <x:c r="L1345" s="13" t="n">
        <x:f>SUMIFS('Payments'!$D$5:$D$3014,'Payments'!$B$5:$B$3014,A1345)</x:f>
        <x:v>2371.5</x:v>
      </x:c>
      <x:c r="M1345" s="13" t="n">
        <x:f>G1345-L1345</x:f>
        <x:v>15010.46</x:v>
      </x:c>
      <x:c r="N1345" s="9" t="str">
        <x:f>IF(H1345=0,"0 Current",IF(H1345&lt;=30,"1 1-30",IF(H1345&lt;=60,"2 31-60",IF(H1345&lt;=90,"3 61-90",IF(H1345&lt;=120,"4 91-120","5 121+")))))</x:f>
        <x:v>3 61-90</x:v>
      </x:c>
      <x:c r="O1345" s="9" t="n">
        <x:f>IF(J1345&gt;0,1,0)</x:f>
        <x:v>1</x:v>
      </x:c>
    </x:row>
    <x:row r="1346">
      <x:c r="A1346" s="15" t="str">
        <x:v>1342</x:v>
      </x:c>
      <x:c r="B1346" s="9" t="str">
        <x:v>Taylor</x:v>
      </x:c>
      <x:c r="C1346" s="9" t="str">
        <x:v>Personal Loan</x:v>
      </x:c>
      <x:c r="D1346" s="9" t="str">
        <x:v>West</x:v>
      </x:c>
      <x:c r="E1346" s="9" t="n">
        <x:v>609</x:v>
      </x:c>
      <x:c r="F1346" s="11" t="n">
        <x:v>46168</x:v>
      </x:c>
      <x:c r="G1346" s="13" t="n">
        <x:v>2548.45</x:v>
      </x:c>
      <x:c r="H1346" s="9" t="n">
        <x:v>228</x:v>
      </x:c>
      <x:c r="I1346" s="9" t="n">
        <x:v>6</x:v>
      </x:c>
      <x:c r="J1346" s="9" t="n">
        <x:v>0</x:v>
      </x:c>
      <x:c r="K1346" s="9" t="n">
        <x:v>0</x:v>
      </x:c>
      <x:c r="L1346" s="13" t="n">
        <x:f>SUMIFS('Payments'!$D$5:$D$3014,'Payments'!$B$5:$B$3014,A1346)</x:f>
        <x:v>180.33</x:v>
      </x:c>
      <x:c r="M1346" s="13" t="n">
        <x:f>G1346-L1346</x:f>
        <x:v>2368.12</x:v>
      </x:c>
      <x:c r="N1346" s="9" t="str">
        <x:f>IF(H1346=0,"0 Current",IF(H1346&lt;=30,"1 1-30",IF(H1346&lt;=60,"2 31-60",IF(H1346&lt;=90,"3 61-90",IF(H1346&lt;=120,"4 91-120","5 121+")))))</x:f>
        <x:v>5 121+</x:v>
      </x:c>
      <x:c r="O1346" s="9" t="n">
        <x:f>IF(J1346&gt;0,1,0)</x:f>
        <x:v>0</x:v>
      </x:c>
    </x:row>
    <x:row r="1347">
      <x:c r="A1347" s="15" t="str">
        <x:v>1343</x:v>
      </x:c>
      <x:c r="B1347" s="9" t="str">
        <x:v>Morgan</x:v>
      </x:c>
      <x:c r="C1347" s="9" t="str">
        <x:v>Credit Card</x:v>
      </x:c>
      <x:c r="D1347" s="9" t="str">
        <x:v>Northeast</x:v>
      </x:c>
      <x:c r="E1347" s="9" t="n">
        <x:v>583</x:v>
      </x:c>
      <x:c r="F1347" s="11" t="n">
        <x:v>46104</x:v>
      </x:c>
      <x:c r="G1347" s="13" t="n">
        <x:v>6535.67</x:v>
      </x:c>
      <x:c r="H1347" s="9" t="n">
        <x:v>237</x:v>
      </x:c>
      <x:c r="I1347" s="9" t="n">
        <x:v>8</x:v>
      </x:c>
      <x:c r="J1347" s="9" t="n">
        <x:v>2</x:v>
      </x:c>
      <x:c r="K1347" s="9" t="n">
        <x:v>0</x:v>
      </x:c>
      <x:c r="L1347" s="13" t="n">
        <x:f>SUMIFS('Payments'!$D$5:$D$3014,'Payments'!$B$5:$B$3014,A1347)</x:f>
        <x:v>558.21</x:v>
      </x:c>
      <x:c r="M1347" s="13" t="n">
        <x:f>G1347-L1347</x:f>
        <x:v>5977.46</x:v>
      </x:c>
      <x:c r="N1347" s="9" t="str">
        <x:f>IF(H1347=0,"0 Current",IF(H1347&lt;=30,"1 1-30",IF(H1347&lt;=60,"2 31-60",IF(H1347&lt;=90,"3 61-90",IF(H1347&lt;=120,"4 91-120","5 121+")))))</x:f>
        <x:v>5 121+</x:v>
      </x:c>
      <x:c r="O1347" s="9" t="n">
        <x:f>IF(J1347&gt;0,1,0)</x:f>
        <x:v>1</x:v>
      </x:c>
    </x:row>
    <x:row r="1348">
      <x:c r="A1348" s="15" t="str">
        <x:v>1344</x:v>
      </x:c>
      <x:c r="B1348" s="9" t="str">
        <x:v>Morgan</x:v>
      </x:c>
      <x:c r="C1348" s="9" t="str">
        <x:v>Personal Loan</x:v>
      </x:c>
      <x:c r="D1348" s="9" t="str">
        <x:v>Midwest</x:v>
      </x:c>
      <x:c r="E1348" s="9" t="n">
        <x:v>704</x:v>
      </x:c>
      <x:c r="F1348" s="11" t="n">
        <x:v>46100</x:v>
      </x:c>
      <x:c r="G1348" s="13" t="n">
        <x:v>19786.75</x:v>
      </x:c>
      <x:c r="H1348" s="9" t="n">
        <x:v>205</x:v>
      </x:c>
      <x:c r="I1348" s="9" t="n">
        <x:v>8</x:v>
      </x:c>
      <x:c r="J1348" s="9" t="n">
        <x:v>2</x:v>
      </x:c>
      <x:c r="K1348" s="9" t="n">
        <x:v>0</x:v>
      </x:c>
      <x:c r="L1348" s="13" t="n">
        <x:f>SUMIFS('Payments'!$D$5:$D$3014,'Payments'!$B$5:$B$3014,A1348)</x:f>
        <x:v>0</x:v>
      </x:c>
      <x:c r="M1348" s="13" t="n">
        <x:f>G1348-L1348</x:f>
        <x:v>19786.75</x:v>
      </x:c>
      <x:c r="N1348" s="9" t="str">
        <x:f>IF(H1348=0,"0 Current",IF(H1348&lt;=30,"1 1-30",IF(H1348&lt;=60,"2 31-60",IF(H1348&lt;=90,"3 61-90",IF(H1348&lt;=120,"4 91-120","5 121+")))))</x:f>
        <x:v>5 121+</x:v>
      </x:c>
      <x:c r="O1348" s="9" t="n">
        <x:f>IF(J1348&gt;0,1,0)</x:f>
        <x:v>1</x:v>
      </x:c>
    </x:row>
    <x:row r="1349">
      <x:c r="A1349" s="15" t="str">
        <x:v>1345</x:v>
      </x:c>
      <x:c r="B1349" s="9" t="str">
        <x:v>Riley</x:v>
      </x:c>
      <x:c r="C1349" s="9" t="str">
        <x:v>Personal Loan</x:v>
      </x:c>
      <x:c r="D1349" s="9" t="str">
        <x:v>Northeast</x:v>
      </x:c>
      <x:c r="E1349" s="9" t="n">
        <x:v>553</x:v>
      </x:c>
      <x:c r="F1349" s="11" t="n">
        <x:v>46086</x:v>
      </x:c>
      <x:c r="G1349" s="13" t="n">
        <x:v>17206.76</x:v>
      </x:c>
      <x:c r="H1349" s="9" t="n">
        <x:v>136</x:v>
      </x:c>
      <x:c r="I1349" s="9" t="n">
        <x:v>0</x:v>
      </x:c>
      <x:c r="J1349" s="9" t="n">
        <x:v>0</x:v>
      </x:c>
      <x:c r="K1349" s="9" t="n">
        <x:v>0</x:v>
      </x:c>
      <x:c r="L1349" s="13" t="n">
        <x:f>SUMIFS('Payments'!$D$5:$D$3014,'Payments'!$B$5:$B$3014,A1349)</x:f>
        <x:v>1585.29</x:v>
      </x:c>
      <x:c r="M1349" s="13" t="n">
        <x:f>G1349-L1349</x:f>
        <x:v>15621.469999999998</x:v>
      </x:c>
      <x:c r="N1349" s="9" t="str">
        <x:f>IF(H1349=0,"0 Current",IF(H1349&lt;=30,"1 1-30",IF(H1349&lt;=60,"2 31-60",IF(H1349&lt;=90,"3 61-90",IF(H1349&lt;=120,"4 91-120","5 121+")))))</x:f>
        <x:v>5 121+</x:v>
      </x:c>
      <x:c r="O1349" s="9" t="n">
        <x:f>IF(J1349&gt;0,1,0)</x:f>
        <x:v>0</x:v>
      </x:c>
    </x:row>
    <x:row r="1350">
      <x:c r="A1350" s="15" t="str">
        <x:v>1346</x:v>
      </x:c>
      <x:c r="B1350" s="9" t="str">
        <x:v>Morgan</x:v>
      </x:c>
      <x:c r="C1350" s="9" t="str">
        <x:v>Auto</x:v>
      </x:c>
      <x:c r="D1350" s="9" t="str">
        <x:v>South</x:v>
      </x:c>
      <x:c r="E1350" s="9" t="n">
        <x:v>451</x:v>
      </x:c>
      <x:c r="F1350" s="11" t="n">
        <x:v>46121</x:v>
      </x:c>
      <x:c r="G1350" s="13" t="n">
        <x:v>7803</x:v>
      </x:c>
      <x:c r="H1350" s="9" t="n">
        <x:v>3</x:v>
      </x:c>
      <x:c r="I1350" s="9" t="n">
        <x:v>5</x:v>
      </x:c>
      <x:c r="J1350" s="9" t="n">
        <x:v>2</x:v>
      </x:c>
      <x:c r="K1350" s="9" t="n">
        <x:v>0</x:v>
      </x:c>
      <x:c r="L1350" s="13" t="n">
        <x:f>SUMIFS('Payments'!$D$5:$D$3014,'Payments'!$B$5:$B$3014,A1350)</x:f>
        <x:v>373.79</x:v>
      </x:c>
      <x:c r="M1350" s="13" t="n">
        <x:f>G1350-L1350</x:f>
        <x:v>7429.21</x:v>
      </x:c>
      <x:c r="N1350" s="9" t="str">
        <x:f>IF(H1350=0,"0 Current",IF(H1350&lt;=30,"1 1-30",IF(H1350&lt;=60,"2 31-60",IF(H1350&lt;=90,"3 61-90",IF(H1350&lt;=120,"4 91-120","5 121+")))))</x:f>
        <x:v>1 1-30</x:v>
      </x:c>
      <x:c r="O1350" s="9" t="n">
        <x:f>IF(J1350&gt;0,1,0)</x:f>
        <x:v>1</x:v>
      </x:c>
    </x:row>
    <x:row r="1351">
      <x:c r="A1351" s="15" t="str">
        <x:v>1347</x:v>
      </x:c>
      <x:c r="B1351" s="9" t="str">
        <x:v>Jordan</x:v>
      </x:c>
      <x:c r="C1351" s="9" t="str">
        <x:v>Medical</x:v>
      </x:c>
      <x:c r="D1351" s="9" t="str">
        <x:v>Midwest</x:v>
      </x:c>
      <x:c r="E1351" s="9" t="n">
        <x:v>802</x:v>
      </x:c>
      <x:c r="F1351" s="11" t="n">
        <x:v>46079</x:v>
      </x:c>
      <x:c r="G1351" s="13" t="n">
        <x:v>3963.1</x:v>
      </x:c>
      <x:c r="H1351" s="9" t="n">
        <x:v>134</x:v>
      </x:c>
      <x:c r="I1351" s="9" t="n">
        <x:v>6</x:v>
      </x:c>
      <x:c r="J1351" s="9" t="n">
        <x:v>2</x:v>
      </x:c>
      <x:c r="K1351" s="9" t="n">
        <x:v>1</x:v>
      </x:c>
      <x:c r="L1351" s="13" t="n">
        <x:f>SUMIFS('Payments'!$D$5:$D$3014,'Payments'!$B$5:$B$3014,A1351)</x:f>
        <x:v>453.15999999999997</x:v>
      </x:c>
      <x:c r="M1351" s="13" t="n">
        <x:f>G1351-L1351</x:f>
        <x:v>3509.94</x:v>
      </x:c>
      <x:c r="N1351" s="9" t="str">
        <x:f>IF(H1351=0,"0 Current",IF(H1351&lt;=30,"1 1-30",IF(H1351&lt;=60,"2 31-60",IF(H1351&lt;=90,"3 61-90",IF(H1351&lt;=120,"4 91-120","5 121+")))))</x:f>
        <x:v>5 121+</x:v>
      </x:c>
      <x:c r="O1351" s="9" t="n">
        <x:f>IF(J1351&gt;0,1,0)</x:f>
        <x:v>1</x:v>
      </x:c>
    </x:row>
    <x:row r="1352">
      <x:c r="A1352" s="15" t="str">
        <x:v>1348</x:v>
      </x:c>
      <x:c r="B1352" s="9" t="str">
        <x:v>Jordan</x:v>
      </x:c>
      <x:c r="C1352" s="9" t="str">
        <x:v>Auto</x:v>
      </x:c>
      <x:c r="D1352" s="9" t="str">
        <x:v>Midwest</x:v>
      </x:c>
      <x:c r="E1352" s="9" t="n">
        <x:v>524</x:v>
      </x:c>
      <x:c r="F1352" s="11" t="n">
        <x:v>46056</x:v>
      </x:c>
      <x:c r="G1352" s="13" t="n">
        <x:v>1609.09</x:v>
      </x:c>
      <x:c r="H1352" s="9" t="n">
        <x:v>118</x:v>
      </x:c>
      <x:c r="I1352" s="9" t="n">
        <x:v>7</x:v>
      </x:c>
      <x:c r="J1352" s="9" t="n">
        <x:v>3</x:v>
      </x:c>
      <x:c r="K1352" s="9" t="n">
        <x:v>1</x:v>
      </x:c>
      <x:c r="L1352" s="13" t="n">
        <x:f>SUMIFS('Payments'!$D$5:$D$3014,'Payments'!$B$5:$B$3014,A1352)</x:f>
        <x:v>398.65</x:v>
      </x:c>
      <x:c r="M1352" s="13" t="n">
        <x:f>G1352-L1352</x:f>
        <x:v>1210.44</x:v>
      </x:c>
      <x:c r="N1352" s="9" t="str">
        <x:f>IF(H1352=0,"0 Current",IF(H1352&lt;=30,"1 1-30",IF(H1352&lt;=60,"2 31-60",IF(H1352&lt;=90,"3 61-90",IF(H1352&lt;=120,"4 91-120","5 121+")))))</x:f>
        <x:v>4 91-120</x:v>
      </x:c>
      <x:c r="O1352" s="9" t="n">
        <x:f>IF(J1352&gt;0,1,0)</x:f>
        <x:v>1</x:v>
      </x:c>
    </x:row>
    <x:row r="1353">
      <x:c r="A1353" s="15" t="str">
        <x:v>1349</x:v>
      </x:c>
      <x:c r="B1353" s="9" t="str">
        <x:v>Morgan</x:v>
      </x:c>
      <x:c r="C1353" s="9" t="str">
        <x:v>Credit Card</x:v>
      </x:c>
      <x:c r="D1353" s="9" t="str">
        <x:v>Midwest</x:v>
      </x:c>
      <x:c r="E1353" s="9" t="n">
        <x:v>606</x:v>
      </x:c>
      <x:c r="F1353" s="11" t="n">
        <x:v>46061</x:v>
      </x:c>
      <x:c r="G1353" s="13" t="n">
        <x:v>2390.92</x:v>
      </x:c>
      <x:c r="H1353" s="9" t="n">
        <x:v>27</x:v>
      </x:c>
      <x:c r="I1353" s="9" t="n">
        <x:v>1</x:v>
      </x:c>
      <x:c r="J1353" s="9" t="n">
        <x:v>0</x:v>
      </x:c>
      <x:c r="K1353" s="9" t="n">
        <x:v>0</x:v>
      </x:c>
      <x:c r="L1353" s="13" t="n">
        <x:f>SUMIFS('Payments'!$D$5:$D$3014,'Payments'!$B$5:$B$3014,A1353)</x:f>
        <x:v>550.97</x:v>
      </x:c>
      <x:c r="M1353" s="13" t="n">
        <x:f>G1353-L1353</x:f>
        <x:v>1839.95</x:v>
      </x:c>
      <x:c r="N1353" s="9" t="str">
        <x:f>IF(H1353=0,"0 Current",IF(H1353&lt;=30,"1 1-30",IF(H1353&lt;=60,"2 31-60",IF(H1353&lt;=90,"3 61-90",IF(H1353&lt;=120,"4 91-120","5 121+")))))</x:f>
        <x:v>1 1-30</x:v>
      </x:c>
      <x:c r="O1353" s="9" t="n">
        <x:f>IF(J1353&gt;0,1,0)</x:f>
        <x:v>0</x:v>
      </x:c>
    </x:row>
    <x:row r="1354">
      <x:c r="A1354" s="15" t="str">
        <x:v>1350</x:v>
      </x:c>
      <x:c r="B1354" s="9" t="str">
        <x:v>Taylor</x:v>
      </x:c>
      <x:c r="C1354" s="9" t="str">
        <x:v>Personal Loan</x:v>
      </x:c>
      <x:c r="D1354" s="9" t="str">
        <x:v>Midwest</x:v>
      </x:c>
      <x:c r="E1354" s="9" t="n">
        <x:v>629</x:v>
      </x:c>
      <x:c r="F1354" s="11" t="n">
        <x:v>46028</x:v>
      </x:c>
      <x:c r="G1354" s="13" t="n">
        <x:v>8209.42</x:v>
      </x:c>
      <x:c r="H1354" s="9" t="n">
        <x:v>110</x:v>
      </x:c>
      <x:c r="I1354" s="9" t="n">
        <x:v>6</x:v>
      </x:c>
      <x:c r="J1354" s="9" t="n">
        <x:v>0</x:v>
      </x:c>
      <x:c r="K1354" s="9" t="n">
        <x:v>0</x:v>
      </x:c>
      <x:c r="L1354" s="13" t="n">
        <x:f>SUMIFS('Payments'!$D$5:$D$3014,'Payments'!$B$5:$B$3014,A1354)</x:f>
        <x:v>0</x:v>
      </x:c>
      <x:c r="M1354" s="13" t="n">
        <x:f>G1354-L1354</x:f>
        <x:v>8209.42</x:v>
      </x:c>
      <x:c r="N1354" s="9" t="str">
        <x:f>IF(H1354=0,"0 Current",IF(H1354&lt;=30,"1 1-30",IF(H1354&lt;=60,"2 31-60",IF(H1354&lt;=90,"3 61-90",IF(H1354&lt;=120,"4 91-120","5 121+")))))</x:f>
        <x:v>4 91-120</x:v>
      </x:c>
      <x:c r="O1354" s="9" t="n">
        <x:f>IF(J1354&gt;0,1,0)</x:f>
        <x:v>0</x:v>
      </x:c>
    </x:row>
    <x:row r="1355">
      <x:c r="A1355" s="15" t="str">
        <x:v>1351</x:v>
      </x:c>
      <x:c r="B1355" s="9" t="str">
        <x:v>Riley</x:v>
      </x:c>
      <x:c r="C1355" s="9" t="str">
        <x:v>Medical</x:v>
      </x:c>
      <x:c r="D1355" s="9" t="str">
        <x:v>South</x:v>
      </x:c>
      <x:c r="E1355" s="9" t="n">
        <x:v>781</x:v>
      </x:c>
      <x:c r="F1355" s="11" t="n">
        <x:v>46138</x:v>
      </x:c>
      <x:c r="G1355" s="13" t="n">
        <x:v>24800.41</x:v>
      </x:c>
      <x:c r="H1355" s="9" t="n">
        <x:v>0</x:v>
      </x:c>
      <x:c r="I1355" s="9" t="n">
        <x:v>1</x:v>
      </x:c>
      <x:c r="J1355" s="9" t="n">
        <x:v>1</x:v>
      </x:c>
      <x:c r="K1355" s="9" t="n">
        <x:v>0</x:v>
      </x:c>
      <x:c r="L1355" s="13" t="n">
        <x:f>SUMIFS('Payments'!$D$5:$D$3014,'Payments'!$B$5:$B$3014,A1355)</x:f>
        <x:v>2541</x:v>
      </x:c>
      <x:c r="M1355" s="13" t="n">
        <x:f>G1355-L1355</x:f>
        <x:v>22259.41</x:v>
      </x:c>
      <x:c r="N1355" s="9" t="str">
        <x:f>IF(H1355=0,"0 Current",IF(H1355&lt;=30,"1 1-30",IF(H1355&lt;=60,"2 31-60",IF(H1355&lt;=90,"3 61-90",IF(H1355&lt;=120,"4 91-120","5 121+")))))</x:f>
        <x:v>0 Current</x:v>
      </x:c>
      <x:c r="O1355" s="9" t="n">
        <x:f>IF(J1355&gt;0,1,0)</x:f>
        <x:v>1</x:v>
      </x:c>
    </x:row>
    <x:row r="1356">
      <x:c r="A1356" s="15" t="str">
        <x:v>1352</x:v>
      </x:c>
      <x:c r="B1356" s="9" t="str">
        <x:v>Riley</x:v>
      </x:c>
      <x:c r="C1356" s="9" t="str">
        <x:v>Personal Loan</x:v>
      </x:c>
      <x:c r="D1356" s="9" t="str">
        <x:v>South</x:v>
      </x:c>
      <x:c r="E1356" s="9" t="n">
        <x:v>762</x:v>
      </x:c>
      <x:c r="F1356" s="11" t="n">
        <x:v>46142</x:v>
      </x:c>
      <x:c r="G1356" s="13" t="n">
        <x:v>20023.36</x:v>
      </x:c>
      <x:c r="H1356" s="9" t="n">
        <x:v>84</x:v>
      </x:c>
      <x:c r="I1356" s="9" t="n">
        <x:v>7</x:v>
      </x:c>
      <x:c r="J1356" s="9" t="n">
        <x:v>6</x:v>
      </x:c>
      <x:c r="K1356" s="9" t="n">
        <x:v>1</x:v>
      </x:c>
      <x:c r="L1356" s="13" t="n">
        <x:f>SUMIFS('Payments'!$D$5:$D$3014,'Payments'!$B$5:$B$3014,A1356)</x:f>
        <x:v>4909.55</x:v>
      </x:c>
      <x:c r="M1356" s="13" t="n">
        <x:f>G1356-L1356</x:f>
        <x:v>15113.810000000001</x:v>
      </x:c>
      <x:c r="N1356" s="9" t="str">
        <x:f>IF(H1356=0,"0 Current",IF(H1356&lt;=30,"1 1-30",IF(H1356&lt;=60,"2 31-60",IF(H1356&lt;=90,"3 61-90",IF(H1356&lt;=120,"4 91-120","5 121+")))))</x:f>
        <x:v>3 61-90</x:v>
      </x:c>
      <x:c r="O1356" s="9" t="n">
        <x:f>IF(J1356&gt;0,1,0)</x:f>
        <x:v>1</x:v>
      </x:c>
    </x:row>
    <x:row r="1357">
      <x:c r="A1357" s="15" t="str">
        <x:v>1353</x:v>
      </x:c>
      <x:c r="B1357" s="9" t="str">
        <x:v>Taylor</x:v>
      </x:c>
      <x:c r="C1357" s="9" t="str">
        <x:v>Personal Loan</x:v>
      </x:c>
      <x:c r="D1357" s="9" t="str">
        <x:v>Midwest</x:v>
      </x:c>
      <x:c r="E1357" s="9" t="n">
        <x:v>802</x:v>
      </x:c>
      <x:c r="F1357" s="11" t="n">
        <x:v>46132</x:v>
      </x:c>
      <x:c r="G1357" s="13" t="n">
        <x:v>18146.28</x:v>
      </x:c>
      <x:c r="H1357" s="9" t="n">
        <x:v>14</x:v>
      </x:c>
      <x:c r="I1357" s="9" t="n">
        <x:v>1</x:v>
      </x:c>
      <x:c r="J1357" s="9" t="n">
        <x:v>0</x:v>
      </x:c>
      <x:c r="K1357" s="9" t="n">
        <x:v>0</x:v>
      </x:c>
      <x:c r="L1357" s="13" t="n">
        <x:f>SUMIFS('Payments'!$D$5:$D$3014,'Payments'!$B$5:$B$3014,A1357)</x:f>
        <x:v>2182.41</x:v>
      </x:c>
      <x:c r="M1357" s="13" t="n">
        <x:f>G1357-L1357</x:f>
        <x:v>15963.869999999999</x:v>
      </x:c>
      <x:c r="N1357" s="9" t="str">
        <x:f>IF(H1357=0,"0 Current",IF(H1357&lt;=30,"1 1-30",IF(H1357&lt;=60,"2 31-60",IF(H1357&lt;=90,"3 61-90",IF(H1357&lt;=120,"4 91-120","5 121+")))))</x:f>
        <x:v>1 1-30</x:v>
      </x:c>
      <x:c r="O1357" s="9" t="n">
        <x:f>IF(J1357&gt;0,1,0)</x:f>
        <x:v>0</x:v>
      </x:c>
    </x:row>
    <x:row r="1358">
      <x:c r="A1358" s="15" t="str">
        <x:v>1354</x:v>
      </x:c>
      <x:c r="B1358" s="9" t="str">
        <x:v>Riley</x:v>
      </x:c>
      <x:c r="C1358" s="9" t="str">
        <x:v>Personal Loan</x:v>
      </x:c>
      <x:c r="D1358" s="9" t="str">
        <x:v>South</x:v>
      </x:c>
      <x:c r="E1358" s="9" t="n">
        <x:v>787</x:v>
      </x:c>
      <x:c r="F1358" s="11" t="n">
        <x:v>46170</x:v>
      </x:c>
      <x:c r="G1358" s="13" t="n">
        <x:v>7215.96</x:v>
      </x:c>
      <x:c r="H1358" s="9" t="n">
        <x:v>122</x:v>
      </x:c>
      <x:c r="I1358" s="9" t="n">
        <x:v>3</x:v>
      </x:c>
      <x:c r="J1358" s="9" t="n">
        <x:v>1</x:v>
      </x:c>
      <x:c r="K1358" s="9" t="n">
        <x:v>0</x:v>
      </x:c>
      <x:c r="L1358" s="13" t="n">
        <x:f>SUMIFS('Payments'!$D$5:$D$3014,'Payments'!$B$5:$B$3014,A1358)</x:f>
        <x:v>2003.3799999999999</x:v>
      </x:c>
      <x:c r="M1358" s="13" t="n">
        <x:f>G1358-L1358</x:f>
        <x:v>5212.58</x:v>
      </x:c>
      <x:c r="N1358" s="9" t="str">
        <x:f>IF(H1358=0,"0 Current",IF(H1358&lt;=30,"1 1-30",IF(H1358&lt;=60,"2 31-60",IF(H1358&lt;=90,"3 61-90",IF(H1358&lt;=120,"4 91-120","5 121+")))))</x:f>
        <x:v>5 121+</x:v>
      </x:c>
      <x:c r="O1358" s="9" t="n">
        <x:f>IF(J1358&gt;0,1,0)</x:f>
        <x:v>1</x:v>
      </x:c>
    </x:row>
    <x:row r="1359">
      <x:c r="A1359" s="15" t="str">
        <x:v>1355</x:v>
      </x:c>
      <x:c r="B1359" s="9" t="str">
        <x:v>Casey</x:v>
      </x:c>
      <x:c r="C1359" s="9" t="str">
        <x:v>Medical</x:v>
      </x:c>
      <x:c r="D1359" s="9" t="str">
        <x:v>Northeast</x:v>
      </x:c>
      <x:c r="E1359" s="9" t="n">
        <x:v>715</x:v>
      </x:c>
      <x:c r="F1359" s="11" t="n">
        <x:v>46145</x:v>
      </x:c>
      <x:c r="G1359" s="13" t="n">
        <x:v>18433.92</x:v>
      </x:c>
      <x:c r="H1359" s="9" t="n">
        <x:v>34</x:v>
      </x:c>
      <x:c r="I1359" s="9" t="n">
        <x:v>7</x:v>
      </x:c>
      <x:c r="J1359" s="9" t="n">
        <x:v>2</x:v>
      </x:c>
      <x:c r="K1359" s="9" t="n">
        <x:v>1</x:v>
      </x:c>
      <x:c r="L1359" s="13" t="n">
        <x:f>SUMIFS('Payments'!$D$5:$D$3014,'Payments'!$B$5:$B$3014,A1359)</x:f>
        <x:v>530.15</x:v>
      </x:c>
      <x:c r="M1359" s="13" t="n">
        <x:f>G1359-L1359</x:f>
        <x:v>17903.769999999997</x:v>
      </x:c>
      <x:c r="N1359" s="9" t="str">
        <x:f>IF(H1359=0,"0 Current",IF(H1359&lt;=30,"1 1-30",IF(H1359&lt;=60,"2 31-60",IF(H1359&lt;=90,"3 61-90",IF(H1359&lt;=120,"4 91-120","5 121+")))))</x:f>
        <x:v>2 31-60</x:v>
      </x:c>
      <x:c r="O1359" s="9" t="n">
        <x:f>IF(J1359&gt;0,1,0)</x:f>
        <x:v>1</x:v>
      </x:c>
    </x:row>
    <x:row r="1360">
      <x:c r="A1360" s="15" t="str">
        <x:v>1356</x:v>
      </x:c>
      <x:c r="B1360" s="9" t="str">
        <x:v>Jordan</x:v>
      </x:c>
      <x:c r="C1360" s="9" t="str">
        <x:v>Personal Loan</x:v>
      </x:c>
      <x:c r="D1360" s="9" t="str">
        <x:v>South</x:v>
      </x:c>
      <x:c r="E1360" s="9" t="n">
        <x:v>738</x:v>
      </x:c>
      <x:c r="F1360" s="11" t="n">
        <x:v>46044</x:v>
      </x:c>
      <x:c r="G1360" s="13" t="n">
        <x:v>3986.57</x:v>
      </x:c>
      <x:c r="H1360" s="9" t="n">
        <x:v>49</x:v>
      </x:c>
      <x:c r="I1360" s="9" t="n">
        <x:v>0</x:v>
      </x:c>
      <x:c r="J1360" s="9" t="n">
        <x:v>0</x:v>
      </x:c>
      <x:c r="K1360" s="9" t="n">
        <x:v>0</x:v>
      </x:c>
      <x:c r="L1360" s="13" t="n">
        <x:f>SUMIFS('Payments'!$D$5:$D$3014,'Payments'!$B$5:$B$3014,A1360)</x:f>
        <x:v>0</x:v>
      </x:c>
      <x:c r="M1360" s="13" t="n">
        <x:f>G1360-L1360</x:f>
        <x:v>3986.57</x:v>
      </x:c>
      <x:c r="N1360" s="9" t="str">
        <x:f>IF(H1360=0,"0 Current",IF(H1360&lt;=30,"1 1-30",IF(H1360&lt;=60,"2 31-60",IF(H1360&lt;=90,"3 61-90",IF(H1360&lt;=120,"4 91-120","5 121+")))))</x:f>
        <x:v>2 31-60</x:v>
      </x:c>
      <x:c r="O1360" s="9" t="n">
        <x:f>IF(J1360&gt;0,1,0)</x:f>
        <x:v>0</x:v>
      </x:c>
    </x:row>
    <x:row r="1361">
      <x:c r="A1361" s="15" t="str">
        <x:v>1357</x:v>
      </x:c>
      <x:c r="B1361" s="9" t="str">
        <x:v>Morgan</x:v>
      </x:c>
      <x:c r="C1361" s="9" t="str">
        <x:v>Medical</x:v>
      </x:c>
      <x:c r="D1361" s="9" t="str">
        <x:v>Northeast</x:v>
      </x:c>
      <x:c r="E1361" s="9" t="n">
        <x:v>599</x:v>
      </x:c>
      <x:c r="F1361" s="11" t="n">
        <x:v>46030</x:v>
      </x:c>
      <x:c r="G1361" s="13" t="n">
        <x:v>10769.38</x:v>
      </x:c>
      <x:c r="H1361" s="9" t="n">
        <x:v>145</x:v>
      </x:c>
      <x:c r="I1361" s="9" t="n">
        <x:v>8</x:v>
      </x:c>
      <x:c r="J1361" s="9" t="n">
        <x:v>2</x:v>
      </x:c>
      <x:c r="K1361" s="9" t="n">
        <x:v>0</x:v>
      </x:c>
      <x:c r="L1361" s="13" t="n">
        <x:f>SUMIFS('Payments'!$D$5:$D$3014,'Payments'!$B$5:$B$3014,A1361)</x:f>
        <x:v>2142.92</x:v>
      </x:c>
      <x:c r="M1361" s="13" t="n">
        <x:f>G1361-L1361</x:f>
        <x:v>8626.46</x:v>
      </x:c>
      <x:c r="N1361" s="9" t="str">
        <x:f>IF(H1361=0,"0 Current",IF(H1361&lt;=30,"1 1-30",IF(H1361&lt;=60,"2 31-60",IF(H1361&lt;=90,"3 61-90",IF(H1361&lt;=120,"4 91-120","5 121+")))))</x:f>
        <x:v>5 121+</x:v>
      </x:c>
      <x:c r="O1361" s="9" t="n">
        <x:f>IF(J1361&gt;0,1,0)</x:f>
        <x:v>1</x:v>
      </x:c>
    </x:row>
    <x:row r="1362">
      <x:c r="A1362" s="15" t="str">
        <x:v>1358</x:v>
      </x:c>
      <x:c r="B1362" s="9" t="str">
        <x:v>Riley</x:v>
      </x:c>
      <x:c r="C1362" s="9" t="str">
        <x:v>Credit Card</x:v>
      </x:c>
      <x:c r="D1362" s="9" t="str">
        <x:v>West</x:v>
      </x:c>
      <x:c r="E1362" s="9" t="n">
        <x:v>459</x:v>
      </x:c>
      <x:c r="F1362" s="11" t="n">
        <x:v>46110</x:v>
      </x:c>
      <x:c r="G1362" s="13" t="n">
        <x:v>9321.01</x:v>
      </x:c>
      <x:c r="H1362" s="9" t="n">
        <x:v>24</x:v>
      </x:c>
      <x:c r="I1362" s="9" t="n">
        <x:v>4</x:v>
      </x:c>
      <x:c r="J1362" s="9" t="n">
        <x:v>3</x:v>
      </x:c>
      <x:c r="K1362" s="9" t="n">
        <x:v>0</x:v>
      </x:c>
      <x:c r="L1362" s="13" t="n">
        <x:f>SUMIFS('Payments'!$D$5:$D$3014,'Payments'!$B$5:$B$3014,A1362)</x:f>
        <x:v>0</x:v>
      </x:c>
      <x:c r="M1362" s="13" t="n">
        <x:f>G1362-L1362</x:f>
        <x:v>9321.01</x:v>
      </x:c>
      <x:c r="N1362" s="9" t="str">
        <x:f>IF(H1362=0,"0 Current",IF(H1362&lt;=30,"1 1-30",IF(H1362&lt;=60,"2 31-60",IF(H1362&lt;=90,"3 61-90",IF(H1362&lt;=120,"4 91-120","5 121+")))))</x:f>
        <x:v>1 1-30</x:v>
      </x:c>
      <x:c r="O1362" s="9" t="n">
        <x:f>IF(J1362&gt;0,1,0)</x:f>
        <x:v>1</x:v>
      </x:c>
    </x:row>
    <x:row r="1363">
      <x:c r="A1363" s="15" t="str">
        <x:v>1359</x:v>
      </x:c>
      <x:c r="B1363" s="9" t="str">
        <x:v>Casey</x:v>
      </x:c>
      <x:c r="C1363" s="9" t="str">
        <x:v>Credit Card</x:v>
      </x:c>
      <x:c r="D1363" s="9" t="str">
        <x:v>South</x:v>
      </x:c>
      <x:c r="E1363" s="9" t="n">
        <x:v>540</x:v>
      </x:c>
      <x:c r="F1363" s="11" t="n">
        <x:v>46133</x:v>
      </x:c>
      <x:c r="G1363" s="13" t="n">
        <x:v>19169.53</x:v>
      </x:c>
      <x:c r="H1363" s="9" t="n">
        <x:v>206</x:v>
      </x:c>
      <x:c r="I1363" s="9" t="n">
        <x:v>4</x:v>
      </x:c>
      <x:c r="J1363" s="9" t="n">
        <x:v>3</x:v>
      </x:c>
      <x:c r="K1363" s="9" t="n">
        <x:v>1</x:v>
      </x:c>
      <x:c r="L1363" s="13" t="n">
        <x:f>SUMIFS('Payments'!$D$5:$D$3014,'Payments'!$B$5:$B$3014,A1363)</x:f>
        <x:v>1288.87</x:v>
      </x:c>
      <x:c r="M1363" s="13" t="n">
        <x:f>G1363-L1363</x:f>
        <x:v>17880.66</x:v>
      </x:c>
      <x:c r="N1363" s="9" t="str">
        <x:f>IF(H1363=0,"0 Current",IF(H1363&lt;=30,"1 1-30",IF(H1363&lt;=60,"2 31-60",IF(H1363&lt;=90,"3 61-90",IF(H1363&lt;=120,"4 91-120","5 121+")))))</x:f>
        <x:v>5 121+</x:v>
      </x:c>
      <x:c r="O1363" s="9" t="n">
        <x:f>IF(J1363&gt;0,1,0)</x:f>
        <x:v>1</x:v>
      </x:c>
    </x:row>
    <x:row r="1364">
      <x:c r="A1364" s="15" t="str">
        <x:v>1360</x:v>
      </x:c>
      <x:c r="B1364" s="9" t="str">
        <x:v>Riley</x:v>
      </x:c>
      <x:c r="C1364" s="9" t="str">
        <x:v>Auto</x:v>
      </x:c>
      <x:c r="D1364" s="9" t="str">
        <x:v>Midwest</x:v>
      </x:c>
      <x:c r="E1364" s="9" t="n">
        <x:v>659</x:v>
      </x:c>
      <x:c r="F1364" s="11" t="n">
        <x:v>46103</x:v>
      </x:c>
      <x:c r="G1364" s="13" t="n">
        <x:v>16685.93</x:v>
      </x:c>
      <x:c r="H1364" s="9" t="n">
        <x:v>66</x:v>
      </x:c>
      <x:c r="I1364" s="9" t="n">
        <x:v>4</x:v>
      </x:c>
      <x:c r="J1364" s="9" t="n">
        <x:v>1</x:v>
      </x:c>
      <x:c r="K1364" s="9" t="n">
        <x:v>0</x:v>
      </x:c>
      <x:c r="L1364" s="13" t="n">
        <x:f>SUMIFS('Payments'!$D$5:$D$3014,'Payments'!$B$5:$B$3014,A1364)</x:f>
        <x:v>3514.2699999999995</x:v>
      </x:c>
      <x:c r="M1364" s="13" t="n">
        <x:f>G1364-L1364</x:f>
        <x:v>13171.66</x:v>
      </x:c>
      <x:c r="N1364" s="9" t="str">
        <x:f>IF(H1364=0,"0 Current",IF(H1364&lt;=30,"1 1-30",IF(H1364&lt;=60,"2 31-60",IF(H1364&lt;=90,"3 61-90",IF(H1364&lt;=120,"4 91-120","5 121+")))))</x:f>
        <x:v>3 61-90</x:v>
      </x:c>
      <x:c r="O1364" s="9" t="n">
        <x:f>IF(J1364&gt;0,1,0)</x:f>
        <x:v>1</x:v>
      </x:c>
    </x:row>
    <x:row r="1365">
      <x:c r="A1365" s="15" t="str">
        <x:v>1361</x:v>
      </x:c>
      <x:c r="B1365" s="9" t="str">
        <x:v>Casey</x:v>
      </x:c>
      <x:c r="C1365" s="9" t="str">
        <x:v>Auto</x:v>
      </x:c>
      <x:c r="D1365" s="9" t="str">
        <x:v>South</x:v>
      </x:c>
      <x:c r="E1365" s="9" t="n">
        <x:v>652</x:v>
      </x:c>
      <x:c r="F1365" s="11" t="n">
        <x:v>46128</x:v>
      </x:c>
      <x:c r="G1365" s="13" t="n">
        <x:v>24768.01</x:v>
      </x:c>
      <x:c r="H1365" s="9" t="n">
        <x:v>83</x:v>
      </x:c>
      <x:c r="I1365" s="9" t="n">
        <x:v>2</x:v>
      </x:c>
      <x:c r="J1365" s="9" t="n">
        <x:v>1</x:v>
      </x:c>
      <x:c r="K1365" s="9" t="n">
        <x:v>0</x:v>
      </x:c>
      <x:c r="L1365" s="13" t="n">
        <x:f>SUMIFS('Payments'!$D$5:$D$3014,'Payments'!$B$5:$B$3014,A1365)</x:f>
        <x:v>3689.12</x:v>
      </x:c>
      <x:c r="M1365" s="13" t="n">
        <x:f>G1365-L1365</x:f>
        <x:v>21078.89</x:v>
      </x:c>
      <x:c r="N1365" s="9" t="str">
        <x:f>IF(H1365=0,"0 Current",IF(H1365&lt;=30,"1 1-30",IF(H1365&lt;=60,"2 31-60",IF(H1365&lt;=90,"3 61-90",IF(H1365&lt;=120,"4 91-120","5 121+")))))</x:f>
        <x:v>3 61-90</x:v>
      </x:c>
      <x:c r="O1365" s="9" t="n">
        <x:f>IF(J1365&gt;0,1,0)</x:f>
        <x:v>1</x:v>
      </x:c>
    </x:row>
    <x:row r="1366">
      <x:c r="A1366" s="15" t="str">
        <x:v>1362</x:v>
      </x:c>
      <x:c r="B1366" s="9" t="str">
        <x:v>Taylor</x:v>
      </x:c>
      <x:c r="C1366" s="9" t="str">
        <x:v>Auto</x:v>
      </x:c>
      <x:c r="D1366" s="9" t="str">
        <x:v>Midwest</x:v>
      </x:c>
      <x:c r="E1366" s="9" t="n">
        <x:v>813</x:v>
      </x:c>
      <x:c r="F1366" s="11" t="n">
        <x:v>46082</x:v>
      </x:c>
      <x:c r="G1366" s="13" t="n">
        <x:v>13904.01</x:v>
      </x:c>
      <x:c r="H1366" s="9" t="n">
        <x:v>149</x:v>
      </x:c>
      <x:c r="I1366" s="9" t="n">
        <x:v>4</x:v>
      </x:c>
      <x:c r="J1366" s="9" t="n">
        <x:v>1</x:v>
      </x:c>
      <x:c r="K1366" s="9" t="n">
        <x:v>0</x:v>
      </x:c>
      <x:c r="L1366" s="13" t="n">
        <x:f>SUMIFS('Payments'!$D$5:$D$3014,'Payments'!$B$5:$B$3014,A1366)</x:f>
        <x:v>684.76</x:v>
      </x:c>
      <x:c r="M1366" s="13" t="n">
        <x:f>G1366-L1366</x:f>
        <x:v>13219.25</x:v>
      </x:c>
      <x:c r="N1366" s="9" t="str">
        <x:f>IF(H1366=0,"0 Current",IF(H1366&lt;=30,"1 1-30",IF(H1366&lt;=60,"2 31-60",IF(H1366&lt;=90,"3 61-90",IF(H1366&lt;=120,"4 91-120","5 121+")))))</x:f>
        <x:v>5 121+</x:v>
      </x:c>
      <x:c r="O1366" s="9" t="n">
        <x:f>IF(J1366&gt;0,1,0)</x:f>
        <x:v>1</x:v>
      </x:c>
    </x:row>
    <x:row r="1367">
      <x:c r="A1367" s="15" t="str">
        <x:v>1363</x:v>
      </x:c>
      <x:c r="B1367" s="9" t="str">
        <x:v>Casey</x:v>
      </x:c>
      <x:c r="C1367" s="9" t="str">
        <x:v>Personal Loan</x:v>
      </x:c>
      <x:c r="D1367" s="9" t="str">
        <x:v>West</x:v>
      </x:c>
      <x:c r="E1367" s="9" t="n">
        <x:v>472</x:v>
      </x:c>
      <x:c r="F1367" s="11" t="n">
        <x:v>46024</x:v>
      </x:c>
      <x:c r="G1367" s="13" t="n">
        <x:v>8303.35</x:v>
      </x:c>
      <x:c r="H1367" s="9" t="n">
        <x:v>228</x:v>
      </x:c>
      <x:c r="I1367" s="9" t="n">
        <x:v>0</x:v>
      </x:c>
      <x:c r="J1367" s="9" t="n">
        <x:v>0</x:v>
      </x:c>
      <x:c r="K1367" s="9" t="n">
        <x:v>0</x:v>
      </x:c>
      <x:c r="L1367" s="13" t="n">
        <x:f>SUMIFS('Payments'!$D$5:$D$3014,'Payments'!$B$5:$B$3014,A1367)</x:f>
        <x:v>2414.41</x:v>
      </x:c>
      <x:c r="M1367" s="13" t="n">
        <x:f>G1367-L1367</x:f>
        <x:v>5888.9400000000005</x:v>
      </x:c>
      <x:c r="N1367" s="9" t="str">
        <x:f>IF(H1367=0,"0 Current",IF(H1367&lt;=30,"1 1-30",IF(H1367&lt;=60,"2 31-60",IF(H1367&lt;=90,"3 61-90",IF(H1367&lt;=120,"4 91-120","5 121+")))))</x:f>
        <x:v>5 121+</x:v>
      </x:c>
      <x:c r="O1367" s="9" t="n">
        <x:f>IF(J1367&gt;0,1,0)</x:f>
        <x:v>0</x:v>
      </x:c>
    </x:row>
    <x:row r="1368">
      <x:c r="A1368" s="15" t="str">
        <x:v>1364</x:v>
      </x:c>
      <x:c r="B1368" s="9" t="str">
        <x:v>Morgan</x:v>
      </x:c>
      <x:c r="C1368" s="9" t="str">
        <x:v>Auto</x:v>
      </x:c>
      <x:c r="D1368" s="9" t="str">
        <x:v>South</x:v>
      </x:c>
      <x:c r="E1368" s="9" t="n">
        <x:v>664</x:v>
      </x:c>
      <x:c r="F1368" s="11" t="n">
        <x:v>46096</x:v>
      </x:c>
      <x:c r="G1368" s="13" t="n">
        <x:v>14965.68</x:v>
      </x:c>
      <x:c r="H1368" s="9" t="n">
        <x:v>219</x:v>
      </x:c>
      <x:c r="I1368" s="9" t="n">
        <x:v>8</x:v>
      </x:c>
      <x:c r="J1368" s="9" t="n">
        <x:v>3</x:v>
      </x:c>
      <x:c r="K1368" s="9" t="n">
        <x:v>0</x:v>
      </x:c>
      <x:c r="L1368" s="13" t="n">
        <x:f>SUMIFS('Payments'!$D$5:$D$3014,'Payments'!$B$5:$B$3014,A1368)</x:f>
        <x:v>989.31</x:v>
      </x:c>
      <x:c r="M1368" s="13" t="n">
        <x:f>G1368-L1368</x:f>
        <x:v>13976.37</x:v>
      </x:c>
      <x:c r="N1368" s="9" t="str">
        <x:f>IF(H1368=0,"0 Current",IF(H1368&lt;=30,"1 1-30",IF(H1368&lt;=60,"2 31-60",IF(H1368&lt;=90,"3 61-90",IF(H1368&lt;=120,"4 91-120","5 121+")))))</x:f>
        <x:v>5 121+</x:v>
      </x:c>
      <x:c r="O1368" s="9" t="n">
        <x:f>IF(J1368&gt;0,1,0)</x:f>
        <x:v>1</x:v>
      </x:c>
    </x:row>
    <x:row r="1369">
      <x:c r="A1369" s="15" t="str">
        <x:v>1365</x:v>
      </x:c>
      <x:c r="B1369" s="9" t="str">
        <x:v>Riley</x:v>
      </x:c>
      <x:c r="C1369" s="9" t="str">
        <x:v>Personal Loan</x:v>
      </x:c>
      <x:c r="D1369" s="9" t="str">
        <x:v>West</x:v>
      </x:c>
      <x:c r="E1369" s="9" t="n">
        <x:v>596</x:v>
      </x:c>
      <x:c r="F1369" s="11" t="n">
        <x:v>46062</x:v>
      </x:c>
      <x:c r="G1369" s="13" t="n">
        <x:v>2853.01</x:v>
      </x:c>
      <x:c r="H1369" s="9" t="n">
        <x:v>16</x:v>
      </x:c>
      <x:c r="I1369" s="9" t="n">
        <x:v>6</x:v>
      </x:c>
      <x:c r="J1369" s="9" t="n">
        <x:v>3</x:v>
      </x:c>
      <x:c r="K1369" s="9" t="n">
        <x:v>0</x:v>
      </x:c>
      <x:c r="L1369" s="13" t="n">
        <x:f>SUMIFS('Payments'!$D$5:$D$3014,'Payments'!$B$5:$B$3014,A1369)</x:f>
        <x:v>900.92</x:v>
      </x:c>
      <x:c r="M1369" s="13" t="n">
        <x:f>G1369-L1369</x:f>
        <x:v>1952.0900000000001</x:v>
      </x:c>
      <x:c r="N1369" s="9" t="str">
        <x:f>IF(H1369=0,"0 Current",IF(H1369&lt;=30,"1 1-30",IF(H1369&lt;=60,"2 31-60",IF(H1369&lt;=90,"3 61-90",IF(H1369&lt;=120,"4 91-120","5 121+")))))</x:f>
        <x:v>1 1-30</x:v>
      </x:c>
      <x:c r="O1369" s="9" t="n">
        <x:f>IF(J1369&gt;0,1,0)</x:f>
        <x:v>1</x:v>
      </x:c>
    </x:row>
    <x:row r="1370">
      <x:c r="A1370" s="15" t="str">
        <x:v>1366</x:v>
      </x:c>
      <x:c r="B1370" s="9" t="str">
        <x:v>Riley</x:v>
      </x:c>
      <x:c r="C1370" s="9" t="str">
        <x:v>Medical</x:v>
      </x:c>
      <x:c r="D1370" s="9" t="str">
        <x:v>Northeast</x:v>
      </x:c>
      <x:c r="E1370" s="9" t="n">
        <x:v>658</x:v>
      </x:c>
      <x:c r="F1370" s="11" t="n">
        <x:v>46155</x:v>
      </x:c>
      <x:c r="G1370" s="13" t="n">
        <x:v>12754.83</x:v>
      </x:c>
      <x:c r="H1370" s="9" t="n">
        <x:v>99</x:v>
      </x:c>
      <x:c r="I1370" s="9" t="n">
        <x:v>3</x:v>
      </x:c>
      <x:c r="J1370" s="9" t="n">
        <x:v>2</x:v>
      </x:c>
      <x:c r="K1370" s="9" t="n">
        <x:v>1</x:v>
      </x:c>
      <x:c r="L1370" s="13" t="n">
        <x:f>SUMIFS('Payments'!$D$5:$D$3014,'Payments'!$B$5:$B$3014,A1370)</x:f>
        <x:v>1980.12</x:v>
      </x:c>
      <x:c r="M1370" s="13" t="n">
        <x:f>G1370-L1370</x:f>
        <x:v>10774.71</x:v>
      </x:c>
      <x:c r="N1370" s="9" t="str">
        <x:f>IF(H1370=0,"0 Current",IF(H1370&lt;=30,"1 1-30",IF(H1370&lt;=60,"2 31-60",IF(H1370&lt;=90,"3 61-90",IF(H1370&lt;=120,"4 91-120","5 121+")))))</x:f>
        <x:v>4 91-120</x:v>
      </x:c>
      <x:c r="O1370" s="9" t="n">
        <x:f>IF(J1370&gt;0,1,0)</x:f>
        <x:v>1</x:v>
      </x:c>
    </x:row>
    <x:row r="1371">
      <x:c r="A1371" s="15" t="str">
        <x:v>1367</x:v>
      </x:c>
      <x:c r="B1371" s="9" t="str">
        <x:v>Taylor</x:v>
      </x:c>
      <x:c r="C1371" s="9" t="str">
        <x:v>Auto</x:v>
      </x:c>
      <x:c r="D1371" s="9" t="str">
        <x:v>Northeast</x:v>
      </x:c>
      <x:c r="E1371" s="9" t="n">
        <x:v>735</x:v>
      </x:c>
      <x:c r="F1371" s="11" t="n">
        <x:v>46153</x:v>
      </x:c>
      <x:c r="G1371" s="13" t="n">
        <x:v>7478.71</x:v>
      </x:c>
      <x:c r="H1371" s="9" t="n">
        <x:v>127</x:v>
      </x:c>
      <x:c r="I1371" s="9" t="n">
        <x:v>3</x:v>
      </x:c>
      <x:c r="J1371" s="9" t="n">
        <x:v>2</x:v>
      </x:c>
      <x:c r="K1371" s="9" t="n">
        <x:v>0</x:v>
      </x:c>
      <x:c r="L1371" s="13" t="n">
        <x:f>SUMIFS('Payments'!$D$5:$D$3014,'Payments'!$B$5:$B$3014,A1371)</x:f>
        <x:v>0</x:v>
      </x:c>
      <x:c r="M1371" s="13" t="n">
        <x:f>G1371-L1371</x:f>
        <x:v>7478.71</x:v>
      </x:c>
      <x:c r="N1371" s="9" t="str">
        <x:f>IF(H1371=0,"0 Current",IF(H1371&lt;=30,"1 1-30",IF(H1371&lt;=60,"2 31-60",IF(H1371&lt;=90,"3 61-90",IF(H1371&lt;=120,"4 91-120","5 121+")))))</x:f>
        <x:v>5 121+</x:v>
      </x:c>
      <x:c r="O1371" s="9" t="n">
        <x:f>IF(J1371&gt;0,1,0)</x:f>
        <x:v>1</x:v>
      </x:c>
    </x:row>
    <x:row r="1372">
      <x:c r="A1372" s="15" t="str">
        <x:v>1368</x:v>
      </x:c>
      <x:c r="B1372" s="9" t="str">
        <x:v>Riley</x:v>
      </x:c>
      <x:c r="C1372" s="9" t="str">
        <x:v>Credit Card</x:v>
      </x:c>
      <x:c r="D1372" s="9" t="str">
        <x:v>South</x:v>
      </x:c>
      <x:c r="E1372" s="9" t="n">
        <x:v>482</x:v>
      </x:c>
      <x:c r="F1372" s="11" t="n">
        <x:v>46096</x:v>
      </x:c>
      <x:c r="G1372" s="13" t="n">
        <x:v>18739.59</x:v>
      </x:c>
      <x:c r="H1372" s="9" t="n">
        <x:v>143</x:v>
      </x:c>
      <x:c r="I1372" s="9" t="n">
        <x:v>0</x:v>
      </x:c>
      <x:c r="J1372" s="9" t="n">
        <x:v>0</x:v>
      </x:c>
      <x:c r="K1372" s="9" t="n">
        <x:v>0</x:v>
      </x:c>
      <x:c r="L1372" s="13" t="n">
        <x:f>SUMIFS('Payments'!$D$5:$D$3014,'Payments'!$B$5:$B$3014,A1372)</x:f>
        <x:v>2608.83</x:v>
      </x:c>
      <x:c r="M1372" s="13" t="n">
        <x:f>G1372-L1372</x:f>
        <x:v>16130.76</x:v>
      </x:c>
      <x:c r="N1372" s="9" t="str">
        <x:f>IF(H1372=0,"0 Current",IF(H1372&lt;=30,"1 1-30",IF(H1372&lt;=60,"2 31-60",IF(H1372&lt;=90,"3 61-90",IF(H1372&lt;=120,"4 91-120","5 121+")))))</x:f>
        <x:v>5 121+</x:v>
      </x:c>
      <x:c r="O1372" s="9" t="n">
        <x:f>IF(J1372&gt;0,1,0)</x:f>
        <x:v>0</x:v>
      </x:c>
    </x:row>
    <x:row r="1373">
      <x:c r="A1373" s="15" t="str">
        <x:v>1369</x:v>
      </x:c>
      <x:c r="B1373" s="9" t="str">
        <x:v>Casey</x:v>
      </x:c>
      <x:c r="C1373" s="9" t="str">
        <x:v>Personal Loan</x:v>
      </x:c>
      <x:c r="D1373" s="9" t="str">
        <x:v>Northeast</x:v>
      </x:c>
      <x:c r="E1373" s="9" t="n">
        <x:v>586</x:v>
      </x:c>
      <x:c r="F1373" s="11" t="n">
        <x:v>46052</x:v>
      </x:c>
      <x:c r="G1373" s="13" t="n">
        <x:v>8376.78</x:v>
      </x:c>
      <x:c r="H1373" s="9" t="n">
        <x:v>195</x:v>
      </x:c>
      <x:c r="I1373" s="9" t="n">
        <x:v>3</x:v>
      </x:c>
      <x:c r="J1373" s="9" t="n">
        <x:v>0</x:v>
      </x:c>
      <x:c r="K1373" s="9" t="n">
        <x:v>0</x:v>
      </x:c>
      <x:c r="L1373" s="13" t="n">
        <x:f>SUMIFS('Payments'!$D$5:$D$3014,'Payments'!$B$5:$B$3014,A1373)</x:f>
        <x:v>0</x:v>
      </x:c>
      <x:c r="M1373" s="13" t="n">
        <x:f>G1373-L1373</x:f>
        <x:v>8376.78</x:v>
      </x:c>
      <x:c r="N1373" s="9" t="str">
        <x:f>IF(H1373=0,"0 Current",IF(H1373&lt;=30,"1 1-30",IF(H1373&lt;=60,"2 31-60",IF(H1373&lt;=90,"3 61-90",IF(H1373&lt;=120,"4 91-120","5 121+")))))</x:f>
        <x:v>5 121+</x:v>
      </x:c>
      <x:c r="O1373" s="9" t="n">
        <x:f>IF(J1373&gt;0,1,0)</x:f>
        <x:v>0</x:v>
      </x:c>
    </x:row>
    <x:row r="1374">
      <x:c r="A1374" s="15" t="str">
        <x:v>1370</x:v>
      </x:c>
      <x:c r="B1374" s="9" t="str">
        <x:v>Jordan</x:v>
      </x:c>
      <x:c r="C1374" s="9" t="str">
        <x:v>Credit Card</x:v>
      </x:c>
      <x:c r="D1374" s="9" t="str">
        <x:v>South</x:v>
      </x:c>
      <x:c r="E1374" s="9" t="n">
        <x:v>562</x:v>
      </x:c>
      <x:c r="F1374" s="11" t="n">
        <x:v>46051</x:v>
      </x:c>
      <x:c r="G1374" s="13" t="n">
        <x:v>20431.05</x:v>
      </x:c>
      <x:c r="H1374" s="9" t="n">
        <x:v>138</x:v>
      </x:c>
      <x:c r="I1374" s="9" t="n">
        <x:v>3</x:v>
      </x:c>
      <x:c r="J1374" s="9" t="n">
        <x:v>2</x:v>
      </x:c>
      <x:c r="K1374" s="9" t="n">
        <x:v>0</x:v>
      </x:c>
      <x:c r="L1374" s="13" t="n">
        <x:f>SUMIFS('Payments'!$D$5:$D$3014,'Payments'!$B$5:$B$3014,A1374)</x:f>
        <x:v>0</x:v>
      </x:c>
      <x:c r="M1374" s="13" t="n">
        <x:f>G1374-L1374</x:f>
        <x:v>20431.05</x:v>
      </x:c>
      <x:c r="N1374" s="9" t="str">
        <x:f>IF(H1374=0,"0 Current",IF(H1374&lt;=30,"1 1-30",IF(H1374&lt;=60,"2 31-60",IF(H1374&lt;=90,"3 61-90",IF(H1374&lt;=120,"4 91-120","5 121+")))))</x:f>
        <x:v>5 121+</x:v>
      </x:c>
      <x:c r="O1374" s="9" t="n">
        <x:f>IF(J1374&gt;0,1,0)</x:f>
        <x:v>1</x:v>
      </x:c>
    </x:row>
    <x:row r="1375">
      <x:c r="A1375" s="15" t="str">
        <x:v>1371</x:v>
      </x:c>
      <x:c r="B1375" s="9" t="str">
        <x:v>Jordan</x:v>
      </x:c>
      <x:c r="C1375" s="9" t="str">
        <x:v>Personal Loan</x:v>
      </x:c>
      <x:c r="D1375" s="9" t="str">
        <x:v>South</x:v>
      </x:c>
      <x:c r="E1375" s="9" t="n">
        <x:v>458</x:v>
      </x:c>
      <x:c r="F1375" s="11" t="n">
        <x:v>46040</x:v>
      </x:c>
      <x:c r="G1375" s="13" t="n">
        <x:v>3069.05</x:v>
      </x:c>
      <x:c r="H1375" s="9" t="n">
        <x:v>61</x:v>
      </x:c>
      <x:c r="I1375" s="9" t="n">
        <x:v>5</x:v>
      </x:c>
      <x:c r="J1375" s="9" t="n">
        <x:v>1</x:v>
      </x:c>
      <x:c r="K1375" s="9" t="n">
        <x:v>0</x:v>
      </x:c>
      <x:c r="L1375" s="13" t="n">
        <x:f>SUMIFS('Payments'!$D$5:$D$3014,'Payments'!$B$5:$B$3014,A1375)</x:f>
        <x:v>0</x:v>
      </x:c>
      <x:c r="M1375" s="13" t="n">
        <x:f>G1375-L1375</x:f>
        <x:v>3069.05</x:v>
      </x:c>
      <x:c r="N1375" s="9" t="str">
        <x:f>IF(H1375=0,"0 Current",IF(H1375&lt;=30,"1 1-30",IF(H1375&lt;=60,"2 31-60",IF(H1375&lt;=90,"3 61-90",IF(H1375&lt;=120,"4 91-120","5 121+")))))</x:f>
        <x:v>3 61-90</x:v>
      </x:c>
      <x:c r="O1375" s="9" t="n">
        <x:f>IF(J1375&gt;0,1,0)</x:f>
        <x:v>1</x:v>
      </x:c>
    </x:row>
    <x:row r="1376">
      <x:c r="A1376" s="15" t="str">
        <x:v>1372</x:v>
      </x:c>
      <x:c r="B1376" s="9" t="str">
        <x:v>Jordan</x:v>
      </x:c>
      <x:c r="C1376" s="9" t="str">
        <x:v>Personal Loan</x:v>
      </x:c>
      <x:c r="D1376" s="9" t="str">
        <x:v>Midwest</x:v>
      </x:c>
      <x:c r="E1376" s="9" t="n">
        <x:v>547</x:v>
      </x:c>
      <x:c r="F1376" s="11" t="n">
        <x:v>46078</x:v>
      </x:c>
      <x:c r="G1376" s="13" t="n">
        <x:v>20519.9</x:v>
      </x:c>
      <x:c r="H1376" s="9" t="n">
        <x:v>90</x:v>
      </x:c>
      <x:c r="I1376" s="9" t="n">
        <x:v>6</x:v>
      </x:c>
      <x:c r="J1376" s="9" t="n">
        <x:v>2</x:v>
      </x:c>
      <x:c r="K1376" s="9" t="n">
        <x:v>1</x:v>
      </x:c>
      <x:c r="L1376" s="13" t="n">
        <x:f>SUMIFS('Payments'!$D$5:$D$3014,'Payments'!$B$5:$B$3014,A1376)</x:f>
        <x:v>2226.98</x:v>
      </x:c>
      <x:c r="M1376" s="13" t="n">
        <x:f>G1376-L1376</x:f>
        <x:v>18292.920000000002</x:v>
      </x:c>
      <x:c r="N1376" s="9" t="str">
        <x:f>IF(H1376=0,"0 Current",IF(H1376&lt;=30,"1 1-30",IF(H1376&lt;=60,"2 31-60",IF(H1376&lt;=90,"3 61-90",IF(H1376&lt;=120,"4 91-120","5 121+")))))</x:f>
        <x:v>3 61-90</x:v>
      </x:c>
      <x:c r="O1376" s="9" t="n">
        <x:f>IF(J1376&gt;0,1,0)</x:f>
        <x:v>1</x:v>
      </x:c>
    </x:row>
    <x:row r="1377">
      <x:c r="A1377" s="15" t="str">
        <x:v>1373</x:v>
      </x:c>
      <x:c r="B1377" s="9" t="str">
        <x:v>Morgan</x:v>
      </x:c>
      <x:c r="C1377" s="9" t="str">
        <x:v>Auto</x:v>
      </x:c>
      <x:c r="D1377" s="9" t="str">
        <x:v>Northeast</x:v>
      </x:c>
      <x:c r="E1377" s="9" t="n">
        <x:v>660</x:v>
      </x:c>
      <x:c r="F1377" s="11" t="n">
        <x:v>46032</x:v>
      </x:c>
      <x:c r="G1377" s="13" t="n">
        <x:v>6991.42</x:v>
      </x:c>
      <x:c r="H1377" s="9" t="n">
        <x:v>229</x:v>
      </x:c>
      <x:c r="I1377" s="9" t="n">
        <x:v>1</x:v>
      </x:c>
      <x:c r="J1377" s="9" t="n">
        <x:v>0</x:v>
      </x:c>
      <x:c r="K1377" s="9" t="n">
        <x:v>0</x:v>
      </x:c>
      <x:c r="L1377" s="13" t="n">
        <x:f>SUMIFS('Payments'!$D$5:$D$3014,'Payments'!$B$5:$B$3014,A1377)</x:f>
        <x:v>2782.8199999999997</x:v>
      </x:c>
      <x:c r="M1377" s="13" t="n">
        <x:f>G1377-L1377</x:f>
        <x:v>4208.6</x:v>
      </x:c>
      <x:c r="N1377" s="9" t="str">
        <x:f>IF(H1377=0,"0 Current",IF(H1377&lt;=30,"1 1-30",IF(H1377&lt;=60,"2 31-60",IF(H1377&lt;=90,"3 61-90",IF(H1377&lt;=120,"4 91-120","5 121+")))))</x:f>
        <x:v>5 121+</x:v>
      </x:c>
      <x:c r="O1377" s="9" t="n">
        <x:f>IF(J1377&gt;0,1,0)</x:f>
        <x:v>0</x:v>
      </x:c>
    </x:row>
    <x:row r="1378">
      <x:c r="A1378" s="15" t="str">
        <x:v>1374</x:v>
      </x:c>
      <x:c r="B1378" s="9" t="str">
        <x:v>Riley</x:v>
      </x:c>
      <x:c r="C1378" s="9" t="str">
        <x:v>Credit Card</x:v>
      </x:c>
      <x:c r="D1378" s="9" t="str">
        <x:v>Northeast</x:v>
      </x:c>
      <x:c r="E1378" s="9" t="n">
        <x:v>743</x:v>
      </x:c>
      <x:c r="F1378" s="11" t="n">
        <x:v>46122</x:v>
      </x:c>
      <x:c r="G1378" s="13" t="n">
        <x:v>18296.14</x:v>
      </x:c>
      <x:c r="H1378" s="9" t="n">
        <x:v>21</x:v>
      </x:c>
      <x:c r="I1378" s="9" t="n">
        <x:v>3</x:v>
      </x:c>
      <x:c r="J1378" s="9" t="n">
        <x:v>1</x:v>
      </x:c>
      <x:c r="K1378" s="9" t="n">
        <x:v>0</x:v>
      </x:c>
      <x:c r="L1378" s="13" t="n">
        <x:f>SUMIFS('Payments'!$D$5:$D$3014,'Payments'!$B$5:$B$3014,A1378)</x:f>
        <x:v>6372.25</x:v>
      </x:c>
      <x:c r="M1378" s="13" t="n">
        <x:f>G1378-L1378</x:f>
        <x:v>11923.89</x:v>
      </x:c>
      <x:c r="N1378" s="9" t="str">
        <x:f>IF(H1378=0,"0 Current",IF(H1378&lt;=30,"1 1-30",IF(H1378&lt;=60,"2 31-60",IF(H1378&lt;=90,"3 61-90",IF(H1378&lt;=120,"4 91-120","5 121+")))))</x:f>
        <x:v>1 1-30</x:v>
      </x:c>
      <x:c r="O1378" s="9" t="n">
        <x:f>IF(J1378&gt;0,1,0)</x:f>
        <x:v>1</x:v>
      </x:c>
    </x:row>
    <x:row r="1379">
      <x:c r="A1379" s="15" t="str">
        <x:v>1375</x:v>
      </x:c>
      <x:c r="B1379" s="9" t="str">
        <x:v>Riley</x:v>
      </x:c>
      <x:c r="C1379" s="9" t="str">
        <x:v>Personal Loan</x:v>
      </x:c>
      <x:c r="D1379" s="9" t="str">
        <x:v>South</x:v>
      </x:c>
      <x:c r="E1379" s="9" t="n">
        <x:v>508</x:v>
      </x:c>
      <x:c r="F1379" s="11" t="n">
        <x:v>46030</x:v>
      </x:c>
      <x:c r="G1379" s="13" t="n">
        <x:v>14460.29</x:v>
      </x:c>
      <x:c r="H1379" s="9" t="n">
        <x:v>48</x:v>
      </x:c>
      <x:c r="I1379" s="9" t="n">
        <x:v>5</x:v>
      </x:c>
      <x:c r="J1379" s="9" t="n">
        <x:v>2</x:v>
      </x:c>
      <x:c r="K1379" s="9" t="n">
        <x:v>1</x:v>
      </x:c>
      <x:c r="L1379" s="13" t="n">
        <x:f>SUMIFS('Payments'!$D$5:$D$3014,'Payments'!$B$5:$B$3014,A1379)</x:f>
        <x:v>2367.9</x:v>
      </x:c>
      <x:c r="M1379" s="13" t="n">
        <x:f>G1379-L1379</x:f>
        <x:v>12092.390000000001</x:v>
      </x:c>
      <x:c r="N1379" s="9" t="str">
        <x:f>IF(H1379=0,"0 Current",IF(H1379&lt;=30,"1 1-30",IF(H1379&lt;=60,"2 31-60",IF(H1379&lt;=90,"3 61-90",IF(H1379&lt;=120,"4 91-120","5 121+")))))</x:f>
        <x:v>2 31-60</x:v>
      </x:c>
      <x:c r="O1379" s="9" t="n">
        <x:f>IF(J1379&gt;0,1,0)</x:f>
        <x:v>1</x:v>
      </x:c>
    </x:row>
    <x:row r="1380">
      <x:c r="A1380" s="15" t="str">
        <x:v>1376</x:v>
      </x:c>
      <x:c r="B1380" s="9" t="str">
        <x:v>Jordan</x:v>
      </x:c>
      <x:c r="C1380" s="9" t="str">
        <x:v>Auto</x:v>
      </x:c>
      <x:c r="D1380" s="9" t="str">
        <x:v>Northeast</x:v>
      </x:c>
      <x:c r="E1380" s="9" t="n">
        <x:v>819</x:v>
      </x:c>
      <x:c r="F1380" s="11" t="n">
        <x:v>46153</x:v>
      </x:c>
      <x:c r="G1380" s="13" t="n">
        <x:v>7340.67</x:v>
      </x:c>
      <x:c r="H1380" s="9" t="n">
        <x:v>102</x:v>
      </x:c>
      <x:c r="I1380" s="9" t="n">
        <x:v>7</x:v>
      </x:c>
      <x:c r="J1380" s="9" t="n">
        <x:v>3</x:v>
      </x:c>
      <x:c r="K1380" s="9" t="n">
        <x:v>0</x:v>
      </x:c>
      <x:c r="L1380" s="13" t="n">
        <x:f>SUMIFS('Payments'!$D$5:$D$3014,'Payments'!$B$5:$B$3014,A1380)</x:f>
        <x:v>133.55</x:v>
      </x:c>
      <x:c r="M1380" s="13" t="n">
        <x:f>G1380-L1380</x:f>
        <x:v>7207.12</x:v>
      </x:c>
      <x:c r="N1380" s="9" t="str">
        <x:f>IF(H1380=0,"0 Current",IF(H1380&lt;=30,"1 1-30",IF(H1380&lt;=60,"2 31-60",IF(H1380&lt;=90,"3 61-90",IF(H1380&lt;=120,"4 91-120","5 121+")))))</x:f>
        <x:v>4 91-120</x:v>
      </x:c>
      <x:c r="O1380" s="9" t="n">
        <x:f>IF(J1380&gt;0,1,0)</x:f>
        <x:v>1</x:v>
      </x:c>
    </x:row>
    <x:row r="1381">
      <x:c r="A1381" s="15" t="str">
        <x:v>1377</x:v>
      </x:c>
      <x:c r="B1381" s="9" t="str">
        <x:v>Jordan</x:v>
      </x:c>
      <x:c r="C1381" s="9" t="str">
        <x:v>Medical</x:v>
      </x:c>
      <x:c r="D1381" s="9" t="str">
        <x:v>West</x:v>
      </x:c>
      <x:c r="E1381" s="9" t="n">
        <x:v>576</x:v>
      </x:c>
      <x:c r="F1381" s="11" t="n">
        <x:v>46061</x:v>
      </x:c>
      <x:c r="G1381" s="13" t="n">
        <x:v>22119.05</x:v>
      </x:c>
      <x:c r="H1381" s="9" t="n">
        <x:v>230</x:v>
      </x:c>
      <x:c r="I1381" s="9" t="n">
        <x:v>5</x:v>
      </x:c>
      <x:c r="J1381" s="9" t="n">
        <x:v>3</x:v>
      </x:c>
      <x:c r="K1381" s="9" t="n">
        <x:v>1</x:v>
      </x:c>
      <x:c r="L1381" s="13" t="n">
        <x:f>SUMIFS('Payments'!$D$5:$D$3014,'Payments'!$B$5:$B$3014,A1381)</x:f>
        <x:v>4145.62</x:v>
      </x:c>
      <x:c r="M1381" s="13" t="n">
        <x:f>G1381-L1381</x:f>
        <x:v>17973.43</x:v>
      </x:c>
      <x:c r="N1381" s="9" t="str">
        <x:f>IF(H1381=0,"0 Current",IF(H1381&lt;=30,"1 1-30",IF(H1381&lt;=60,"2 31-60",IF(H1381&lt;=90,"3 61-90",IF(H1381&lt;=120,"4 91-120","5 121+")))))</x:f>
        <x:v>5 121+</x:v>
      </x:c>
      <x:c r="O1381" s="9" t="n">
        <x:f>IF(J1381&gt;0,1,0)</x:f>
        <x:v>1</x:v>
      </x:c>
    </x:row>
    <x:row r="1382">
      <x:c r="A1382" s="15" t="str">
        <x:v>1378</x:v>
      </x:c>
      <x:c r="B1382" s="9" t="str">
        <x:v>Riley</x:v>
      </x:c>
      <x:c r="C1382" s="9" t="str">
        <x:v>Medical</x:v>
      </x:c>
      <x:c r="D1382" s="9" t="str">
        <x:v>South</x:v>
      </x:c>
      <x:c r="E1382" s="9" t="n">
        <x:v>605</x:v>
      </x:c>
      <x:c r="F1382" s="11" t="n">
        <x:v>46084</x:v>
      </x:c>
      <x:c r="G1382" s="13" t="n">
        <x:v>685.31</x:v>
      </x:c>
      <x:c r="H1382" s="9" t="n">
        <x:v>240</x:v>
      </x:c>
      <x:c r="I1382" s="9" t="n">
        <x:v>8</x:v>
      </x:c>
      <x:c r="J1382" s="9" t="n">
        <x:v>3</x:v>
      </x:c>
      <x:c r="K1382" s="9" t="n">
        <x:v>1</x:v>
      </x:c>
      <x:c r="L1382" s="13" t="n">
        <x:f>SUMIFS('Payments'!$D$5:$D$3014,'Payments'!$B$5:$B$3014,A1382)</x:f>
        <x:v>0</x:v>
      </x:c>
      <x:c r="M1382" s="13" t="n">
        <x:f>G1382-L1382</x:f>
        <x:v>685.31</x:v>
      </x:c>
      <x:c r="N1382" s="9" t="str">
        <x:f>IF(H1382=0,"0 Current",IF(H1382&lt;=30,"1 1-30",IF(H1382&lt;=60,"2 31-60",IF(H1382&lt;=90,"3 61-90",IF(H1382&lt;=120,"4 91-120","5 121+")))))</x:f>
        <x:v>5 121+</x:v>
      </x:c>
      <x:c r="O1382" s="9" t="n">
        <x:f>IF(J1382&gt;0,1,0)</x:f>
        <x:v>1</x:v>
      </x:c>
    </x:row>
    <x:row r="1383">
      <x:c r="A1383" s="15" t="str">
        <x:v>1379</x:v>
      </x:c>
      <x:c r="B1383" s="9" t="str">
        <x:v>Alex</x:v>
      </x:c>
      <x:c r="C1383" s="9" t="str">
        <x:v>Personal Loan</x:v>
      </x:c>
      <x:c r="D1383" s="9" t="str">
        <x:v>Northeast</x:v>
      </x:c>
      <x:c r="E1383" s="9" t="n">
        <x:v>564</x:v>
      </x:c>
      <x:c r="F1383" s="11" t="n">
        <x:v>46139</x:v>
      </x:c>
      <x:c r="G1383" s="13" t="n">
        <x:v>5363.44</x:v>
      </x:c>
      <x:c r="H1383" s="9" t="n">
        <x:v>35</x:v>
      </x:c>
      <x:c r="I1383" s="9" t="n">
        <x:v>0</x:v>
      </x:c>
      <x:c r="J1383" s="9" t="n">
        <x:v>0</x:v>
      </x:c>
      <x:c r="K1383" s="9" t="n">
        <x:v>0</x:v>
      </x:c>
      <x:c r="L1383" s="13" t="n">
        <x:f>SUMIFS('Payments'!$D$5:$D$3014,'Payments'!$B$5:$B$3014,A1383)</x:f>
        <x:v>699.21</x:v>
      </x:c>
      <x:c r="M1383" s="13" t="n">
        <x:f>G1383-L1383</x:f>
        <x:v>4664.23</x:v>
      </x:c>
      <x:c r="N1383" s="9" t="str">
        <x:f>IF(H1383=0,"0 Current",IF(H1383&lt;=30,"1 1-30",IF(H1383&lt;=60,"2 31-60",IF(H1383&lt;=90,"3 61-90",IF(H1383&lt;=120,"4 91-120","5 121+")))))</x:f>
        <x:v>2 31-60</x:v>
      </x:c>
      <x:c r="O1383" s="9" t="n">
        <x:f>IF(J1383&gt;0,1,0)</x:f>
        <x:v>0</x:v>
      </x:c>
    </x:row>
    <x:row r="1384">
      <x:c r="A1384" s="15" t="str">
        <x:v>1380</x:v>
      </x:c>
      <x:c r="B1384" s="9" t="str">
        <x:v>Morgan</x:v>
      </x:c>
      <x:c r="C1384" s="9" t="str">
        <x:v>Medical</x:v>
      </x:c>
      <x:c r="D1384" s="9" t="str">
        <x:v>Midwest</x:v>
      </x:c>
      <x:c r="E1384" s="9" t="n">
        <x:v>733</x:v>
      </x:c>
      <x:c r="F1384" s="11" t="n">
        <x:v>46038</x:v>
      </x:c>
      <x:c r="G1384" s="13" t="n">
        <x:v>861.55</x:v>
      </x:c>
      <x:c r="H1384" s="9" t="n">
        <x:v>18</x:v>
      </x:c>
      <x:c r="I1384" s="9" t="n">
        <x:v>2</x:v>
      </x:c>
      <x:c r="J1384" s="9" t="n">
        <x:v>1</x:v>
      </x:c>
      <x:c r="K1384" s="9" t="n">
        <x:v>0</x:v>
      </x:c>
      <x:c r="L1384" s="13" t="n">
        <x:f>SUMIFS('Payments'!$D$5:$D$3014,'Payments'!$B$5:$B$3014,A1384)</x:f>
        <x:v>0</x:v>
      </x:c>
      <x:c r="M1384" s="13" t="n">
        <x:f>G1384-L1384</x:f>
        <x:v>861.55</x:v>
      </x:c>
      <x:c r="N1384" s="9" t="str">
        <x:f>IF(H1384=0,"0 Current",IF(H1384&lt;=30,"1 1-30",IF(H1384&lt;=60,"2 31-60",IF(H1384&lt;=90,"3 61-90",IF(H1384&lt;=120,"4 91-120","5 121+")))))</x:f>
        <x:v>1 1-30</x:v>
      </x:c>
      <x:c r="O1384" s="9" t="n">
        <x:f>IF(J1384&gt;0,1,0)</x:f>
        <x:v>1</x:v>
      </x:c>
    </x:row>
    <x:row r="1385">
      <x:c r="A1385" s="15" t="str">
        <x:v>1381</x:v>
      </x:c>
      <x:c r="B1385" s="9" t="str">
        <x:v>Taylor</x:v>
      </x:c>
      <x:c r="C1385" s="9" t="str">
        <x:v>Personal Loan</x:v>
      </x:c>
      <x:c r="D1385" s="9" t="str">
        <x:v>South</x:v>
      </x:c>
      <x:c r="E1385" s="9" t="n">
        <x:v>562</x:v>
      </x:c>
      <x:c r="F1385" s="11" t="n">
        <x:v>46148</x:v>
      </x:c>
      <x:c r="G1385" s="13" t="n">
        <x:v>9585.12</x:v>
      </x:c>
      <x:c r="H1385" s="9" t="n">
        <x:v>189</x:v>
      </x:c>
      <x:c r="I1385" s="9" t="n">
        <x:v>1</x:v>
      </x:c>
      <x:c r="J1385" s="9" t="n">
        <x:v>1</x:v>
      </x:c>
      <x:c r="K1385" s="9" t="n">
        <x:v>0</x:v>
      </x:c>
      <x:c r="L1385" s="13" t="n">
        <x:f>SUMIFS('Payments'!$D$5:$D$3014,'Payments'!$B$5:$B$3014,A1385)</x:f>
        <x:v>2635.0899999999997</x:v>
      </x:c>
      <x:c r="M1385" s="13" t="n">
        <x:f>G1385-L1385</x:f>
        <x:v>6950.030000000001</x:v>
      </x:c>
      <x:c r="N1385" s="9" t="str">
        <x:f>IF(H1385=0,"0 Current",IF(H1385&lt;=30,"1 1-30",IF(H1385&lt;=60,"2 31-60",IF(H1385&lt;=90,"3 61-90",IF(H1385&lt;=120,"4 91-120","5 121+")))))</x:f>
        <x:v>5 121+</x:v>
      </x:c>
      <x:c r="O1385" s="9" t="n">
        <x:f>IF(J1385&gt;0,1,0)</x:f>
        <x:v>1</x:v>
      </x:c>
    </x:row>
    <x:row r="1386">
      <x:c r="A1386" s="15" t="str">
        <x:v>1382</x:v>
      </x:c>
      <x:c r="B1386" s="9" t="str">
        <x:v>Taylor</x:v>
      </x:c>
      <x:c r="C1386" s="9" t="str">
        <x:v>Auto</x:v>
      </x:c>
      <x:c r="D1386" s="9" t="str">
        <x:v>West</x:v>
      </x:c>
      <x:c r="E1386" s="9" t="n">
        <x:v>596</x:v>
      </x:c>
      <x:c r="F1386" s="11" t="n">
        <x:v>46132</x:v>
      </x:c>
      <x:c r="G1386" s="13" t="n">
        <x:v>5546.14</x:v>
      </x:c>
      <x:c r="H1386" s="9" t="n">
        <x:v>27</x:v>
      </x:c>
      <x:c r="I1386" s="9" t="n">
        <x:v>6</x:v>
      </x:c>
      <x:c r="J1386" s="9" t="n">
        <x:v>1</x:v>
      </x:c>
      <x:c r="K1386" s="9" t="n">
        <x:v>1</x:v>
      </x:c>
      <x:c r="L1386" s="13" t="n">
        <x:f>SUMIFS('Payments'!$D$5:$D$3014,'Payments'!$B$5:$B$3014,A1386)</x:f>
        <x:v>1494.41</x:v>
      </x:c>
      <x:c r="M1386" s="13" t="n">
        <x:f>G1386-L1386</x:f>
        <x:v>4051.7300000000005</x:v>
      </x:c>
      <x:c r="N1386" s="9" t="str">
        <x:f>IF(H1386=0,"0 Current",IF(H1386&lt;=30,"1 1-30",IF(H1386&lt;=60,"2 31-60",IF(H1386&lt;=90,"3 61-90",IF(H1386&lt;=120,"4 91-120","5 121+")))))</x:f>
        <x:v>1 1-30</x:v>
      </x:c>
      <x:c r="O1386" s="9" t="n">
        <x:f>IF(J1386&gt;0,1,0)</x:f>
        <x:v>1</x:v>
      </x:c>
    </x:row>
    <x:row r="1387">
      <x:c r="A1387" s="15" t="str">
        <x:v>1383</x:v>
      </x:c>
      <x:c r="B1387" s="9" t="str">
        <x:v>Casey</x:v>
      </x:c>
      <x:c r="C1387" s="9" t="str">
        <x:v>Medical</x:v>
      </x:c>
      <x:c r="D1387" s="9" t="str">
        <x:v>Northeast</x:v>
      </x:c>
      <x:c r="E1387" s="9" t="n">
        <x:v>433</x:v>
      </x:c>
      <x:c r="F1387" s="11" t="n">
        <x:v>46120</x:v>
      </x:c>
      <x:c r="G1387" s="13" t="n">
        <x:v>15789.46</x:v>
      </x:c>
      <x:c r="H1387" s="9" t="n">
        <x:v>177</x:v>
      </x:c>
      <x:c r="I1387" s="9" t="n">
        <x:v>1</x:v>
      </x:c>
      <x:c r="J1387" s="9" t="n">
        <x:v>0</x:v>
      </x:c>
      <x:c r="K1387" s="9" t="n">
        <x:v>0</x:v>
      </x:c>
      <x:c r="L1387" s="13" t="n">
        <x:f>SUMIFS('Payments'!$D$5:$D$3014,'Payments'!$B$5:$B$3014,A1387)</x:f>
        <x:v>343.4</x:v>
      </x:c>
      <x:c r="M1387" s="13" t="n">
        <x:f>G1387-L1387</x:f>
        <x:v>15446.06</x:v>
      </x:c>
      <x:c r="N1387" s="9" t="str">
        <x:f>IF(H1387=0,"0 Current",IF(H1387&lt;=30,"1 1-30",IF(H1387&lt;=60,"2 31-60",IF(H1387&lt;=90,"3 61-90",IF(H1387&lt;=120,"4 91-120","5 121+")))))</x:f>
        <x:v>5 121+</x:v>
      </x:c>
      <x:c r="O1387" s="9" t="n">
        <x:f>IF(J1387&gt;0,1,0)</x:f>
        <x:v>0</x:v>
      </x:c>
    </x:row>
    <x:row r="1388">
      <x:c r="A1388" s="15" t="str">
        <x:v>1384</x:v>
      </x:c>
      <x:c r="B1388" s="9" t="str">
        <x:v>Alex</x:v>
      </x:c>
      <x:c r="C1388" s="9" t="str">
        <x:v>Personal Loan</x:v>
      </x:c>
      <x:c r="D1388" s="9" t="str">
        <x:v>South</x:v>
      </x:c>
      <x:c r="E1388" s="9" t="n">
        <x:v>736</x:v>
      </x:c>
      <x:c r="F1388" s="11" t="n">
        <x:v>46026</x:v>
      </x:c>
      <x:c r="G1388" s="13" t="n">
        <x:v>19737.37</x:v>
      </x:c>
      <x:c r="H1388" s="9" t="n">
        <x:v>122</x:v>
      </x:c>
      <x:c r="I1388" s="9" t="n">
        <x:v>1</x:v>
      </x:c>
      <x:c r="J1388" s="9" t="n">
        <x:v>0</x:v>
      </x:c>
      <x:c r="K1388" s="9" t="n">
        <x:v>0</x:v>
      </x:c>
      <x:c r="L1388" s="13" t="n">
        <x:f>SUMIFS('Payments'!$D$5:$D$3014,'Payments'!$B$5:$B$3014,A1388)</x:f>
        <x:v>1114.5</x:v>
      </x:c>
      <x:c r="M1388" s="13" t="n">
        <x:f>G1388-L1388</x:f>
        <x:v>18622.87</x:v>
      </x:c>
      <x:c r="N1388" s="9" t="str">
        <x:f>IF(H1388=0,"0 Current",IF(H1388&lt;=30,"1 1-30",IF(H1388&lt;=60,"2 31-60",IF(H1388&lt;=90,"3 61-90",IF(H1388&lt;=120,"4 91-120","5 121+")))))</x:f>
        <x:v>5 121+</x:v>
      </x:c>
      <x:c r="O1388" s="9" t="n">
        <x:f>IF(J1388&gt;0,1,0)</x:f>
        <x:v>0</x:v>
      </x:c>
    </x:row>
    <x:row r="1389">
      <x:c r="A1389" s="15" t="str">
        <x:v>1385</x:v>
      </x:c>
      <x:c r="B1389" s="9" t="str">
        <x:v>Jordan</x:v>
      </x:c>
      <x:c r="C1389" s="9" t="str">
        <x:v>Credit Card</x:v>
      </x:c>
      <x:c r="D1389" s="9" t="str">
        <x:v>Northeast</x:v>
      </x:c>
      <x:c r="E1389" s="9" t="n">
        <x:v>740</x:v>
      </x:c>
      <x:c r="F1389" s="11" t="n">
        <x:v>46052</x:v>
      </x:c>
      <x:c r="G1389" s="13" t="n">
        <x:v>3965.16</x:v>
      </x:c>
      <x:c r="H1389" s="9" t="n">
        <x:v>11</x:v>
      </x:c>
      <x:c r="I1389" s="9" t="n">
        <x:v>6</x:v>
      </x:c>
      <x:c r="J1389" s="9" t="n">
        <x:v>2</x:v>
      </x:c>
      <x:c r="K1389" s="9" t="n">
        <x:v>1</x:v>
      </x:c>
      <x:c r="L1389" s="13" t="n">
        <x:f>SUMIFS('Payments'!$D$5:$D$3014,'Payments'!$B$5:$B$3014,A1389)</x:f>
        <x:v>0</x:v>
      </x:c>
      <x:c r="M1389" s="13" t="n">
        <x:f>G1389-L1389</x:f>
        <x:v>3965.16</x:v>
      </x:c>
      <x:c r="N1389" s="9" t="str">
        <x:f>IF(H1389=0,"0 Current",IF(H1389&lt;=30,"1 1-30",IF(H1389&lt;=60,"2 31-60",IF(H1389&lt;=90,"3 61-90",IF(H1389&lt;=120,"4 91-120","5 121+")))))</x:f>
        <x:v>1 1-30</x:v>
      </x:c>
      <x:c r="O1389" s="9" t="n">
        <x:f>IF(J1389&gt;0,1,0)</x:f>
        <x:v>1</x:v>
      </x:c>
    </x:row>
    <x:row r="1390">
      <x:c r="A1390" s="15" t="str">
        <x:v>1386</x:v>
      </x:c>
      <x:c r="B1390" s="9" t="str">
        <x:v>Casey</x:v>
      </x:c>
      <x:c r="C1390" s="9" t="str">
        <x:v>Personal Loan</x:v>
      </x:c>
      <x:c r="D1390" s="9" t="str">
        <x:v>Northeast</x:v>
      </x:c>
      <x:c r="E1390" s="9" t="n">
        <x:v>811</x:v>
      </x:c>
      <x:c r="F1390" s="11" t="n">
        <x:v>46139</x:v>
      </x:c>
      <x:c r="G1390" s="13" t="n">
        <x:v>23833.14</x:v>
      </x:c>
      <x:c r="H1390" s="9" t="n">
        <x:v>73</x:v>
      </x:c>
      <x:c r="I1390" s="9" t="n">
        <x:v>6</x:v>
      </x:c>
      <x:c r="J1390" s="9" t="n">
        <x:v>4</x:v>
      </x:c>
      <x:c r="K1390" s="9" t="n">
        <x:v>1</x:v>
      </x:c>
      <x:c r="L1390" s="13" t="n">
        <x:f>SUMIFS('Payments'!$D$5:$D$3014,'Payments'!$B$5:$B$3014,A1390)</x:f>
        <x:v>5574.400000000001</x:v>
      </x:c>
      <x:c r="M1390" s="13" t="n">
        <x:f>G1390-L1390</x:f>
        <x:v>18258.739999999998</x:v>
      </x:c>
      <x:c r="N1390" s="9" t="str">
        <x:f>IF(H1390=0,"0 Current",IF(H1390&lt;=30,"1 1-30",IF(H1390&lt;=60,"2 31-60",IF(H1390&lt;=90,"3 61-90",IF(H1390&lt;=120,"4 91-120","5 121+")))))</x:f>
        <x:v>3 61-90</x:v>
      </x:c>
      <x:c r="O1390" s="9" t="n">
        <x:f>IF(J1390&gt;0,1,0)</x:f>
        <x:v>1</x:v>
      </x:c>
    </x:row>
    <x:row r="1391">
      <x:c r="A1391" s="15" t="str">
        <x:v>1387</x:v>
      </x:c>
      <x:c r="B1391" s="9" t="str">
        <x:v>Taylor</x:v>
      </x:c>
      <x:c r="C1391" s="9" t="str">
        <x:v>Auto</x:v>
      </x:c>
      <x:c r="D1391" s="9" t="str">
        <x:v>South</x:v>
      </x:c>
      <x:c r="E1391" s="9" t="n">
        <x:v>560</x:v>
      </x:c>
      <x:c r="F1391" s="11" t="n">
        <x:v>46046</x:v>
      </x:c>
      <x:c r="G1391" s="13" t="n">
        <x:v>21255.73</x:v>
      </x:c>
      <x:c r="H1391" s="9" t="n">
        <x:v>108</x:v>
      </x:c>
      <x:c r="I1391" s="9" t="n">
        <x:v>6</x:v>
      </x:c>
      <x:c r="J1391" s="9" t="n">
        <x:v>3</x:v>
      </x:c>
      <x:c r="K1391" s="9" t="n">
        <x:v>1</x:v>
      </x:c>
      <x:c r="L1391" s="13" t="n">
        <x:f>SUMIFS('Payments'!$D$5:$D$3014,'Payments'!$B$5:$B$3014,A1391)</x:f>
        <x:v>1531.1999999999998</x:v>
      </x:c>
      <x:c r="M1391" s="13" t="n">
        <x:f>G1391-L1391</x:f>
        <x:v>19724.53</x:v>
      </x:c>
      <x:c r="N1391" s="9" t="str">
        <x:f>IF(H1391=0,"0 Current",IF(H1391&lt;=30,"1 1-30",IF(H1391&lt;=60,"2 31-60",IF(H1391&lt;=90,"3 61-90",IF(H1391&lt;=120,"4 91-120","5 121+")))))</x:f>
        <x:v>4 91-120</x:v>
      </x:c>
      <x:c r="O1391" s="9" t="n">
        <x:f>IF(J1391&gt;0,1,0)</x:f>
        <x:v>1</x:v>
      </x:c>
    </x:row>
    <x:row r="1392">
      <x:c r="A1392" s="15" t="str">
        <x:v>1388</x:v>
      </x:c>
      <x:c r="B1392" s="9" t="str">
        <x:v>Alex</x:v>
      </x:c>
      <x:c r="C1392" s="9" t="str">
        <x:v>Auto</x:v>
      </x:c>
      <x:c r="D1392" s="9" t="str">
        <x:v>West</x:v>
      </x:c>
      <x:c r="E1392" s="9" t="n">
        <x:v>561</x:v>
      </x:c>
      <x:c r="F1392" s="11" t="n">
        <x:v>46123</x:v>
      </x:c>
      <x:c r="G1392" s="13" t="n">
        <x:v>2581.61</x:v>
      </x:c>
      <x:c r="H1392" s="9" t="n">
        <x:v>202</x:v>
      </x:c>
      <x:c r="I1392" s="9" t="n">
        <x:v>5</x:v>
      </x:c>
      <x:c r="J1392" s="9" t="n">
        <x:v>1</x:v>
      </x:c>
      <x:c r="K1392" s="9" t="n">
        <x:v>0</x:v>
      </x:c>
      <x:c r="L1392" s="13" t="n">
        <x:f>SUMIFS('Payments'!$D$5:$D$3014,'Payments'!$B$5:$B$3014,A1392)</x:f>
        <x:v>0</x:v>
      </x:c>
      <x:c r="M1392" s="13" t="n">
        <x:f>G1392-L1392</x:f>
        <x:v>2581.61</x:v>
      </x:c>
      <x:c r="N1392" s="9" t="str">
        <x:f>IF(H1392=0,"0 Current",IF(H1392&lt;=30,"1 1-30",IF(H1392&lt;=60,"2 31-60",IF(H1392&lt;=90,"3 61-90",IF(H1392&lt;=120,"4 91-120","5 121+")))))</x:f>
        <x:v>5 121+</x:v>
      </x:c>
      <x:c r="O1392" s="9" t="n">
        <x:f>IF(J1392&gt;0,1,0)</x:f>
        <x:v>1</x:v>
      </x:c>
    </x:row>
    <x:row r="1393">
      <x:c r="A1393" s="15" t="str">
        <x:v>1389</x:v>
      </x:c>
      <x:c r="B1393" s="9" t="str">
        <x:v>Taylor</x:v>
      </x:c>
      <x:c r="C1393" s="9" t="str">
        <x:v>Medical</x:v>
      </x:c>
      <x:c r="D1393" s="9" t="str">
        <x:v>Midwest</x:v>
      </x:c>
      <x:c r="E1393" s="9" t="n">
        <x:v>514</x:v>
      </x:c>
      <x:c r="F1393" s="11" t="n">
        <x:v>46074</x:v>
      </x:c>
      <x:c r="G1393" s="13" t="n">
        <x:v>2891.59</x:v>
      </x:c>
      <x:c r="H1393" s="9" t="n">
        <x:v>81</x:v>
      </x:c>
      <x:c r="I1393" s="9" t="n">
        <x:v>0</x:v>
      </x:c>
      <x:c r="J1393" s="9" t="n">
        <x:v>0</x:v>
      </x:c>
      <x:c r="K1393" s="9" t="n">
        <x:v>0</x:v>
      </x:c>
      <x:c r="L1393" s="13" t="n">
        <x:f>SUMIFS('Payments'!$D$5:$D$3014,'Payments'!$B$5:$B$3014,A1393)</x:f>
        <x:v>362.40999999999997</x:v>
      </x:c>
      <x:c r="M1393" s="13" t="n">
        <x:f>G1393-L1393</x:f>
        <x:v>2529.1800000000003</x:v>
      </x:c>
      <x:c r="N1393" s="9" t="str">
        <x:f>IF(H1393=0,"0 Current",IF(H1393&lt;=30,"1 1-30",IF(H1393&lt;=60,"2 31-60",IF(H1393&lt;=90,"3 61-90",IF(H1393&lt;=120,"4 91-120","5 121+")))))</x:f>
        <x:v>3 61-90</x:v>
      </x:c>
      <x:c r="O1393" s="9" t="n">
        <x:f>IF(J1393&gt;0,1,0)</x:f>
        <x:v>0</x:v>
      </x:c>
    </x:row>
    <x:row r="1394">
      <x:c r="A1394" s="15" t="str">
        <x:v>1390</x:v>
      </x:c>
      <x:c r="B1394" s="9" t="str">
        <x:v>Riley</x:v>
      </x:c>
      <x:c r="C1394" s="9" t="str">
        <x:v>Credit Card</x:v>
      </x:c>
      <x:c r="D1394" s="9" t="str">
        <x:v>West</x:v>
      </x:c>
      <x:c r="E1394" s="9" t="n">
        <x:v>777</x:v>
      </x:c>
      <x:c r="F1394" s="11" t="n">
        <x:v>46032</x:v>
      </x:c>
      <x:c r="G1394" s="13" t="n">
        <x:v>2698.45</x:v>
      </x:c>
      <x:c r="H1394" s="9" t="n">
        <x:v>141</x:v>
      </x:c>
      <x:c r="I1394" s="9" t="n">
        <x:v>8</x:v>
      </x:c>
      <x:c r="J1394" s="9" t="n">
        <x:v>5</x:v>
      </x:c>
      <x:c r="K1394" s="9" t="n">
        <x:v>1</x:v>
      </x:c>
      <x:c r="L1394" s="13" t="n">
        <x:f>SUMIFS('Payments'!$D$5:$D$3014,'Payments'!$B$5:$B$3014,A1394)</x:f>
        <x:v>704.26</x:v>
      </x:c>
      <x:c r="M1394" s="13" t="n">
        <x:f>G1394-L1394</x:f>
        <x:v>1994.1899999999998</x:v>
      </x:c>
      <x:c r="N1394" s="9" t="str">
        <x:f>IF(H1394=0,"0 Current",IF(H1394&lt;=30,"1 1-30",IF(H1394&lt;=60,"2 31-60",IF(H1394&lt;=90,"3 61-90",IF(H1394&lt;=120,"4 91-120","5 121+")))))</x:f>
        <x:v>5 121+</x:v>
      </x:c>
      <x:c r="O1394" s="9" t="n">
        <x:f>IF(J1394&gt;0,1,0)</x:f>
        <x:v>1</x:v>
      </x:c>
    </x:row>
    <x:row r="1395">
      <x:c r="A1395" s="15" t="str">
        <x:v>1391</x:v>
      </x:c>
      <x:c r="B1395" s="9" t="str">
        <x:v>Taylor</x:v>
      </x:c>
      <x:c r="C1395" s="9" t="str">
        <x:v>Auto</x:v>
      </x:c>
      <x:c r="D1395" s="9" t="str">
        <x:v>Northeast</x:v>
      </x:c>
      <x:c r="E1395" s="9" t="n">
        <x:v>811</x:v>
      </x:c>
      <x:c r="F1395" s="11" t="n">
        <x:v>46035</x:v>
      </x:c>
      <x:c r="G1395" s="13" t="n">
        <x:v>11510.55</x:v>
      </x:c>
      <x:c r="H1395" s="9" t="n">
        <x:v>106</x:v>
      </x:c>
      <x:c r="I1395" s="9" t="n">
        <x:v>0</x:v>
      </x:c>
      <x:c r="J1395" s="9" t="n">
        <x:v>0</x:v>
      </x:c>
      <x:c r="K1395" s="9" t="n">
        <x:v>0</x:v>
      </x:c>
      <x:c r="L1395" s="13" t="n">
        <x:f>SUMIFS('Payments'!$D$5:$D$3014,'Payments'!$B$5:$B$3014,A1395)</x:f>
        <x:v>1803.1200000000001</x:v>
      </x:c>
      <x:c r="M1395" s="13" t="n">
        <x:f>G1395-L1395</x:f>
        <x:v>9707.429999999998</x:v>
      </x:c>
      <x:c r="N1395" s="9" t="str">
        <x:f>IF(H1395=0,"0 Current",IF(H1395&lt;=30,"1 1-30",IF(H1395&lt;=60,"2 31-60",IF(H1395&lt;=90,"3 61-90",IF(H1395&lt;=120,"4 91-120","5 121+")))))</x:f>
        <x:v>4 91-120</x:v>
      </x:c>
      <x:c r="O1395" s="9" t="n">
        <x:f>IF(J1395&gt;0,1,0)</x:f>
        <x:v>0</x:v>
      </x:c>
    </x:row>
    <x:row r="1396">
      <x:c r="A1396" s="15" t="str">
        <x:v>1392</x:v>
      </x:c>
      <x:c r="B1396" s="9" t="str">
        <x:v>Casey</x:v>
      </x:c>
      <x:c r="C1396" s="9" t="str">
        <x:v>Auto</x:v>
      </x:c>
      <x:c r="D1396" s="9" t="str">
        <x:v>Midwest</x:v>
      </x:c>
      <x:c r="E1396" s="9" t="n">
        <x:v>804</x:v>
      </x:c>
      <x:c r="F1396" s="11" t="n">
        <x:v>46154</x:v>
      </x:c>
      <x:c r="G1396" s="13" t="n">
        <x:v>3953.9</x:v>
      </x:c>
      <x:c r="H1396" s="9" t="n">
        <x:v>133</x:v>
      </x:c>
      <x:c r="I1396" s="9" t="n">
        <x:v>5</x:v>
      </x:c>
      <x:c r="J1396" s="9" t="n">
        <x:v>2</x:v>
      </x:c>
      <x:c r="K1396" s="9" t="n">
        <x:v>1</x:v>
      </x:c>
      <x:c r="L1396" s="13" t="n">
        <x:f>SUMIFS('Payments'!$D$5:$D$3014,'Payments'!$B$5:$B$3014,A1396)</x:f>
        <x:v>0</x:v>
      </x:c>
      <x:c r="M1396" s="13" t="n">
        <x:f>G1396-L1396</x:f>
        <x:v>3953.9</x:v>
      </x:c>
      <x:c r="N1396" s="9" t="str">
        <x:f>IF(H1396=0,"0 Current",IF(H1396&lt;=30,"1 1-30",IF(H1396&lt;=60,"2 31-60",IF(H1396&lt;=90,"3 61-90",IF(H1396&lt;=120,"4 91-120","5 121+")))))</x:f>
        <x:v>5 121+</x:v>
      </x:c>
      <x:c r="O1396" s="9" t="n">
        <x:f>IF(J1396&gt;0,1,0)</x:f>
        <x:v>1</x:v>
      </x:c>
    </x:row>
    <x:row r="1397">
      <x:c r="A1397" s="15" t="str">
        <x:v>1393</x:v>
      </x:c>
      <x:c r="B1397" s="9" t="str">
        <x:v>Alex</x:v>
      </x:c>
      <x:c r="C1397" s="9" t="str">
        <x:v>Personal Loan</x:v>
      </x:c>
      <x:c r="D1397" s="9" t="str">
        <x:v>Midwest</x:v>
      </x:c>
      <x:c r="E1397" s="9" t="n">
        <x:v>676</x:v>
      </x:c>
      <x:c r="F1397" s="11" t="n">
        <x:v>46079</x:v>
      </x:c>
      <x:c r="G1397" s="13" t="n">
        <x:v>3589.11</x:v>
      </x:c>
      <x:c r="H1397" s="9" t="n">
        <x:v>174</x:v>
      </x:c>
      <x:c r="I1397" s="9" t="n">
        <x:v>3</x:v>
      </x:c>
      <x:c r="J1397" s="9" t="n">
        <x:v>0</x:v>
      </x:c>
      <x:c r="K1397" s="9" t="n">
        <x:v>0</x:v>
      </x:c>
      <x:c r="L1397" s="13" t="n">
        <x:f>SUMIFS('Payments'!$D$5:$D$3014,'Payments'!$B$5:$B$3014,A1397)</x:f>
        <x:v>1066.72</x:v>
      </x:c>
      <x:c r="M1397" s="13" t="n">
        <x:f>G1397-L1397</x:f>
        <x:v>2522.3900000000003</x:v>
      </x:c>
      <x:c r="N1397" s="9" t="str">
        <x:f>IF(H1397=0,"0 Current",IF(H1397&lt;=30,"1 1-30",IF(H1397&lt;=60,"2 31-60",IF(H1397&lt;=90,"3 61-90",IF(H1397&lt;=120,"4 91-120","5 121+")))))</x:f>
        <x:v>5 121+</x:v>
      </x:c>
      <x:c r="O1397" s="9" t="n">
        <x:f>IF(J1397&gt;0,1,0)</x:f>
        <x:v>0</x:v>
      </x:c>
    </x:row>
    <x:row r="1398">
      <x:c r="A1398" s="15" t="str">
        <x:v>1394</x:v>
      </x:c>
      <x:c r="B1398" s="9" t="str">
        <x:v>Taylor</x:v>
      </x:c>
      <x:c r="C1398" s="9" t="str">
        <x:v>Medical</x:v>
      </x:c>
      <x:c r="D1398" s="9" t="str">
        <x:v>South</x:v>
      </x:c>
      <x:c r="E1398" s="9" t="n">
        <x:v>539</x:v>
      </x:c>
      <x:c r="F1398" s="11" t="n">
        <x:v>46172</x:v>
      </x:c>
      <x:c r="G1398" s="13" t="n">
        <x:v>5734.15</x:v>
      </x:c>
      <x:c r="H1398" s="9" t="n">
        <x:v>170</x:v>
      </x:c>
      <x:c r="I1398" s="9" t="n">
        <x:v>6</x:v>
      </x:c>
      <x:c r="J1398" s="9" t="n">
        <x:v>1</x:v>
      </x:c>
      <x:c r="K1398" s="9" t="n">
        <x:v>0</x:v>
      </x:c>
      <x:c r="L1398" s="13" t="n">
        <x:f>SUMIFS('Payments'!$D$5:$D$3014,'Payments'!$B$5:$B$3014,A1398)</x:f>
        <x:v>907.85</x:v>
      </x:c>
      <x:c r="M1398" s="13" t="n">
        <x:f>G1398-L1398</x:f>
        <x:v>4826.299999999999</x:v>
      </x:c>
      <x:c r="N1398" s="9" t="str">
        <x:f>IF(H1398=0,"0 Current",IF(H1398&lt;=30,"1 1-30",IF(H1398&lt;=60,"2 31-60",IF(H1398&lt;=90,"3 61-90",IF(H1398&lt;=120,"4 91-120","5 121+")))))</x:f>
        <x:v>5 121+</x:v>
      </x:c>
      <x:c r="O1398" s="9" t="n">
        <x:f>IF(J1398&gt;0,1,0)</x:f>
        <x:v>1</x:v>
      </x:c>
    </x:row>
    <x:row r="1399">
      <x:c r="A1399" s="15" t="str">
        <x:v>1395</x:v>
      </x:c>
      <x:c r="B1399" s="9" t="str">
        <x:v>Alex</x:v>
      </x:c>
      <x:c r="C1399" s="9" t="str">
        <x:v>Auto</x:v>
      </x:c>
      <x:c r="D1399" s="9" t="str">
        <x:v>Midwest</x:v>
      </x:c>
      <x:c r="E1399" s="9" t="n">
        <x:v>678</x:v>
      </x:c>
      <x:c r="F1399" s="11" t="n">
        <x:v>46157</x:v>
      </x:c>
      <x:c r="G1399" s="13" t="n">
        <x:v>15496.1</x:v>
      </x:c>
      <x:c r="H1399" s="9" t="n">
        <x:v>225</x:v>
      </x:c>
      <x:c r="I1399" s="9" t="n">
        <x:v>2</x:v>
      </x:c>
      <x:c r="J1399" s="9" t="n">
        <x:v>0</x:v>
      </x:c>
      <x:c r="K1399" s="9" t="n">
        <x:v>0</x:v>
      </x:c>
      <x:c r="L1399" s="13" t="n">
        <x:f>SUMIFS('Payments'!$D$5:$D$3014,'Payments'!$B$5:$B$3014,A1399)</x:f>
        <x:v>1215.57</x:v>
      </x:c>
      <x:c r="M1399" s="13" t="n">
        <x:f>G1399-L1399</x:f>
        <x:v>14280.53</x:v>
      </x:c>
      <x:c r="N1399" s="9" t="str">
        <x:f>IF(H1399=0,"0 Current",IF(H1399&lt;=30,"1 1-30",IF(H1399&lt;=60,"2 31-60",IF(H1399&lt;=90,"3 61-90",IF(H1399&lt;=120,"4 91-120","5 121+")))))</x:f>
        <x:v>5 121+</x:v>
      </x:c>
      <x:c r="O1399" s="9" t="n">
        <x:f>IF(J1399&gt;0,1,0)</x:f>
        <x:v>0</x:v>
      </x:c>
    </x:row>
    <x:row r="1400">
      <x:c r="A1400" s="15" t="str">
        <x:v>1396</x:v>
      </x:c>
      <x:c r="B1400" s="9" t="str">
        <x:v>Taylor</x:v>
      </x:c>
      <x:c r="C1400" s="9" t="str">
        <x:v>Credit Card</x:v>
      </x:c>
      <x:c r="D1400" s="9" t="str">
        <x:v>Midwest</x:v>
      </x:c>
      <x:c r="E1400" s="9" t="n">
        <x:v>723</x:v>
      </x:c>
      <x:c r="F1400" s="11" t="n">
        <x:v>46136</x:v>
      </x:c>
      <x:c r="G1400" s="13" t="n">
        <x:v>22089.05</x:v>
      </x:c>
      <x:c r="H1400" s="9" t="n">
        <x:v>145</x:v>
      </x:c>
      <x:c r="I1400" s="9" t="n">
        <x:v>1</x:v>
      </x:c>
      <x:c r="J1400" s="9" t="n">
        <x:v>1</x:v>
      </x:c>
      <x:c r="K1400" s="9" t="n">
        <x:v>1</x:v>
      </x:c>
      <x:c r="L1400" s="13" t="n">
        <x:f>SUMIFS('Payments'!$D$5:$D$3014,'Payments'!$B$5:$B$3014,A1400)</x:f>
        <x:v>2356.43</x:v>
      </x:c>
      <x:c r="M1400" s="13" t="n">
        <x:f>G1400-L1400</x:f>
        <x:v>19732.62</x:v>
      </x:c>
      <x:c r="N1400" s="9" t="str">
        <x:f>IF(H1400=0,"0 Current",IF(H1400&lt;=30,"1 1-30",IF(H1400&lt;=60,"2 31-60",IF(H1400&lt;=90,"3 61-90",IF(H1400&lt;=120,"4 91-120","5 121+")))))</x:f>
        <x:v>5 121+</x:v>
      </x:c>
      <x:c r="O1400" s="9" t="n">
        <x:f>IF(J1400&gt;0,1,0)</x:f>
        <x:v>1</x:v>
      </x:c>
    </x:row>
    <x:row r="1401">
      <x:c r="A1401" s="15" t="str">
        <x:v>1397</x:v>
      </x:c>
      <x:c r="B1401" s="9" t="str">
        <x:v>Casey</x:v>
      </x:c>
      <x:c r="C1401" s="9" t="str">
        <x:v>Credit Card</x:v>
      </x:c>
      <x:c r="D1401" s="9" t="str">
        <x:v>Midwest</x:v>
      </x:c>
      <x:c r="E1401" s="9" t="n">
        <x:v>439</x:v>
      </x:c>
      <x:c r="F1401" s="11" t="n">
        <x:v>46106</x:v>
      </x:c>
      <x:c r="G1401" s="13" t="n">
        <x:v>7588.71</x:v>
      </x:c>
      <x:c r="H1401" s="9" t="n">
        <x:v>118</x:v>
      </x:c>
      <x:c r="I1401" s="9" t="n">
        <x:v>8</x:v>
      </x:c>
      <x:c r="J1401" s="9" t="n">
        <x:v>3</x:v>
      </x:c>
      <x:c r="K1401" s="9" t="n">
        <x:v>0</x:v>
      </x:c>
      <x:c r="L1401" s="13" t="n">
        <x:f>SUMIFS('Payments'!$D$5:$D$3014,'Payments'!$B$5:$B$3014,A1401)</x:f>
        <x:v>1098.22</x:v>
      </x:c>
      <x:c r="M1401" s="13" t="n">
        <x:f>G1401-L1401</x:f>
        <x:v>6490.49</x:v>
      </x:c>
      <x:c r="N1401" s="9" t="str">
        <x:f>IF(H1401=0,"0 Current",IF(H1401&lt;=30,"1 1-30",IF(H1401&lt;=60,"2 31-60",IF(H1401&lt;=90,"3 61-90",IF(H1401&lt;=120,"4 91-120","5 121+")))))</x:f>
        <x:v>4 91-120</x:v>
      </x:c>
      <x:c r="O1401" s="9" t="n">
        <x:f>IF(J1401&gt;0,1,0)</x:f>
        <x:v>1</x:v>
      </x:c>
    </x:row>
    <x:row r="1402">
      <x:c r="A1402" s="15" t="str">
        <x:v>1398</x:v>
      </x:c>
      <x:c r="B1402" s="9" t="str">
        <x:v>Jordan</x:v>
      </x:c>
      <x:c r="C1402" s="9" t="str">
        <x:v>Credit Card</x:v>
      </x:c>
      <x:c r="D1402" s="9" t="str">
        <x:v>South</x:v>
      </x:c>
      <x:c r="E1402" s="9" t="n">
        <x:v>741</x:v>
      </x:c>
      <x:c r="F1402" s="11" t="n">
        <x:v>46159</x:v>
      </x:c>
      <x:c r="G1402" s="13" t="n">
        <x:v>1533.33</x:v>
      </x:c>
      <x:c r="H1402" s="9" t="n">
        <x:v>235</x:v>
      </x:c>
      <x:c r="I1402" s="9" t="n">
        <x:v>5</x:v>
      </x:c>
      <x:c r="J1402" s="9" t="n">
        <x:v>2</x:v>
      </x:c>
      <x:c r="K1402" s="9" t="n">
        <x:v>0</x:v>
      </x:c>
      <x:c r="L1402" s="13" t="n">
        <x:f>SUMIFS('Payments'!$D$5:$D$3014,'Payments'!$B$5:$B$3014,A1402)</x:f>
        <x:v>96.72</x:v>
      </x:c>
      <x:c r="M1402" s="13" t="n">
        <x:f>G1402-L1402</x:f>
        <x:v>1436.61</x:v>
      </x:c>
      <x:c r="N1402" s="9" t="str">
        <x:f>IF(H1402=0,"0 Current",IF(H1402&lt;=30,"1 1-30",IF(H1402&lt;=60,"2 31-60",IF(H1402&lt;=90,"3 61-90",IF(H1402&lt;=120,"4 91-120","5 121+")))))</x:f>
        <x:v>5 121+</x:v>
      </x:c>
      <x:c r="O1402" s="9" t="n">
        <x:f>IF(J1402&gt;0,1,0)</x:f>
        <x:v>1</x:v>
      </x:c>
    </x:row>
    <x:row r="1403">
      <x:c r="A1403" s="15" t="str">
        <x:v>1399</x:v>
      </x:c>
      <x:c r="B1403" s="9" t="str">
        <x:v>Morgan</x:v>
      </x:c>
      <x:c r="C1403" s="9" t="str">
        <x:v>Credit Card</x:v>
      </x:c>
      <x:c r="D1403" s="9" t="str">
        <x:v>Midwest</x:v>
      </x:c>
      <x:c r="E1403" s="9" t="n">
        <x:v>487</x:v>
      </x:c>
      <x:c r="F1403" s="11" t="n">
        <x:v>46159</x:v>
      </x:c>
      <x:c r="G1403" s="13" t="n">
        <x:v>22850.47</x:v>
      </x:c>
      <x:c r="H1403" s="9" t="n">
        <x:v>215</x:v>
      </x:c>
      <x:c r="I1403" s="9" t="n">
        <x:v>5</x:v>
      </x:c>
      <x:c r="J1403" s="9" t="n">
        <x:v>0</x:v>
      </x:c>
      <x:c r="K1403" s="9" t="n">
        <x:v>0</x:v>
      </x:c>
      <x:c r="L1403" s="13" t="n">
        <x:f>SUMIFS('Payments'!$D$5:$D$3014,'Payments'!$B$5:$B$3014,A1403)</x:f>
        <x:v>2982.0099999999998</x:v>
      </x:c>
      <x:c r="M1403" s="13" t="n">
        <x:f>G1403-L1403</x:f>
        <x:v>19868.460000000003</x:v>
      </x:c>
      <x:c r="N1403" s="9" t="str">
        <x:f>IF(H1403=0,"0 Current",IF(H1403&lt;=30,"1 1-30",IF(H1403&lt;=60,"2 31-60",IF(H1403&lt;=90,"3 61-90",IF(H1403&lt;=120,"4 91-120","5 121+")))))</x:f>
        <x:v>5 121+</x:v>
      </x:c>
      <x:c r="O1403" s="9" t="n">
        <x:f>IF(J1403&gt;0,1,0)</x:f>
        <x:v>0</x:v>
      </x:c>
    </x:row>
    <x:row r="1404">
      <x:c r="A1404" s="15" t="str">
        <x:v>1400</x:v>
      </x:c>
      <x:c r="B1404" s="9" t="str">
        <x:v>Taylor</x:v>
      </x:c>
      <x:c r="C1404" s="9" t="str">
        <x:v>Credit Card</x:v>
      </x:c>
      <x:c r="D1404" s="9" t="str">
        <x:v>Northeast</x:v>
      </x:c>
      <x:c r="E1404" s="9" t="n">
        <x:v>651</x:v>
      </x:c>
      <x:c r="F1404" s="11" t="n">
        <x:v>46148</x:v>
      </x:c>
      <x:c r="G1404" s="13" t="n">
        <x:v>15162.48</x:v>
      </x:c>
      <x:c r="H1404" s="9" t="n">
        <x:v>160</x:v>
      </x:c>
      <x:c r="I1404" s="9" t="n">
        <x:v>2</x:v>
      </x:c>
      <x:c r="J1404" s="9" t="n">
        <x:v>0</x:v>
      </x:c>
      <x:c r="K1404" s="9" t="n">
        <x:v>0</x:v>
      </x:c>
      <x:c r="L1404" s="13" t="n">
        <x:f>SUMIFS('Payments'!$D$5:$D$3014,'Payments'!$B$5:$B$3014,A1404)</x:f>
        <x:v>1694.43</x:v>
      </x:c>
      <x:c r="M1404" s="13" t="n">
        <x:f>G1404-L1404</x:f>
        <x:v>13468.05</x:v>
      </x:c>
      <x:c r="N1404" s="9" t="str">
        <x:f>IF(H1404=0,"0 Current",IF(H1404&lt;=30,"1 1-30",IF(H1404&lt;=60,"2 31-60",IF(H1404&lt;=90,"3 61-90",IF(H1404&lt;=120,"4 91-120","5 121+")))))</x:f>
        <x:v>5 121+</x:v>
      </x:c>
      <x:c r="O1404" s="9" t="n">
        <x:f>IF(J1404&gt;0,1,0)</x:f>
        <x:v>0</x:v>
      </x:c>
    </x:row>
    <x:row r="1405">
      <x:c r="A1405" s="15" t="str">
        <x:v>1401</x:v>
      </x:c>
      <x:c r="B1405" s="9" t="str">
        <x:v>Taylor</x:v>
      </x:c>
      <x:c r="C1405" s="9" t="str">
        <x:v>Credit Card</x:v>
      </x:c>
      <x:c r="D1405" s="9" t="str">
        <x:v>South</x:v>
      </x:c>
      <x:c r="E1405" s="9" t="n">
        <x:v>780</x:v>
      </x:c>
      <x:c r="F1405" s="11" t="n">
        <x:v>46061</x:v>
      </x:c>
      <x:c r="G1405" s="13" t="n">
        <x:v>14756.24</x:v>
      </x:c>
      <x:c r="H1405" s="9" t="n">
        <x:v>164</x:v>
      </x:c>
      <x:c r="I1405" s="9" t="n">
        <x:v>2</x:v>
      </x:c>
      <x:c r="J1405" s="9" t="n">
        <x:v>0</x:v>
      </x:c>
      <x:c r="K1405" s="9" t="n">
        <x:v>0</x:v>
      </x:c>
      <x:c r="L1405" s="13" t="n">
        <x:f>SUMIFS('Payments'!$D$5:$D$3014,'Payments'!$B$5:$B$3014,A1405)</x:f>
        <x:v>3860.06</x:v>
      </x:c>
      <x:c r="M1405" s="13" t="n">
        <x:f>G1405-L1405</x:f>
        <x:v>10896.18</x:v>
      </x:c>
      <x:c r="N1405" s="9" t="str">
        <x:f>IF(H1405=0,"0 Current",IF(H1405&lt;=30,"1 1-30",IF(H1405&lt;=60,"2 31-60",IF(H1405&lt;=90,"3 61-90",IF(H1405&lt;=120,"4 91-120","5 121+")))))</x:f>
        <x:v>5 121+</x:v>
      </x:c>
      <x:c r="O1405" s="9" t="n">
        <x:f>IF(J1405&gt;0,1,0)</x:f>
        <x:v>0</x:v>
      </x:c>
    </x:row>
    <x:row r="1406">
      <x:c r="A1406" s="15" t="str">
        <x:v>1402</x:v>
      </x:c>
      <x:c r="B1406" s="9" t="str">
        <x:v>Taylor</x:v>
      </x:c>
      <x:c r="C1406" s="9" t="str">
        <x:v>Credit Card</x:v>
      </x:c>
      <x:c r="D1406" s="9" t="str">
        <x:v>West</x:v>
      </x:c>
      <x:c r="E1406" s="9" t="n">
        <x:v>805</x:v>
      </x:c>
      <x:c r="F1406" s="11" t="n">
        <x:v>46076</x:v>
      </x:c>
      <x:c r="G1406" s="13" t="n">
        <x:v>5493.99</x:v>
      </x:c>
      <x:c r="H1406" s="9" t="n">
        <x:v>98</x:v>
      </x:c>
      <x:c r="I1406" s="9" t="n">
        <x:v>7</x:v>
      </x:c>
      <x:c r="J1406" s="9" t="n">
        <x:v>4</x:v>
      </x:c>
      <x:c r="K1406" s="9" t="n">
        <x:v>1</x:v>
      </x:c>
      <x:c r="L1406" s="13" t="n">
        <x:f>SUMIFS('Payments'!$D$5:$D$3014,'Payments'!$B$5:$B$3014,A1406)</x:f>
        <x:v>64.85</x:v>
      </x:c>
      <x:c r="M1406" s="13" t="n">
        <x:f>G1406-L1406</x:f>
        <x:v>5429.139999999999</x:v>
      </x:c>
      <x:c r="N1406" s="9" t="str">
        <x:f>IF(H1406=0,"0 Current",IF(H1406&lt;=30,"1 1-30",IF(H1406&lt;=60,"2 31-60",IF(H1406&lt;=90,"3 61-90",IF(H1406&lt;=120,"4 91-120","5 121+")))))</x:f>
        <x:v>4 91-120</x:v>
      </x:c>
      <x:c r="O1406" s="9" t="n">
        <x:f>IF(J1406&gt;0,1,0)</x:f>
        <x:v>1</x:v>
      </x:c>
    </x:row>
    <x:row r="1407">
      <x:c r="A1407" s="15" t="str">
        <x:v>1403</x:v>
      </x:c>
      <x:c r="B1407" s="9" t="str">
        <x:v>Taylor</x:v>
      </x:c>
      <x:c r="C1407" s="9" t="str">
        <x:v>Personal Loan</x:v>
      </x:c>
      <x:c r="D1407" s="9" t="str">
        <x:v>West</x:v>
      </x:c>
      <x:c r="E1407" s="9" t="n">
        <x:v>707</x:v>
      </x:c>
      <x:c r="F1407" s="11" t="n">
        <x:v>46106</x:v>
      </x:c>
      <x:c r="G1407" s="13" t="n">
        <x:v>21254.17</x:v>
      </x:c>
      <x:c r="H1407" s="9" t="n">
        <x:v>78</x:v>
      </x:c>
      <x:c r="I1407" s="9" t="n">
        <x:v>6</x:v>
      </x:c>
      <x:c r="J1407" s="9" t="n">
        <x:v>2</x:v>
      </x:c>
      <x:c r="K1407" s="9" t="n">
        <x:v>1</x:v>
      </x:c>
      <x:c r="L1407" s="13" t="n">
        <x:f>SUMIFS('Payments'!$D$5:$D$3014,'Payments'!$B$5:$B$3014,A1407)</x:f>
        <x:v>4817.860000000001</x:v>
      </x:c>
      <x:c r="M1407" s="13" t="n">
        <x:f>G1407-L1407</x:f>
        <x:v>16436.309999999998</x:v>
      </x:c>
      <x:c r="N1407" s="9" t="str">
        <x:f>IF(H1407=0,"0 Current",IF(H1407&lt;=30,"1 1-30",IF(H1407&lt;=60,"2 31-60",IF(H1407&lt;=90,"3 61-90",IF(H1407&lt;=120,"4 91-120","5 121+")))))</x:f>
        <x:v>3 61-90</x:v>
      </x:c>
      <x:c r="O1407" s="9" t="n">
        <x:f>IF(J1407&gt;0,1,0)</x:f>
        <x:v>1</x:v>
      </x:c>
    </x:row>
    <x:row r="1408">
      <x:c r="A1408" s="15" t="str">
        <x:v>1404</x:v>
      </x:c>
      <x:c r="B1408" s="9" t="str">
        <x:v>Riley</x:v>
      </x:c>
      <x:c r="C1408" s="9" t="str">
        <x:v>Personal Loan</x:v>
      </x:c>
      <x:c r="D1408" s="9" t="str">
        <x:v>South</x:v>
      </x:c>
      <x:c r="E1408" s="9" t="n">
        <x:v>496</x:v>
      </x:c>
      <x:c r="F1408" s="11" t="n">
        <x:v>46132</x:v>
      </x:c>
      <x:c r="G1408" s="13" t="n">
        <x:v>23525.59</x:v>
      </x:c>
      <x:c r="H1408" s="9" t="n">
        <x:v>237</x:v>
      </x:c>
      <x:c r="I1408" s="9" t="n">
        <x:v>8</x:v>
      </x:c>
      <x:c r="J1408" s="9" t="n">
        <x:v>3</x:v>
      </x:c>
      <x:c r="K1408" s="9" t="n">
        <x:v>0</x:v>
      </x:c>
      <x:c r="L1408" s="13" t="n">
        <x:f>SUMIFS('Payments'!$D$5:$D$3014,'Payments'!$B$5:$B$3014,A1408)</x:f>
        <x:v>6491.959999999999</x:v>
      </x:c>
      <x:c r="M1408" s="13" t="n">
        <x:f>G1408-L1408</x:f>
        <x:v>17033.63</x:v>
      </x:c>
      <x:c r="N1408" s="9" t="str">
        <x:f>IF(H1408=0,"0 Current",IF(H1408&lt;=30,"1 1-30",IF(H1408&lt;=60,"2 31-60",IF(H1408&lt;=90,"3 61-90",IF(H1408&lt;=120,"4 91-120","5 121+")))))</x:f>
        <x:v>5 121+</x:v>
      </x:c>
      <x:c r="O1408" s="9" t="n">
        <x:f>IF(J1408&gt;0,1,0)</x:f>
        <x:v>1</x:v>
      </x:c>
    </x:row>
    <x:row r="1409">
      <x:c r="A1409" s="15" t="str">
        <x:v>1405</x:v>
      </x:c>
      <x:c r="B1409" s="9" t="str">
        <x:v>Casey</x:v>
      </x:c>
      <x:c r="C1409" s="9" t="str">
        <x:v>Auto</x:v>
      </x:c>
      <x:c r="D1409" s="9" t="str">
        <x:v>South</x:v>
      </x:c>
      <x:c r="E1409" s="9" t="n">
        <x:v>752</x:v>
      </x:c>
      <x:c r="F1409" s="11" t="n">
        <x:v>46153</x:v>
      </x:c>
      <x:c r="G1409" s="13" t="n">
        <x:v>12694</x:v>
      </x:c>
      <x:c r="H1409" s="9" t="n">
        <x:v>197</x:v>
      </x:c>
      <x:c r="I1409" s="9" t="n">
        <x:v>5</x:v>
      </x:c>
      <x:c r="J1409" s="9" t="n">
        <x:v>1</x:v>
      </x:c>
      <x:c r="K1409" s="9" t="n">
        <x:v>0</x:v>
      </x:c>
      <x:c r="L1409" s="13" t="n">
        <x:f>SUMIFS('Payments'!$D$5:$D$3014,'Payments'!$B$5:$B$3014,A1409)</x:f>
        <x:v>3938.47</x:v>
      </x:c>
      <x:c r="M1409" s="13" t="n">
        <x:f>G1409-L1409</x:f>
        <x:v>8755.53</x:v>
      </x:c>
      <x:c r="N1409" s="9" t="str">
        <x:f>IF(H1409=0,"0 Current",IF(H1409&lt;=30,"1 1-30",IF(H1409&lt;=60,"2 31-60",IF(H1409&lt;=90,"3 61-90",IF(H1409&lt;=120,"4 91-120","5 121+")))))</x:f>
        <x:v>5 121+</x:v>
      </x:c>
      <x:c r="O1409" s="9" t="n">
        <x:f>IF(J1409&gt;0,1,0)</x:f>
        <x:v>1</x:v>
      </x:c>
    </x:row>
    <x:row r="1410">
      <x:c r="A1410" s="15" t="str">
        <x:v>1406</x:v>
      </x:c>
      <x:c r="B1410" s="9" t="str">
        <x:v>Jordan</x:v>
      </x:c>
      <x:c r="C1410" s="9" t="str">
        <x:v>Auto</x:v>
      </x:c>
      <x:c r="D1410" s="9" t="str">
        <x:v>South</x:v>
      </x:c>
      <x:c r="E1410" s="9" t="n">
        <x:v>647</x:v>
      </x:c>
      <x:c r="F1410" s="11" t="n">
        <x:v>46067</x:v>
      </x:c>
      <x:c r="G1410" s="13" t="n">
        <x:v>22814.18</x:v>
      </x:c>
      <x:c r="H1410" s="9" t="n">
        <x:v>42</x:v>
      </x:c>
      <x:c r="I1410" s="9" t="n">
        <x:v>0</x:v>
      </x:c>
      <x:c r="J1410" s="9" t="n">
        <x:v>0</x:v>
      </x:c>
      <x:c r="K1410" s="9" t="n">
        <x:v>0</x:v>
      </x:c>
      <x:c r="L1410" s="13" t="n">
        <x:f>SUMIFS('Payments'!$D$5:$D$3014,'Payments'!$B$5:$B$3014,A1410)</x:f>
        <x:v>0</x:v>
      </x:c>
      <x:c r="M1410" s="13" t="n">
        <x:f>G1410-L1410</x:f>
        <x:v>22814.18</x:v>
      </x:c>
      <x:c r="N1410" s="9" t="str">
        <x:f>IF(H1410=0,"0 Current",IF(H1410&lt;=30,"1 1-30",IF(H1410&lt;=60,"2 31-60",IF(H1410&lt;=90,"3 61-90",IF(H1410&lt;=120,"4 91-120","5 121+")))))</x:f>
        <x:v>2 31-60</x:v>
      </x:c>
      <x:c r="O1410" s="9" t="n">
        <x:f>IF(J1410&gt;0,1,0)</x:f>
        <x:v>0</x:v>
      </x:c>
    </x:row>
    <x:row r="1411">
      <x:c r="A1411" s="15" t="str">
        <x:v>1407</x:v>
      </x:c>
      <x:c r="B1411" s="9" t="str">
        <x:v>Jordan</x:v>
      </x:c>
      <x:c r="C1411" s="9" t="str">
        <x:v>Medical</x:v>
      </x:c>
      <x:c r="D1411" s="9" t="str">
        <x:v>West</x:v>
      </x:c>
      <x:c r="E1411" s="9" t="n">
        <x:v>782</x:v>
      </x:c>
      <x:c r="F1411" s="11" t="n">
        <x:v>46140</x:v>
      </x:c>
      <x:c r="G1411" s="13" t="n">
        <x:v>8765.87</x:v>
      </x:c>
      <x:c r="H1411" s="9" t="n">
        <x:v>145</x:v>
      </x:c>
      <x:c r="I1411" s="9" t="n">
        <x:v>7</x:v>
      </x:c>
      <x:c r="J1411" s="9" t="n">
        <x:v>2</x:v>
      </x:c>
      <x:c r="K1411" s="9" t="n">
        <x:v>1</x:v>
      </x:c>
      <x:c r="L1411" s="13" t="n">
        <x:f>SUMIFS('Payments'!$D$5:$D$3014,'Payments'!$B$5:$B$3014,A1411)</x:f>
        <x:v>0</x:v>
      </x:c>
      <x:c r="M1411" s="13" t="n">
        <x:f>G1411-L1411</x:f>
        <x:v>8765.87</x:v>
      </x:c>
      <x:c r="N1411" s="9" t="str">
        <x:f>IF(H1411=0,"0 Current",IF(H1411&lt;=30,"1 1-30",IF(H1411&lt;=60,"2 31-60",IF(H1411&lt;=90,"3 61-90",IF(H1411&lt;=120,"4 91-120","5 121+")))))</x:f>
        <x:v>5 121+</x:v>
      </x:c>
      <x:c r="O1411" s="9" t="n">
        <x:f>IF(J1411&gt;0,1,0)</x:f>
        <x:v>1</x:v>
      </x:c>
    </x:row>
    <x:row r="1412">
      <x:c r="A1412" s="15" t="str">
        <x:v>1408</x:v>
      </x:c>
      <x:c r="B1412" s="9" t="str">
        <x:v>Jordan</x:v>
      </x:c>
      <x:c r="C1412" s="9" t="str">
        <x:v>Medical</x:v>
      </x:c>
      <x:c r="D1412" s="9" t="str">
        <x:v>South</x:v>
      </x:c>
      <x:c r="E1412" s="9" t="n">
        <x:v>498</x:v>
      </x:c>
      <x:c r="F1412" s="11" t="n">
        <x:v>46112</x:v>
      </x:c>
      <x:c r="G1412" s="13" t="n">
        <x:v>5111.16</x:v>
      </x:c>
      <x:c r="H1412" s="9" t="n">
        <x:v>176</x:v>
      </x:c>
      <x:c r="I1412" s="9" t="n">
        <x:v>4</x:v>
      </x:c>
      <x:c r="J1412" s="9" t="n">
        <x:v>1</x:v>
      </x:c>
      <x:c r="K1412" s="9" t="n">
        <x:v>1</x:v>
      </x:c>
      <x:c r="L1412" s="13" t="n">
        <x:f>SUMIFS('Payments'!$D$5:$D$3014,'Payments'!$B$5:$B$3014,A1412)</x:f>
        <x:v>0</x:v>
      </x:c>
      <x:c r="M1412" s="13" t="n">
        <x:f>G1412-L1412</x:f>
        <x:v>5111.16</x:v>
      </x:c>
      <x:c r="N1412" s="9" t="str">
        <x:f>IF(H1412=0,"0 Current",IF(H1412&lt;=30,"1 1-30",IF(H1412&lt;=60,"2 31-60",IF(H1412&lt;=90,"3 61-90",IF(H1412&lt;=120,"4 91-120","5 121+")))))</x:f>
        <x:v>5 121+</x:v>
      </x:c>
      <x:c r="O1412" s="9" t="n">
        <x:f>IF(J1412&gt;0,1,0)</x:f>
        <x:v>1</x:v>
      </x:c>
    </x:row>
    <x:row r="1413">
      <x:c r="A1413" s="15" t="str">
        <x:v>1409</x:v>
      </x:c>
      <x:c r="B1413" s="9" t="str">
        <x:v>Morgan</x:v>
      </x:c>
      <x:c r="C1413" s="9" t="str">
        <x:v>Medical</x:v>
      </x:c>
      <x:c r="D1413" s="9" t="str">
        <x:v>South</x:v>
      </x:c>
      <x:c r="E1413" s="9" t="n">
        <x:v>460</x:v>
      </x:c>
      <x:c r="F1413" s="11" t="n">
        <x:v>46039</x:v>
      </x:c>
      <x:c r="G1413" s="13" t="n">
        <x:v>6341.37</x:v>
      </x:c>
      <x:c r="H1413" s="9" t="n">
        <x:v>211</x:v>
      </x:c>
      <x:c r="I1413" s="9" t="n">
        <x:v>5</x:v>
      </x:c>
      <x:c r="J1413" s="9" t="n">
        <x:v>1</x:v>
      </x:c>
      <x:c r="K1413" s="9" t="n">
        <x:v>0</x:v>
      </x:c>
      <x:c r="L1413" s="13" t="n">
        <x:f>SUMIFS('Payments'!$D$5:$D$3014,'Payments'!$B$5:$B$3014,A1413)</x:f>
        <x:v>654.18</x:v>
      </x:c>
      <x:c r="M1413" s="13" t="n">
        <x:f>G1413-L1413</x:f>
        <x:v>5687.19</x:v>
      </x:c>
      <x:c r="N1413" s="9" t="str">
        <x:f>IF(H1413=0,"0 Current",IF(H1413&lt;=30,"1 1-30",IF(H1413&lt;=60,"2 31-60",IF(H1413&lt;=90,"3 61-90",IF(H1413&lt;=120,"4 91-120","5 121+")))))</x:f>
        <x:v>5 121+</x:v>
      </x:c>
      <x:c r="O1413" s="9" t="n">
        <x:f>IF(J1413&gt;0,1,0)</x:f>
        <x:v>1</x:v>
      </x:c>
    </x:row>
    <x:row r="1414">
      <x:c r="A1414" s="15" t="str">
        <x:v>1410</x:v>
      </x:c>
      <x:c r="B1414" s="9" t="str">
        <x:v>Jordan</x:v>
      </x:c>
      <x:c r="C1414" s="9" t="str">
        <x:v>Auto</x:v>
      </x:c>
      <x:c r="D1414" s="9" t="str">
        <x:v>South</x:v>
      </x:c>
      <x:c r="E1414" s="9" t="n">
        <x:v>559</x:v>
      </x:c>
      <x:c r="F1414" s="11" t="n">
        <x:v>46070</x:v>
      </x:c>
      <x:c r="G1414" s="13" t="n">
        <x:v>19823.95</x:v>
      </x:c>
      <x:c r="H1414" s="9" t="n">
        <x:v>215</x:v>
      </x:c>
      <x:c r="I1414" s="9" t="n">
        <x:v>8</x:v>
      </x:c>
      <x:c r="J1414" s="9" t="n">
        <x:v>3</x:v>
      </x:c>
      <x:c r="K1414" s="9" t="n">
        <x:v>1</x:v>
      </x:c>
      <x:c r="L1414" s="13" t="n">
        <x:f>SUMIFS('Payments'!$D$5:$D$3014,'Payments'!$B$5:$B$3014,A1414)</x:f>
        <x:v>4809.51</x:v>
      </x:c>
      <x:c r="M1414" s="13" t="n">
        <x:f>G1414-L1414</x:f>
        <x:v>15014.44</x:v>
      </x:c>
      <x:c r="N1414" s="9" t="str">
        <x:f>IF(H1414=0,"0 Current",IF(H1414&lt;=30,"1 1-30",IF(H1414&lt;=60,"2 31-60",IF(H1414&lt;=90,"3 61-90",IF(H1414&lt;=120,"4 91-120","5 121+")))))</x:f>
        <x:v>5 121+</x:v>
      </x:c>
      <x:c r="O1414" s="9" t="n">
        <x:f>IF(J1414&gt;0,1,0)</x:f>
        <x:v>1</x:v>
      </x:c>
    </x:row>
    <x:row r="1415">
      <x:c r="A1415" s="15" t="str">
        <x:v>1411</x:v>
      </x:c>
      <x:c r="B1415" s="9" t="str">
        <x:v>Jordan</x:v>
      </x:c>
      <x:c r="C1415" s="9" t="str">
        <x:v>Personal Loan</x:v>
      </x:c>
      <x:c r="D1415" s="9" t="str">
        <x:v>West</x:v>
      </x:c>
      <x:c r="E1415" s="9" t="n">
        <x:v>799</x:v>
      </x:c>
      <x:c r="F1415" s="11" t="n">
        <x:v>46145</x:v>
      </x:c>
      <x:c r="G1415" s="13" t="n">
        <x:v>13268.98</x:v>
      </x:c>
      <x:c r="H1415" s="9" t="n">
        <x:v>193</x:v>
      </x:c>
      <x:c r="I1415" s="9" t="n">
        <x:v>0</x:v>
      </x:c>
      <x:c r="J1415" s="9" t="n">
        <x:v>0</x:v>
      </x:c>
      <x:c r="K1415" s="9" t="n">
        <x:v>0</x:v>
      </x:c>
      <x:c r="L1415" s="13" t="n">
        <x:f>SUMIFS('Payments'!$D$5:$D$3014,'Payments'!$B$5:$B$3014,A1415)</x:f>
        <x:v>1199.49</x:v>
      </x:c>
      <x:c r="M1415" s="13" t="n">
        <x:f>G1415-L1415</x:f>
        <x:v>12069.49</x:v>
      </x:c>
      <x:c r="N1415" s="9" t="str">
        <x:f>IF(H1415=0,"0 Current",IF(H1415&lt;=30,"1 1-30",IF(H1415&lt;=60,"2 31-60",IF(H1415&lt;=90,"3 61-90",IF(H1415&lt;=120,"4 91-120","5 121+")))))</x:f>
        <x:v>5 121+</x:v>
      </x:c>
      <x:c r="O1415" s="9" t="n">
        <x:f>IF(J1415&gt;0,1,0)</x:f>
        <x:v>0</x:v>
      </x:c>
    </x:row>
    <x:row r="1416">
      <x:c r="A1416" s="15" t="str">
        <x:v>1412</x:v>
      </x:c>
      <x:c r="B1416" s="9" t="str">
        <x:v>Morgan</x:v>
      </x:c>
      <x:c r="C1416" s="9" t="str">
        <x:v>Credit Card</x:v>
      </x:c>
      <x:c r="D1416" s="9" t="str">
        <x:v>Midwest</x:v>
      </x:c>
      <x:c r="E1416" s="9" t="n">
        <x:v>662</x:v>
      </x:c>
      <x:c r="F1416" s="11" t="n">
        <x:v>46129</x:v>
      </x:c>
      <x:c r="G1416" s="13" t="n">
        <x:v>6192.19</x:v>
      </x:c>
      <x:c r="H1416" s="9" t="n">
        <x:v>106</x:v>
      </x:c>
      <x:c r="I1416" s="9" t="n">
        <x:v>2</x:v>
      </x:c>
      <x:c r="J1416" s="9" t="n">
        <x:v>1</x:v>
      </x:c>
      <x:c r="K1416" s="9" t="n">
        <x:v>0</x:v>
      </x:c>
      <x:c r="L1416" s="13" t="n">
        <x:f>SUMIFS('Payments'!$D$5:$D$3014,'Payments'!$B$5:$B$3014,A1416)</x:f>
        <x:v>1376.53</x:v>
      </x:c>
      <x:c r="M1416" s="13" t="n">
        <x:f>G1416-L1416</x:f>
        <x:v>4815.66</x:v>
      </x:c>
      <x:c r="N1416" s="9" t="str">
        <x:f>IF(H1416=0,"0 Current",IF(H1416&lt;=30,"1 1-30",IF(H1416&lt;=60,"2 31-60",IF(H1416&lt;=90,"3 61-90",IF(H1416&lt;=120,"4 91-120","5 121+")))))</x:f>
        <x:v>4 91-120</x:v>
      </x:c>
      <x:c r="O1416" s="9" t="n">
        <x:f>IF(J1416&gt;0,1,0)</x:f>
        <x:v>1</x:v>
      </x:c>
    </x:row>
    <x:row r="1417">
      <x:c r="A1417" s="15" t="str">
        <x:v>1413</x:v>
      </x:c>
      <x:c r="B1417" s="9" t="str">
        <x:v>Morgan</x:v>
      </x:c>
      <x:c r="C1417" s="9" t="str">
        <x:v>Credit Card</x:v>
      </x:c>
      <x:c r="D1417" s="9" t="str">
        <x:v>Northeast</x:v>
      </x:c>
      <x:c r="E1417" s="9" t="n">
        <x:v>736</x:v>
      </x:c>
      <x:c r="F1417" s="11" t="n">
        <x:v>46131</x:v>
      </x:c>
      <x:c r="G1417" s="13" t="n">
        <x:v>7495.51</x:v>
      </x:c>
      <x:c r="H1417" s="9" t="n">
        <x:v>44</x:v>
      </x:c>
      <x:c r="I1417" s="9" t="n">
        <x:v>7</x:v>
      </x:c>
      <x:c r="J1417" s="9" t="n">
        <x:v>3</x:v>
      </x:c>
      <x:c r="K1417" s="9" t="n">
        <x:v>1</x:v>
      </x:c>
      <x:c r="L1417" s="13" t="n">
        <x:f>SUMIFS('Payments'!$D$5:$D$3014,'Payments'!$B$5:$B$3014,A1417)</x:f>
        <x:v>560.58</x:v>
      </x:c>
      <x:c r="M1417" s="13" t="n">
        <x:f>G1417-L1417</x:f>
        <x:v>6934.93</x:v>
      </x:c>
      <x:c r="N1417" s="9" t="str">
        <x:f>IF(H1417=0,"0 Current",IF(H1417&lt;=30,"1 1-30",IF(H1417&lt;=60,"2 31-60",IF(H1417&lt;=90,"3 61-90",IF(H1417&lt;=120,"4 91-120","5 121+")))))</x:f>
        <x:v>2 31-60</x:v>
      </x:c>
      <x:c r="O1417" s="9" t="n">
        <x:f>IF(J1417&gt;0,1,0)</x:f>
        <x:v>1</x:v>
      </x:c>
    </x:row>
    <x:row r="1418">
      <x:c r="A1418" s="15" t="str">
        <x:v>1414</x:v>
      </x:c>
      <x:c r="B1418" s="9" t="str">
        <x:v>Jordan</x:v>
      </x:c>
      <x:c r="C1418" s="9" t="str">
        <x:v>Personal Loan</x:v>
      </x:c>
      <x:c r="D1418" s="9" t="str">
        <x:v>Midwest</x:v>
      </x:c>
      <x:c r="E1418" s="9" t="n">
        <x:v>703</x:v>
      </x:c>
      <x:c r="F1418" s="11" t="n">
        <x:v>46038</x:v>
      </x:c>
      <x:c r="G1418" s="13" t="n">
        <x:v>13534.41</x:v>
      </x:c>
      <x:c r="H1418" s="9" t="n">
        <x:v>184</x:v>
      </x:c>
      <x:c r="I1418" s="9" t="n">
        <x:v>2</x:v>
      </x:c>
      <x:c r="J1418" s="9" t="n">
        <x:v>1</x:v>
      </x:c>
      <x:c r="K1418" s="9" t="n">
        <x:v>0</x:v>
      </x:c>
      <x:c r="L1418" s="13" t="n">
        <x:f>SUMIFS('Payments'!$D$5:$D$3014,'Payments'!$B$5:$B$3014,A1418)</x:f>
        <x:v>3655.8599999999997</x:v>
      </x:c>
      <x:c r="M1418" s="13" t="n">
        <x:f>G1418-L1418</x:f>
        <x:v>9878.55</x:v>
      </x:c>
      <x:c r="N1418" s="9" t="str">
        <x:f>IF(H1418=0,"0 Current",IF(H1418&lt;=30,"1 1-30",IF(H1418&lt;=60,"2 31-60",IF(H1418&lt;=90,"3 61-90",IF(H1418&lt;=120,"4 91-120","5 121+")))))</x:f>
        <x:v>5 121+</x:v>
      </x:c>
      <x:c r="O1418" s="9" t="n">
        <x:f>IF(J1418&gt;0,1,0)</x:f>
        <x:v>1</x:v>
      </x:c>
    </x:row>
    <x:row r="1419">
      <x:c r="A1419" s="15" t="str">
        <x:v>1415</x:v>
      </x:c>
      <x:c r="B1419" s="9" t="str">
        <x:v>Riley</x:v>
      </x:c>
      <x:c r="C1419" s="9" t="str">
        <x:v>Personal Loan</x:v>
      </x:c>
      <x:c r="D1419" s="9" t="str">
        <x:v>South</x:v>
      </x:c>
      <x:c r="E1419" s="9" t="n">
        <x:v>498</x:v>
      </x:c>
      <x:c r="F1419" s="11" t="n">
        <x:v>46158</x:v>
      </x:c>
      <x:c r="G1419" s="13" t="n">
        <x:v>23822.57</x:v>
      </x:c>
      <x:c r="H1419" s="9" t="n">
        <x:v>128</x:v>
      </x:c>
      <x:c r="I1419" s="9" t="n">
        <x:v>2</x:v>
      </x:c>
      <x:c r="J1419" s="9" t="n">
        <x:v>1</x:v>
      </x:c>
      <x:c r="K1419" s="9" t="n">
        <x:v>0</x:v>
      </x:c>
      <x:c r="L1419" s="13" t="n">
        <x:f>SUMIFS('Payments'!$D$5:$D$3014,'Payments'!$B$5:$B$3014,A1419)</x:f>
        <x:v>2023.84</x:v>
      </x:c>
      <x:c r="M1419" s="13" t="n">
        <x:f>G1419-L1419</x:f>
        <x:v>21798.73</x:v>
      </x:c>
      <x:c r="N1419" s="9" t="str">
        <x:f>IF(H1419=0,"0 Current",IF(H1419&lt;=30,"1 1-30",IF(H1419&lt;=60,"2 31-60",IF(H1419&lt;=90,"3 61-90",IF(H1419&lt;=120,"4 91-120","5 121+")))))</x:f>
        <x:v>5 121+</x:v>
      </x:c>
      <x:c r="O1419" s="9" t="n">
        <x:f>IF(J1419&gt;0,1,0)</x:f>
        <x:v>1</x:v>
      </x:c>
    </x:row>
    <x:row r="1420">
      <x:c r="A1420" s="15" t="str">
        <x:v>1416</x:v>
      </x:c>
      <x:c r="B1420" s="9" t="str">
        <x:v>Jordan</x:v>
      </x:c>
      <x:c r="C1420" s="9" t="str">
        <x:v>Medical</x:v>
      </x:c>
      <x:c r="D1420" s="9" t="str">
        <x:v>Midwest</x:v>
      </x:c>
      <x:c r="E1420" s="9" t="n">
        <x:v>624</x:v>
      </x:c>
      <x:c r="F1420" s="11" t="n">
        <x:v>46125</x:v>
      </x:c>
      <x:c r="G1420" s="13" t="n">
        <x:v>12989.79</x:v>
      </x:c>
      <x:c r="H1420" s="9" t="n">
        <x:v>141</x:v>
      </x:c>
      <x:c r="I1420" s="9" t="n">
        <x:v>3</x:v>
      </x:c>
      <x:c r="J1420" s="9" t="n">
        <x:v>1</x:v>
      </x:c>
      <x:c r="K1420" s="9" t="n">
        <x:v>0</x:v>
      </x:c>
      <x:c r="L1420" s="13" t="n">
        <x:f>SUMIFS('Payments'!$D$5:$D$3014,'Payments'!$B$5:$B$3014,A1420)</x:f>
        <x:v>632.71</x:v>
      </x:c>
      <x:c r="M1420" s="13" t="n">
        <x:f>G1420-L1420</x:f>
        <x:v>12357.080000000002</x:v>
      </x:c>
      <x:c r="N1420" s="9" t="str">
        <x:f>IF(H1420=0,"0 Current",IF(H1420&lt;=30,"1 1-30",IF(H1420&lt;=60,"2 31-60",IF(H1420&lt;=90,"3 61-90",IF(H1420&lt;=120,"4 91-120","5 121+")))))</x:f>
        <x:v>5 121+</x:v>
      </x:c>
      <x:c r="O1420" s="9" t="n">
        <x:f>IF(J1420&gt;0,1,0)</x:f>
        <x:v>1</x:v>
      </x:c>
    </x:row>
    <x:row r="1421">
      <x:c r="A1421" s="15" t="str">
        <x:v>1417</x:v>
      </x:c>
      <x:c r="B1421" s="9" t="str">
        <x:v>Alex</x:v>
      </x:c>
      <x:c r="C1421" s="9" t="str">
        <x:v>Personal Loan</x:v>
      </x:c>
      <x:c r="D1421" s="9" t="str">
        <x:v>Midwest</x:v>
      </x:c>
      <x:c r="E1421" s="9" t="n">
        <x:v>486</x:v>
      </x:c>
      <x:c r="F1421" s="11" t="n">
        <x:v>46070</x:v>
      </x:c>
      <x:c r="G1421" s="13" t="n">
        <x:v>3181.14</x:v>
      </x:c>
      <x:c r="H1421" s="9" t="n">
        <x:v>151</x:v>
      </x:c>
      <x:c r="I1421" s="9" t="n">
        <x:v>4</x:v>
      </x:c>
      <x:c r="J1421" s="9" t="n">
        <x:v>1</x:v>
      </x:c>
      <x:c r="K1421" s="9" t="n">
        <x:v>0</x:v>
      </x:c>
      <x:c r="L1421" s="13" t="n">
        <x:f>SUMIFS('Payments'!$D$5:$D$3014,'Payments'!$B$5:$B$3014,A1421)</x:f>
        <x:v>0</x:v>
      </x:c>
      <x:c r="M1421" s="13" t="n">
        <x:f>G1421-L1421</x:f>
        <x:v>3181.14</x:v>
      </x:c>
      <x:c r="N1421" s="9" t="str">
        <x:f>IF(H1421=0,"0 Current",IF(H1421&lt;=30,"1 1-30",IF(H1421&lt;=60,"2 31-60",IF(H1421&lt;=90,"3 61-90",IF(H1421&lt;=120,"4 91-120","5 121+")))))</x:f>
        <x:v>5 121+</x:v>
      </x:c>
      <x:c r="O1421" s="9" t="n">
        <x:f>IF(J1421&gt;0,1,0)</x:f>
        <x:v>1</x:v>
      </x:c>
    </x:row>
    <x:row r="1422">
      <x:c r="A1422" s="15" t="str">
        <x:v>1418</x:v>
      </x:c>
      <x:c r="B1422" s="9" t="str">
        <x:v>Alex</x:v>
      </x:c>
      <x:c r="C1422" s="9" t="str">
        <x:v>Medical</x:v>
      </x:c>
      <x:c r="D1422" s="9" t="str">
        <x:v>South</x:v>
      </x:c>
      <x:c r="E1422" s="9" t="n">
        <x:v>498</x:v>
      </x:c>
      <x:c r="F1422" s="11" t="n">
        <x:v>46118</x:v>
      </x:c>
      <x:c r="G1422" s="13" t="n">
        <x:v>9938.18</x:v>
      </x:c>
      <x:c r="H1422" s="9" t="n">
        <x:v>170</x:v>
      </x:c>
      <x:c r="I1422" s="9" t="n">
        <x:v>2</x:v>
      </x:c>
      <x:c r="J1422" s="9" t="n">
        <x:v>1</x:v>
      </x:c>
      <x:c r="K1422" s="9" t="n">
        <x:v>0</x:v>
      </x:c>
      <x:c r="L1422" s="13" t="n">
        <x:f>SUMIFS('Payments'!$D$5:$D$3014,'Payments'!$B$5:$B$3014,A1422)</x:f>
        <x:v>990.9200000000001</x:v>
      </x:c>
      <x:c r="M1422" s="13" t="n">
        <x:f>G1422-L1422</x:f>
        <x:v>8947.26</x:v>
      </x:c>
      <x:c r="N1422" s="9" t="str">
        <x:f>IF(H1422=0,"0 Current",IF(H1422&lt;=30,"1 1-30",IF(H1422&lt;=60,"2 31-60",IF(H1422&lt;=90,"3 61-90",IF(H1422&lt;=120,"4 91-120","5 121+")))))</x:f>
        <x:v>5 121+</x:v>
      </x:c>
      <x:c r="O1422" s="9" t="n">
        <x:f>IF(J1422&gt;0,1,0)</x:f>
        <x:v>1</x:v>
      </x:c>
    </x:row>
    <x:row r="1423">
      <x:c r="A1423" s="15" t="str">
        <x:v>1419</x:v>
      </x:c>
      <x:c r="B1423" s="9" t="str">
        <x:v>Alex</x:v>
      </x:c>
      <x:c r="C1423" s="9" t="str">
        <x:v>Medical</x:v>
      </x:c>
      <x:c r="D1423" s="9" t="str">
        <x:v>West</x:v>
      </x:c>
      <x:c r="E1423" s="9" t="n">
        <x:v>437</x:v>
      </x:c>
      <x:c r="F1423" s="11" t="n">
        <x:v>46122</x:v>
      </x:c>
      <x:c r="G1423" s="13" t="n">
        <x:v>14749.39</x:v>
      </x:c>
      <x:c r="H1423" s="9" t="n">
        <x:v>219</x:v>
      </x:c>
      <x:c r="I1423" s="9" t="n">
        <x:v>6</x:v>
      </x:c>
      <x:c r="J1423" s="9" t="n">
        <x:v>2</x:v>
      </x:c>
      <x:c r="K1423" s="9" t="n">
        <x:v>0</x:v>
      </x:c>
      <x:c r="L1423" s="13" t="n">
        <x:f>SUMIFS('Payments'!$D$5:$D$3014,'Payments'!$B$5:$B$3014,A1423)</x:f>
        <x:v>1344.92</x:v>
      </x:c>
      <x:c r="M1423" s="13" t="n">
        <x:f>G1423-L1423</x:f>
        <x:v>13404.47</x:v>
      </x:c>
      <x:c r="N1423" s="9" t="str">
        <x:f>IF(H1423=0,"0 Current",IF(H1423&lt;=30,"1 1-30",IF(H1423&lt;=60,"2 31-60",IF(H1423&lt;=90,"3 61-90",IF(H1423&lt;=120,"4 91-120","5 121+")))))</x:f>
        <x:v>5 121+</x:v>
      </x:c>
      <x:c r="O1423" s="9" t="n">
        <x:f>IF(J1423&gt;0,1,0)</x:f>
        <x:v>1</x:v>
      </x:c>
    </x:row>
    <x:row r="1424">
      <x:c r="A1424" s="15" t="str">
        <x:v>1420</x:v>
      </x:c>
      <x:c r="B1424" s="9" t="str">
        <x:v>Morgan</x:v>
      </x:c>
      <x:c r="C1424" s="9" t="str">
        <x:v>Auto</x:v>
      </x:c>
      <x:c r="D1424" s="9" t="str">
        <x:v>Northeast</x:v>
      </x:c>
      <x:c r="E1424" s="9" t="n">
        <x:v>726</x:v>
      </x:c>
      <x:c r="F1424" s="11" t="n">
        <x:v>46042</x:v>
      </x:c>
      <x:c r="G1424" s="13" t="n">
        <x:v>14016.69</x:v>
      </x:c>
      <x:c r="H1424" s="9" t="n">
        <x:v>111</x:v>
      </x:c>
      <x:c r="I1424" s="9" t="n">
        <x:v>7</x:v>
      </x:c>
      <x:c r="J1424" s="9" t="n">
        <x:v>2</x:v>
      </x:c>
      <x:c r="K1424" s="9" t="n">
        <x:v>0</x:v>
      </x:c>
      <x:c r="L1424" s="13" t="n">
        <x:f>SUMIFS('Payments'!$D$5:$D$3014,'Payments'!$B$5:$B$3014,A1424)</x:f>
        <x:v>2750.44</x:v>
      </x:c>
      <x:c r="M1424" s="13" t="n">
        <x:f>G1424-L1424</x:f>
        <x:v>11266.25</x:v>
      </x:c>
      <x:c r="N1424" s="9" t="str">
        <x:f>IF(H1424=0,"0 Current",IF(H1424&lt;=30,"1 1-30",IF(H1424&lt;=60,"2 31-60",IF(H1424&lt;=90,"3 61-90",IF(H1424&lt;=120,"4 91-120","5 121+")))))</x:f>
        <x:v>4 91-120</x:v>
      </x:c>
      <x:c r="O1424" s="9" t="n">
        <x:f>IF(J1424&gt;0,1,0)</x:f>
        <x:v>1</x:v>
      </x:c>
    </x:row>
    <x:row r="1425">
      <x:c r="A1425" s="15" t="str">
        <x:v>1421</x:v>
      </x:c>
      <x:c r="B1425" s="9" t="str">
        <x:v>Casey</x:v>
      </x:c>
      <x:c r="C1425" s="9" t="str">
        <x:v>Medical</x:v>
      </x:c>
      <x:c r="D1425" s="9" t="str">
        <x:v>Midwest</x:v>
      </x:c>
      <x:c r="E1425" s="9" t="n">
        <x:v>566</x:v>
      </x:c>
      <x:c r="F1425" s="11" t="n">
        <x:v>46068</x:v>
      </x:c>
      <x:c r="G1425" s="13" t="n">
        <x:v>746.55</x:v>
      </x:c>
      <x:c r="H1425" s="9" t="n">
        <x:v>143</x:v>
      </x:c>
      <x:c r="I1425" s="9" t="n">
        <x:v>5</x:v>
      </x:c>
      <x:c r="J1425" s="9" t="n">
        <x:v>1</x:v>
      </x:c>
      <x:c r="K1425" s="9" t="n">
        <x:v>0</x:v>
      </x:c>
      <x:c r="L1425" s="13" t="n">
        <x:f>SUMIFS('Payments'!$D$5:$D$3014,'Payments'!$B$5:$B$3014,A1425)</x:f>
        <x:v>95.38</x:v>
      </x:c>
      <x:c r="M1425" s="13" t="n">
        <x:f>G1425-L1425</x:f>
        <x:v>651.17</x:v>
      </x:c>
      <x:c r="N1425" s="9" t="str">
        <x:f>IF(H1425=0,"0 Current",IF(H1425&lt;=30,"1 1-30",IF(H1425&lt;=60,"2 31-60",IF(H1425&lt;=90,"3 61-90",IF(H1425&lt;=120,"4 91-120","5 121+")))))</x:f>
        <x:v>5 121+</x:v>
      </x:c>
      <x:c r="O1425" s="9" t="n">
        <x:f>IF(J1425&gt;0,1,0)</x:f>
        <x:v>1</x:v>
      </x:c>
    </x:row>
    <x:row r="1426">
      <x:c r="A1426" s="15" t="str">
        <x:v>1422</x:v>
      </x:c>
      <x:c r="B1426" s="9" t="str">
        <x:v>Riley</x:v>
      </x:c>
      <x:c r="C1426" s="9" t="str">
        <x:v>Medical</x:v>
      </x:c>
      <x:c r="D1426" s="9" t="str">
        <x:v>Northeast</x:v>
      </x:c>
      <x:c r="E1426" s="9" t="n">
        <x:v>811</x:v>
      </x:c>
      <x:c r="F1426" s="11" t="n">
        <x:v>46099</x:v>
      </x:c>
      <x:c r="G1426" s="13" t="n">
        <x:v>3385.99</x:v>
      </x:c>
      <x:c r="H1426" s="9" t="n">
        <x:v>201</x:v>
      </x:c>
      <x:c r="I1426" s="9" t="n">
        <x:v>8</x:v>
      </x:c>
      <x:c r="J1426" s="9" t="n">
        <x:v>0</x:v>
      </x:c>
      <x:c r="K1426" s="9" t="n">
        <x:v>0</x:v>
      </x:c>
      <x:c r="L1426" s="13" t="n">
        <x:f>SUMIFS('Payments'!$D$5:$D$3014,'Payments'!$B$5:$B$3014,A1426)</x:f>
        <x:v>497.58</x:v>
      </x:c>
      <x:c r="M1426" s="13" t="n">
        <x:f>G1426-L1426</x:f>
        <x:v>2888.41</x:v>
      </x:c>
      <x:c r="N1426" s="9" t="str">
        <x:f>IF(H1426=0,"0 Current",IF(H1426&lt;=30,"1 1-30",IF(H1426&lt;=60,"2 31-60",IF(H1426&lt;=90,"3 61-90",IF(H1426&lt;=120,"4 91-120","5 121+")))))</x:f>
        <x:v>5 121+</x:v>
      </x:c>
      <x:c r="O1426" s="9" t="n">
        <x:f>IF(J1426&gt;0,1,0)</x:f>
        <x:v>0</x:v>
      </x:c>
    </x:row>
    <x:row r="1427">
      <x:c r="A1427" s="15" t="str">
        <x:v>1423</x:v>
      </x:c>
      <x:c r="B1427" s="9" t="str">
        <x:v>Jordan</x:v>
      </x:c>
      <x:c r="C1427" s="9" t="str">
        <x:v>Medical</x:v>
      </x:c>
      <x:c r="D1427" s="9" t="str">
        <x:v>South</x:v>
      </x:c>
      <x:c r="E1427" s="9" t="n">
        <x:v>783</x:v>
      </x:c>
      <x:c r="F1427" s="11" t="n">
        <x:v>46163</x:v>
      </x:c>
      <x:c r="G1427" s="13" t="n">
        <x:v>7590.84</x:v>
      </x:c>
      <x:c r="H1427" s="9" t="n">
        <x:v>8</x:v>
      </x:c>
      <x:c r="I1427" s="9" t="n">
        <x:v>3</x:v>
      </x:c>
      <x:c r="J1427" s="9" t="n">
        <x:v>2</x:v>
      </x:c>
      <x:c r="K1427" s="9" t="n">
        <x:v>0</x:v>
      </x:c>
      <x:c r="L1427" s="13" t="n">
        <x:f>SUMIFS('Payments'!$D$5:$D$3014,'Payments'!$B$5:$B$3014,A1427)</x:f>
        <x:v>2699.75</x:v>
      </x:c>
      <x:c r="M1427" s="13" t="n">
        <x:f>G1427-L1427</x:f>
        <x:v>4891.09</x:v>
      </x:c>
      <x:c r="N1427" s="9" t="str">
        <x:f>IF(H1427=0,"0 Current",IF(H1427&lt;=30,"1 1-30",IF(H1427&lt;=60,"2 31-60",IF(H1427&lt;=90,"3 61-90",IF(H1427&lt;=120,"4 91-120","5 121+")))))</x:f>
        <x:v>1 1-30</x:v>
      </x:c>
      <x:c r="O1427" s="9" t="n">
        <x:f>IF(J1427&gt;0,1,0)</x:f>
        <x:v>1</x:v>
      </x:c>
    </x:row>
    <x:row r="1428">
      <x:c r="A1428" s="15" t="str">
        <x:v>1424</x:v>
      </x:c>
      <x:c r="B1428" s="9" t="str">
        <x:v>Taylor</x:v>
      </x:c>
      <x:c r="C1428" s="9" t="str">
        <x:v>Credit Card</x:v>
      </x:c>
      <x:c r="D1428" s="9" t="str">
        <x:v>South</x:v>
      </x:c>
      <x:c r="E1428" s="9" t="n">
        <x:v>451</x:v>
      </x:c>
      <x:c r="F1428" s="11" t="n">
        <x:v>46145</x:v>
      </x:c>
      <x:c r="G1428" s="13" t="n">
        <x:v>10798.4</x:v>
      </x:c>
      <x:c r="H1428" s="9" t="n">
        <x:v>119</x:v>
      </x:c>
      <x:c r="I1428" s="9" t="n">
        <x:v>0</x:v>
      </x:c>
      <x:c r="J1428" s="9" t="n">
        <x:v>0</x:v>
      </x:c>
      <x:c r="K1428" s="9" t="n">
        <x:v>0</x:v>
      </x:c>
      <x:c r="L1428" s="13" t="n">
        <x:f>SUMIFS('Payments'!$D$5:$D$3014,'Payments'!$B$5:$B$3014,A1428)</x:f>
        <x:v>3502.0200000000004</x:v>
      </x:c>
      <x:c r="M1428" s="13" t="n">
        <x:f>G1428-L1428</x:f>
        <x:v>7296.379999999999</x:v>
      </x:c>
      <x:c r="N1428" s="9" t="str">
        <x:f>IF(H1428=0,"0 Current",IF(H1428&lt;=30,"1 1-30",IF(H1428&lt;=60,"2 31-60",IF(H1428&lt;=90,"3 61-90",IF(H1428&lt;=120,"4 91-120","5 121+")))))</x:f>
        <x:v>4 91-120</x:v>
      </x:c>
      <x:c r="O1428" s="9" t="n">
        <x:f>IF(J1428&gt;0,1,0)</x:f>
        <x:v>0</x:v>
      </x:c>
    </x:row>
    <x:row r="1429">
      <x:c r="A1429" s="15" t="str">
        <x:v>1425</x:v>
      </x:c>
      <x:c r="B1429" s="9" t="str">
        <x:v>Alex</x:v>
      </x:c>
      <x:c r="C1429" s="9" t="str">
        <x:v>Credit Card</x:v>
      </x:c>
      <x:c r="D1429" s="9" t="str">
        <x:v>West</x:v>
      </x:c>
      <x:c r="E1429" s="9" t="n">
        <x:v>697</x:v>
      </x:c>
      <x:c r="F1429" s="11" t="n">
        <x:v>46113</x:v>
      </x:c>
      <x:c r="G1429" s="13" t="n">
        <x:v>5927.49</x:v>
      </x:c>
      <x:c r="H1429" s="9" t="n">
        <x:v>199</x:v>
      </x:c>
      <x:c r="I1429" s="9" t="n">
        <x:v>7</x:v>
      </x:c>
      <x:c r="J1429" s="9" t="n">
        <x:v>1</x:v>
      </x:c>
      <x:c r="K1429" s="9" t="n">
        <x:v>0</x:v>
      </x:c>
      <x:c r="L1429" s="13" t="n">
        <x:f>SUMIFS('Payments'!$D$5:$D$3014,'Payments'!$B$5:$B$3014,A1429)</x:f>
        <x:v>0</x:v>
      </x:c>
      <x:c r="M1429" s="13" t="n">
        <x:f>G1429-L1429</x:f>
        <x:v>5927.49</x:v>
      </x:c>
      <x:c r="N1429" s="9" t="str">
        <x:f>IF(H1429=0,"0 Current",IF(H1429&lt;=30,"1 1-30",IF(H1429&lt;=60,"2 31-60",IF(H1429&lt;=90,"3 61-90",IF(H1429&lt;=120,"4 91-120","5 121+")))))</x:f>
        <x:v>5 121+</x:v>
      </x:c>
      <x:c r="O1429" s="9" t="n">
        <x:f>IF(J1429&gt;0,1,0)</x:f>
        <x:v>1</x:v>
      </x:c>
    </x:row>
    <x:row r="1430">
      <x:c r="A1430" s="15" t="str">
        <x:v>1426</x:v>
      </x:c>
      <x:c r="B1430" s="9" t="str">
        <x:v>Jordan</x:v>
      </x:c>
      <x:c r="C1430" s="9" t="str">
        <x:v>Credit Card</x:v>
      </x:c>
      <x:c r="D1430" s="9" t="str">
        <x:v>Midwest</x:v>
      </x:c>
      <x:c r="E1430" s="9" t="n">
        <x:v>455</x:v>
      </x:c>
      <x:c r="F1430" s="11" t="n">
        <x:v>46024</x:v>
      </x:c>
      <x:c r="G1430" s="13" t="n">
        <x:v>22691.48</x:v>
      </x:c>
      <x:c r="H1430" s="9" t="n">
        <x:v>225</x:v>
      </x:c>
      <x:c r="I1430" s="9" t="n">
        <x:v>6</x:v>
      </x:c>
      <x:c r="J1430" s="9" t="n">
        <x:v>1</x:v>
      </x:c>
      <x:c r="K1430" s="9" t="n">
        <x:v>0</x:v>
      </x:c>
      <x:c r="L1430" s="13" t="n">
        <x:f>SUMIFS('Payments'!$D$5:$D$3014,'Payments'!$B$5:$B$3014,A1430)</x:f>
        <x:v>4804.75</x:v>
      </x:c>
      <x:c r="M1430" s="13" t="n">
        <x:f>G1430-L1430</x:f>
        <x:v>17886.73</x:v>
      </x:c>
      <x:c r="N1430" s="9" t="str">
        <x:f>IF(H1430=0,"0 Current",IF(H1430&lt;=30,"1 1-30",IF(H1430&lt;=60,"2 31-60",IF(H1430&lt;=90,"3 61-90",IF(H1430&lt;=120,"4 91-120","5 121+")))))</x:f>
        <x:v>5 121+</x:v>
      </x:c>
      <x:c r="O1430" s="9" t="n">
        <x:f>IF(J1430&gt;0,1,0)</x:f>
        <x:v>1</x:v>
      </x:c>
    </x:row>
    <x:row r="1431">
      <x:c r="A1431" s="15" t="str">
        <x:v>1427</x:v>
      </x:c>
      <x:c r="B1431" s="9" t="str">
        <x:v>Taylor</x:v>
      </x:c>
      <x:c r="C1431" s="9" t="str">
        <x:v>Auto</x:v>
      </x:c>
      <x:c r="D1431" s="9" t="str">
        <x:v>Northeast</x:v>
      </x:c>
      <x:c r="E1431" s="9" t="n">
        <x:v>564</x:v>
      </x:c>
      <x:c r="F1431" s="11" t="n">
        <x:v>46137</x:v>
      </x:c>
      <x:c r="G1431" s="13" t="n">
        <x:v>5379.19</x:v>
      </x:c>
      <x:c r="H1431" s="9" t="n">
        <x:v>192</x:v>
      </x:c>
      <x:c r="I1431" s="9" t="n">
        <x:v>5</x:v>
      </x:c>
      <x:c r="J1431" s="9" t="n">
        <x:v>2</x:v>
      </x:c>
      <x:c r="K1431" s="9" t="n">
        <x:v>1</x:v>
      </x:c>
      <x:c r="L1431" s="13" t="n">
        <x:f>SUMIFS('Payments'!$D$5:$D$3014,'Payments'!$B$5:$B$3014,A1431)</x:f>
        <x:v>567.91</x:v>
      </x:c>
      <x:c r="M1431" s="13" t="n">
        <x:f>G1431-L1431</x:f>
        <x:v>4811.28</x:v>
      </x:c>
      <x:c r="N1431" s="9" t="str">
        <x:f>IF(H1431=0,"0 Current",IF(H1431&lt;=30,"1 1-30",IF(H1431&lt;=60,"2 31-60",IF(H1431&lt;=90,"3 61-90",IF(H1431&lt;=120,"4 91-120","5 121+")))))</x:f>
        <x:v>5 121+</x:v>
      </x:c>
      <x:c r="O1431" s="9" t="n">
        <x:f>IF(J1431&gt;0,1,0)</x:f>
        <x:v>1</x:v>
      </x:c>
    </x:row>
    <x:row r="1432">
      <x:c r="A1432" s="15" t="str">
        <x:v>1428</x:v>
      </x:c>
      <x:c r="B1432" s="9" t="str">
        <x:v>Morgan</x:v>
      </x:c>
      <x:c r="C1432" s="9" t="str">
        <x:v>Medical</x:v>
      </x:c>
      <x:c r="D1432" s="9" t="str">
        <x:v>South</x:v>
      </x:c>
      <x:c r="E1432" s="9" t="n">
        <x:v>541</x:v>
      </x:c>
      <x:c r="F1432" s="11" t="n">
        <x:v>46149</x:v>
      </x:c>
      <x:c r="G1432" s="13" t="n">
        <x:v>9202.05</x:v>
      </x:c>
      <x:c r="H1432" s="9" t="n">
        <x:v>139</x:v>
      </x:c>
      <x:c r="I1432" s="9" t="n">
        <x:v>3</x:v>
      </x:c>
      <x:c r="J1432" s="9" t="n">
        <x:v>3</x:v>
      </x:c>
      <x:c r="K1432" s="9" t="n">
        <x:v>0</x:v>
      </x:c>
      <x:c r="L1432" s="13" t="n">
        <x:f>SUMIFS('Payments'!$D$5:$D$3014,'Payments'!$B$5:$B$3014,A1432)</x:f>
        <x:v>2058.87</x:v>
      </x:c>
      <x:c r="M1432" s="13" t="n">
        <x:f>G1432-L1432</x:f>
        <x:v>7143.179999999999</x:v>
      </x:c>
      <x:c r="N1432" s="9" t="str">
        <x:f>IF(H1432=0,"0 Current",IF(H1432&lt;=30,"1 1-30",IF(H1432&lt;=60,"2 31-60",IF(H1432&lt;=90,"3 61-90",IF(H1432&lt;=120,"4 91-120","5 121+")))))</x:f>
        <x:v>5 121+</x:v>
      </x:c>
      <x:c r="O1432" s="9" t="n">
        <x:f>IF(J1432&gt;0,1,0)</x:f>
        <x:v>1</x:v>
      </x:c>
    </x:row>
    <x:row r="1433">
      <x:c r="A1433" s="15" t="str">
        <x:v>1429</x:v>
      </x:c>
      <x:c r="B1433" s="9" t="str">
        <x:v>Jordan</x:v>
      </x:c>
      <x:c r="C1433" s="9" t="str">
        <x:v>Auto</x:v>
      </x:c>
      <x:c r="D1433" s="9" t="str">
        <x:v>Northeast</x:v>
      </x:c>
      <x:c r="E1433" s="9" t="n">
        <x:v>578</x:v>
      </x:c>
      <x:c r="F1433" s="11" t="n">
        <x:v>46040</x:v>
      </x:c>
      <x:c r="G1433" s="13" t="n">
        <x:v>13163.69</x:v>
      </x:c>
      <x:c r="H1433" s="9" t="n">
        <x:v>45</x:v>
      </x:c>
      <x:c r="I1433" s="9" t="n">
        <x:v>1</x:v>
      </x:c>
      <x:c r="J1433" s="9" t="n">
        <x:v>0</x:v>
      </x:c>
      <x:c r="K1433" s="9" t="n">
        <x:v>0</x:v>
      </x:c>
      <x:c r="L1433" s="13" t="n">
        <x:f>SUMIFS('Payments'!$D$5:$D$3014,'Payments'!$B$5:$B$3014,A1433)</x:f>
        <x:v>2492.91</x:v>
      </x:c>
      <x:c r="M1433" s="13" t="n">
        <x:f>G1433-L1433</x:f>
        <x:v>10670.78</x:v>
      </x:c>
      <x:c r="N1433" s="9" t="str">
        <x:f>IF(H1433=0,"0 Current",IF(H1433&lt;=30,"1 1-30",IF(H1433&lt;=60,"2 31-60",IF(H1433&lt;=90,"3 61-90",IF(H1433&lt;=120,"4 91-120","5 121+")))))</x:f>
        <x:v>2 31-60</x:v>
      </x:c>
      <x:c r="O1433" s="9" t="n">
        <x:f>IF(J1433&gt;0,1,0)</x:f>
        <x:v>0</x:v>
      </x:c>
    </x:row>
    <x:row r="1434">
      <x:c r="A1434" s="15" t="str">
        <x:v>1430</x:v>
      </x:c>
      <x:c r="B1434" s="9" t="str">
        <x:v>Casey</x:v>
      </x:c>
      <x:c r="C1434" s="9" t="str">
        <x:v>Personal Loan</x:v>
      </x:c>
      <x:c r="D1434" s="9" t="str">
        <x:v>Northeast</x:v>
      </x:c>
      <x:c r="E1434" s="9" t="n">
        <x:v>615</x:v>
      </x:c>
      <x:c r="F1434" s="11" t="n">
        <x:v>46047</x:v>
      </x:c>
      <x:c r="G1434" s="13" t="n">
        <x:v>13007</x:v>
      </x:c>
      <x:c r="H1434" s="9" t="n">
        <x:v>47</x:v>
      </x:c>
      <x:c r="I1434" s="9" t="n">
        <x:v>6</x:v>
      </x:c>
      <x:c r="J1434" s="9" t="n">
        <x:v>4</x:v>
      </x:c>
      <x:c r="K1434" s="9" t="n">
        <x:v>1</x:v>
      </x:c>
      <x:c r="L1434" s="13" t="n">
        <x:f>SUMIFS('Payments'!$D$5:$D$3014,'Payments'!$B$5:$B$3014,A1434)</x:f>
        <x:v>1655.91</x:v>
      </x:c>
      <x:c r="M1434" s="13" t="n">
        <x:f>G1434-L1434</x:f>
        <x:v>11351.09</x:v>
      </x:c>
      <x:c r="N1434" s="9" t="str">
        <x:f>IF(H1434=0,"0 Current",IF(H1434&lt;=30,"1 1-30",IF(H1434&lt;=60,"2 31-60",IF(H1434&lt;=90,"3 61-90",IF(H1434&lt;=120,"4 91-120","5 121+")))))</x:f>
        <x:v>2 31-60</x:v>
      </x:c>
      <x:c r="O1434" s="9" t="n">
        <x:f>IF(J1434&gt;0,1,0)</x:f>
        <x:v>1</x:v>
      </x:c>
    </x:row>
    <x:row r="1435">
      <x:c r="A1435" s="15" t="str">
        <x:v>1431</x:v>
      </x:c>
      <x:c r="B1435" s="9" t="str">
        <x:v>Morgan</x:v>
      </x:c>
      <x:c r="C1435" s="9" t="str">
        <x:v>Medical</x:v>
      </x:c>
      <x:c r="D1435" s="9" t="str">
        <x:v>Midwest</x:v>
      </x:c>
      <x:c r="E1435" s="9" t="n">
        <x:v>813</x:v>
      </x:c>
      <x:c r="F1435" s="11" t="n">
        <x:v>46122</x:v>
      </x:c>
      <x:c r="G1435" s="13" t="n">
        <x:v>21912.5</x:v>
      </x:c>
      <x:c r="H1435" s="9" t="n">
        <x:v>96</x:v>
      </x:c>
      <x:c r="I1435" s="9" t="n">
        <x:v>3</x:v>
      </x:c>
      <x:c r="J1435" s="9" t="n">
        <x:v>3</x:v>
      </x:c>
      <x:c r="K1435" s="9" t="n">
        <x:v>1</x:v>
      </x:c>
      <x:c r="L1435" s="13" t="n">
        <x:f>SUMIFS('Payments'!$D$5:$D$3014,'Payments'!$B$5:$B$3014,A1435)</x:f>
        <x:v>3748.58</x:v>
      </x:c>
      <x:c r="M1435" s="13" t="n">
        <x:f>G1435-L1435</x:f>
        <x:v>18163.92</x:v>
      </x:c>
      <x:c r="N1435" s="9" t="str">
        <x:f>IF(H1435=0,"0 Current",IF(H1435&lt;=30,"1 1-30",IF(H1435&lt;=60,"2 31-60",IF(H1435&lt;=90,"3 61-90",IF(H1435&lt;=120,"4 91-120","5 121+")))))</x:f>
        <x:v>4 91-120</x:v>
      </x:c>
      <x:c r="O1435" s="9" t="n">
        <x:f>IF(J1435&gt;0,1,0)</x:f>
        <x:v>1</x:v>
      </x:c>
    </x:row>
    <x:row r="1436">
      <x:c r="A1436" s="15" t="str">
        <x:v>1432</x:v>
      </x:c>
      <x:c r="B1436" s="9" t="str">
        <x:v>Morgan</x:v>
      </x:c>
      <x:c r="C1436" s="9" t="str">
        <x:v>Auto</x:v>
      </x:c>
      <x:c r="D1436" s="9" t="str">
        <x:v>West</x:v>
      </x:c>
      <x:c r="E1436" s="9" t="n">
        <x:v>792</x:v>
      </x:c>
      <x:c r="F1436" s="11" t="n">
        <x:v>46052</x:v>
      </x:c>
      <x:c r="G1436" s="13" t="n">
        <x:v>7532.47</x:v>
      </x:c>
      <x:c r="H1436" s="9" t="n">
        <x:v>84</x:v>
      </x:c>
      <x:c r="I1436" s="9" t="n">
        <x:v>1</x:v>
      </x:c>
      <x:c r="J1436" s="9" t="n">
        <x:v>0</x:v>
      </x:c>
      <x:c r="K1436" s="9" t="n">
        <x:v>0</x:v>
      </x:c>
      <x:c r="L1436" s="13" t="n">
        <x:f>SUMIFS('Payments'!$D$5:$D$3014,'Payments'!$B$5:$B$3014,A1436)</x:f>
        <x:v>1257.39</x:v>
      </x:c>
      <x:c r="M1436" s="13" t="n">
        <x:f>G1436-L1436</x:f>
        <x:v>6275.08</x:v>
      </x:c>
      <x:c r="N1436" s="9" t="str">
        <x:f>IF(H1436=0,"0 Current",IF(H1436&lt;=30,"1 1-30",IF(H1436&lt;=60,"2 31-60",IF(H1436&lt;=90,"3 61-90",IF(H1436&lt;=120,"4 91-120","5 121+")))))</x:f>
        <x:v>3 61-90</x:v>
      </x:c>
      <x:c r="O1436" s="9" t="n">
        <x:f>IF(J1436&gt;0,1,0)</x:f>
        <x:v>0</x:v>
      </x:c>
    </x:row>
    <x:row r="1437">
      <x:c r="A1437" s="15" t="str">
        <x:v>1433</x:v>
      </x:c>
      <x:c r="B1437" s="9" t="str">
        <x:v>Riley</x:v>
      </x:c>
      <x:c r="C1437" s="9" t="str">
        <x:v>Personal Loan</x:v>
      </x:c>
      <x:c r="D1437" s="9" t="str">
        <x:v>West</x:v>
      </x:c>
      <x:c r="E1437" s="9" t="n">
        <x:v>549</x:v>
      </x:c>
      <x:c r="F1437" s="11" t="n">
        <x:v>46066</x:v>
      </x:c>
      <x:c r="G1437" s="13" t="n">
        <x:v>5880.55</x:v>
      </x:c>
      <x:c r="H1437" s="9" t="n">
        <x:v>122</x:v>
      </x:c>
      <x:c r="I1437" s="9" t="n">
        <x:v>8</x:v>
      </x:c>
      <x:c r="J1437" s="9" t="n">
        <x:v>4</x:v>
      </x:c>
      <x:c r="K1437" s="9" t="n">
        <x:v>0</x:v>
      </x:c>
      <x:c r="L1437" s="13" t="n">
        <x:f>SUMIFS('Payments'!$D$5:$D$3014,'Payments'!$B$5:$B$3014,A1437)</x:f>
        <x:v>0</x:v>
      </x:c>
      <x:c r="M1437" s="13" t="n">
        <x:f>G1437-L1437</x:f>
        <x:v>5880.55</x:v>
      </x:c>
      <x:c r="N1437" s="9" t="str">
        <x:f>IF(H1437=0,"0 Current",IF(H1437&lt;=30,"1 1-30",IF(H1437&lt;=60,"2 31-60",IF(H1437&lt;=90,"3 61-90",IF(H1437&lt;=120,"4 91-120","5 121+")))))</x:f>
        <x:v>5 121+</x:v>
      </x:c>
      <x:c r="O1437" s="9" t="n">
        <x:f>IF(J1437&gt;0,1,0)</x:f>
        <x:v>1</x:v>
      </x:c>
    </x:row>
    <x:row r="1438">
      <x:c r="A1438" s="15" t="str">
        <x:v>1434</x:v>
      </x:c>
      <x:c r="B1438" s="9" t="str">
        <x:v>Casey</x:v>
      </x:c>
      <x:c r="C1438" s="9" t="str">
        <x:v>Credit Card</x:v>
      </x:c>
      <x:c r="D1438" s="9" t="str">
        <x:v>West</x:v>
      </x:c>
      <x:c r="E1438" s="9" t="n">
        <x:v>733</x:v>
      </x:c>
      <x:c r="F1438" s="11" t="n">
        <x:v>46037</x:v>
      </x:c>
      <x:c r="G1438" s="13" t="n">
        <x:v>13742.41</x:v>
      </x:c>
      <x:c r="H1438" s="9" t="n">
        <x:v>125</x:v>
      </x:c>
      <x:c r="I1438" s="9" t="n">
        <x:v>1</x:v>
      </x:c>
      <x:c r="J1438" s="9" t="n">
        <x:v>0</x:v>
      </x:c>
      <x:c r="K1438" s="9" t="n">
        <x:v>0</x:v>
      </x:c>
      <x:c r="L1438" s="13" t="n">
        <x:f>SUMIFS('Payments'!$D$5:$D$3014,'Payments'!$B$5:$B$3014,A1438)</x:f>
        <x:v>0</x:v>
      </x:c>
      <x:c r="M1438" s="13" t="n">
        <x:f>G1438-L1438</x:f>
        <x:v>13742.41</x:v>
      </x:c>
      <x:c r="N1438" s="9" t="str">
        <x:f>IF(H1438=0,"0 Current",IF(H1438&lt;=30,"1 1-30",IF(H1438&lt;=60,"2 31-60",IF(H1438&lt;=90,"3 61-90",IF(H1438&lt;=120,"4 91-120","5 121+")))))</x:f>
        <x:v>5 121+</x:v>
      </x:c>
      <x:c r="O1438" s="9" t="n">
        <x:f>IF(J1438&gt;0,1,0)</x:f>
        <x:v>0</x:v>
      </x:c>
    </x:row>
    <x:row r="1439">
      <x:c r="A1439" s="15" t="str">
        <x:v>1435</x:v>
      </x:c>
      <x:c r="B1439" s="9" t="str">
        <x:v>Morgan</x:v>
      </x:c>
      <x:c r="C1439" s="9" t="str">
        <x:v>Credit Card</x:v>
      </x:c>
      <x:c r="D1439" s="9" t="str">
        <x:v>West</x:v>
      </x:c>
      <x:c r="E1439" s="9" t="n">
        <x:v>509</x:v>
      </x:c>
      <x:c r="F1439" s="11" t="n">
        <x:v>46127</x:v>
      </x:c>
      <x:c r="G1439" s="13" t="n">
        <x:v>14582.44</x:v>
      </x:c>
      <x:c r="H1439" s="9" t="n">
        <x:v>141</x:v>
      </x:c>
      <x:c r="I1439" s="9" t="n">
        <x:v>6</x:v>
      </x:c>
      <x:c r="J1439" s="9" t="n">
        <x:v>3</x:v>
      </x:c>
      <x:c r="K1439" s="9" t="n">
        <x:v>1</x:v>
      </x:c>
      <x:c r="L1439" s="13" t="n">
        <x:f>SUMIFS('Payments'!$D$5:$D$3014,'Payments'!$B$5:$B$3014,A1439)</x:f>
        <x:v>2221.49</x:v>
      </x:c>
      <x:c r="M1439" s="13" t="n">
        <x:f>G1439-L1439</x:f>
        <x:v>12360.95</x:v>
      </x:c>
      <x:c r="N1439" s="9" t="str">
        <x:f>IF(H1439=0,"0 Current",IF(H1439&lt;=30,"1 1-30",IF(H1439&lt;=60,"2 31-60",IF(H1439&lt;=90,"3 61-90",IF(H1439&lt;=120,"4 91-120","5 121+")))))</x:f>
        <x:v>5 121+</x:v>
      </x:c>
      <x:c r="O1439" s="9" t="n">
        <x:f>IF(J1439&gt;0,1,0)</x:f>
        <x:v>1</x:v>
      </x:c>
    </x:row>
    <x:row r="1440">
      <x:c r="A1440" s="15" t="str">
        <x:v>1436</x:v>
      </x:c>
      <x:c r="B1440" s="9" t="str">
        <x:v>Morgan</x:v>
      </x:c>
      <x:c r="C1440" s="9" t="str">
        <x:v>Auto</x:v>
      </x:c>
      <x:c r="D1440" s="9" t="str">
        <x:v>West</x:v>
      </x:c>
      <x:c r="E1440" s="9" t="n">
        <x:v>466</x:v>
      </x:c>
      <x:c r="F1440" s="11" t="n">
        <x:v>46129</x:v>
      </x:c>
      <x:c r="G1440" s="13" t="n">
        <x:v>4835.05</x:v>
      </x:c>
      <x:c r="H1440" s="9" t="n">
        <x:v>55</x:v>
      </x:c>
      <x:c r="I1440" s="9" t="n">
        <x:v>8</x:v>
      </x:c>
      <x:c r="J1440" s="9" t="n">
        <x:v>4</x:v>
      </x:c>
      <x:c r="K1440" s="9" t="n">
        <x:v>1</x:v>
      </x:c>
      <x:c r="L1440" s="13" t="n">
        <x:f>SUMIFS('Payments'!$D$5:$D$3014,'Payments'!$B$5:$B$3014,A1440)</x:f>
        <x:v>820.05</x:v>
      </x:c>
      <x:c r="M1440" s="13" t="n">
        <x:f>G1440-L1440</x:f>
        <x:v>4015</x:v>
      </x:c>
      <x:c r="N1440" s="9" t="str">
        <x:f>IF(H1440=0,"0 Current",IF(H1440&lt;=30,"1 1-30",IF(H1440&lt;=60,"2 31-60",IF(H1440&lt;=90,"3 61-90",IF(H1440&lt;=120,"4 91-120","5 121+")))))</x:f>
        <x:v>2 31-60</x:v>
      </x:c>
      <x:c r="O1440" s="9" t="n">
        <x:f>IF(J1440&gt;0,1,0)</x:f>
        <x:v>1</x:v>
      </x:c>
    </x:row>
    <x:row r="1441">
      <x:c r="A1441" s="15" t="str">
        <x:v>1437</x:v>
      </x:c>
      <x:c r="B1441" s="9" t="str">
        <x:v>Morgan</x:v>
      </x:c>
      <x:c r="C1441" s="9" t="str">
        <x:v>Medical</x:v>
      </x:c>
      <x:c r="D1441" s="9" t="str">
        <x:v>Northeast</x:v>
      </x:c>
      <x:c r="E1441" s="9" t="n">
        <x:v>575</x:v>
      </x:c>
      <x:c r="F1441" s="11" t="n">
        <x:v>46079</x:v>
      </x:c>
      <x:c r="G1441" s="13" t="n">
        <x:v>8656.66</x:v>
      </x:c>
      <x:c r="H1441" s="9" t="n">
        <x:v>19</x:v>
      </x:c>
      <x:c r="I1441" s="9" t="n">
        <x:v>0</x:v>
      </x:c>
      <x:c r="J1441" s="9" t="n">
        <x:v>0</x:v>
      </x:c>
      <x:c r="K1441" s="9" t="n">
        <x:v>0</x:v>
      </x:c>
      <x:c r="L1441" s="13" t="n">
        <x:f>SUMIFS('Payments'!$D$5:$D$3014,'Payments'!$B$5:$B$3014,A1441)</x:f>
        <x:v>1876.21</x:v>
      </x:c>
      <x:c r="M1441" s="13" t="n">
        <x:f>G1441-L1441</x:f>
        <x:v>6780.45</x:v>
      </x:c>
      <x:c r="N1441" s="9" t="str">
        <x:f>IF(H1441=0,"0 Current",IF(H1441&lt;=30,"1 1-30",IF(H1441&lt;=60,"2 31-60",IF(H1441&lt;=90,"3 61-90",IF(H1441&lt;=120,"4 91-120","5 121+")))))</x:f>
        <x:v>1 1-30</x:v>
      </x:c>
      <x:c r="O1441" s="9" t="n">
        <x:f>IF(J1441&gt;0,1,0)</x:f>
        <x:v>0</x:v>
      </x:c>
    </x:row>
    <x:row r="1442">
      <x:c r="A1442" s="15" t="str">
        <x:v>1438</x:v>
      </x:c>
      <x:c r="B1442" s="9" t="str">
        <x:v>Taylor</x:v>
      </x:c>
      <x:c r="C1442" s="9" t="str">
        <x:v>Medical</x:v>
      </x:c>
      <x:c r="D1442" s="9" t="str">
        <x:v>West</x:v>
      </x:c>
      <x:c r="E1442" s="9" t="n">
        <x:v>793</x:v>
      </x:c>
      <x:c r="F1442" s="11" t="n">
        <x:v>46034</x:v>
      </x:c>
      <x:c r="G1442" s="13" t="n">
        <x:v>13522.15</x:v>
      </x:c>
      <x:c r="H1442" s="9" t="n">
        <x:v>121</x:v>
      </x:c>
      <x:c r="I1442" s="9" t="n">
        <x:v>4</x:v>
      </x:c>
      <x:c r="J1442" s="9" t="n">
        <x:v>2</x:v>
      </x:c>
      <x:c r="K1442" s="9" t="n">
        <x:v>0</x:v>
      </x:c>
      <x:c r="L1442" s="13" t="n">
        <x:f>SUMIFS('Payments'!$D$5:$D$3014,'Payments'!$B$5:$B$3014,A1442)</x:f>
        <x:v>1586.47</x:v>
      </x:c>
      <x:c r="M1442" s="13" t="n">
        <x:f>G1442-L1442</x:f>
        <x:v>11935.68</x:v>
      </x:c>
      <x:c r="N1442" s="9" t="str">
        <x:f>IF(H1442=0,"0 Current",IF(H1442&lt;=30,"1 1-30",IF(H1442&lt;=60,"2 31-60",IF(H1442&lt;=90,"3 61-90",IF(H1442&lt;=120,"4 91-120","5 121+")))))</x:f>
        <x:v>5 121+</x:v>
      </x:c>
      <x:c r="O1442" s="9" t="n">
        <x:f>IF(J1442&gt;0,1,0)</x:f>
        <x:v>1</x:v>
      </x:c>
    </x:row>
    <x:row r="1443">
      <x:c r="A1443" s="15" t="str">
        <x:v>1439</x:v>
      </x:c>
      <x:c r="B1443" s="9" t="str">
        <x:v>Casey</x:v>
      </x:c>
      <x:c r="C1443" s="9" t="str">
        <x:v>Personal Loan</x:v>
      </x:c>
      <x:c r="D1443" s="9" t="str">
        <x:v>South</x:v>
      </x:c>
      <x:c r="E1443" s="9" t="n">
        <x:v>507</x:v>
      </x:c>
      <x:c r="F1443" s="11" t="n">
        <x:v>46163</x:v>
      </x:c>
      <x:c r="G1443" s="13" t="n">
        <x:v>5686.77</x:v>
      </x:c>
      <x:c r="H1443" s="9" t="n">
        <x:v>187</x:v>
      </x:c>
      <x:c r="I1443" s="9" t="n">
        <x:v>5</x:v>
      </x:c>
      <x:c r="J1443" s="9" t="n">
        <x:v>2</x:v>
      </x:c>
      <x:c r="K1443" s="9" t="n">
        <x:v>0</x:v>
      </x:c>
      <x:c r="L1443" s="13" t="n">
        <x:f>SUMIFS('Payments'!$D$5:$D$3014,'Payments'!$B$5:$B$3014,A1443)</x:f>
        <x:v>212.01</x:v>
      </x:c>
      <x:c r="M1443" s="13" t="n">
        <x:f>G1443-L1443</x:f>
        <x:v>5474.76</x:v>
      </x:c>
      <x:c r="N1443" s="9" t="str">
        <x:f>IF(H1443=0,"0 Current",IF(H1443&lt;=30,"1 1-30",IF(H1443&lt;=60,"2 31-60",IF(H1443&lt;=90,"3 61-90",IF(H1443&lt;=120,"4 91-120","5 121+")))))</x:f>
        <x:v>5 121+</x:v>
      </x:c>
      <x:c r="O1443" s="9" t="n">
        <x:f>IF(J1443&gt;0,1,0)</x:f>
        <x:v>1</x:v>
      </x:c>
    </x:row>
    <x:row r="1444">
      <x:c r="A1444" s="15" t="str">
        <x:v>1440</x:v>
      </x:c>
      <x:c r="B1444" s="9" t="str">
        <x:v>Morgan</x:v>
      </x:c>
      <x:c r="C1444" s="9" t="str">
        <x:v>Credit Card</x:v>
      </x:c>
      <x:c r="D1444" s="9" t="str">
        <x:v>Midwest</x:v>
      </x:c>
      <x:c r="E1444" s="9" t="n">
        <x:v>552</x:v>
      </x:c>
      <x:c r="F1444" s="11" t="n">
        <x:v>46088</x:v>
      </x:c>
      <x:c r="G1444" s="13" t="n">
        <x:v>21200.19</x:v>
      </x:c>
      <x:c r="H1444" s="9" t="n">
        <x:v>209</x:v>
      </x:c>
      <x:c r="I1444" s="9" t="n">
        <x:v>0</x:v>
      </x:c>
      <x:c r="J1444" s="9" t="n">
        <x:v>0</x:v>
      </x:c>
      <x:c r="K1444" s="9" t="n">
        <x:v>0</x:v>
      </x:c>
      <x:c r="L1444" s="13" t="n">
        <x:f>SUMIFS('Payments'!$D$5:$D$3014,'Payments'!$B$5:$B$3014,A1444)</x:f>
        <x:v>994.97</x:v>
      </x:c>
      <x:c r="M1444" s="13" t="n">
        <x:f>G1444-L1444</x:f>
        <x:v>20205.219999999998</x:v>
      </x:c>
      <x:c r="N1444" s="9" t="str">
        <x:f>IF(H1444=0,"0 Current",IF(H1444&lt;=30,"1 1-30",IF(H1444&lt;=60,"2 31-60",IF(H1444&lt;=90,"3 61-90",IF(H1444&lt;=120,"4 91-120","5 121+")))))</x:f>
        <x:v>5 121+</x:v>
      </x:c>
      <x:c r="O1444" s="9" t="n">
        <x:f>IF(J1444&gt;0,1,0)</x:f>
        <x:v>0</x:v>
      </x:c>
    </x:row>
    <x:row r="1445">
      <x:c r="A1445" s="15" t="str">
        <x:v>1441</x:v>
      </x:c>
      <x:c r="B1445" s="9" t="str">
        <x:v>Morgan</x:v>
      </x:c>
      <x:c r="C1445" s="9" t="str">
        <x:v>Personal Loan</x:v>
      </x:c>
      <x:c r="D1445" s="9" t="str">
        <x:v>Northeast</x:v>
      </x:c>
      <x:c r="E1445" s="9" t="n">
        <x:v>524</x:v>
      </x:c>
      <x:c r="F1445" s="11" t="n">
        <x:v>46054</x:v>
      </x:c>
      <x:c r="G1445" s="13" t="n">
        <x:v>23233.12</x:v>
      </x:c>
      <x:c r="H1445" s="9" t="n">
        <x:v>91</x:v>
      </x:c>
      <x:c r="I1445" s="9" t="n">
        <x:v>3</x:v>
      </x:c>
      <x:c r="J1445" s="9" t="n">
        <x:v>1</x:v>
      </x:c>
      <x:c r="K1445" s="9" t="n">
        <x:v>0</x:v>
      </x:c>
      <x:c r="L1445" s="13" t="n">
        <x:f>SUMIFS('Payments'!$D$5:$D$3014,'Payments'!$B$5:$B$3014,A1445)</x:f>
        <x:v>1851.6299999999999</x:v>
      </x:c>
      <x:c r="M1445" s="13" t="n">
        <x:f>G1445-L1445</x:f>
        <x:v>21381.489999999998</x:v>
      </x:c>
      <x:c r="N1445" s="9" t="str">
        <x:f>IF(H1445=0,"0 Current",IF(H1445&lt;=30,"1 1-30",IF(H1445&lt;=60,"2 31-60",IF(H1445&lt;=90,"3 61-90",IF(H1445&lt;=120,"4 91-120","5 121+")))))</x:f>
        <x:v>4 91-120</x:v>
      </x:c>
      <x:c r="O1445" s="9" t="n">
        <x:f>IF(J1445&gt;0,1,0)</x:f>
        <x:v>1</x:v>
      </x:c>
    </x:row>
    <x:row r="1446">
      <x:c r="A1446" s="15" t="str">
        <x:v>1442</x:v>
      </x:c>
      <x:c r="B1446" s="9" t="str">
        <x:v>Riley</x:v>
      </x:c>
      <x:c r="C1446" s="9" t="str">
        <x:v>Credit Card</x:v>
      </x:c>
      <x:c r="D1446" s="9" t="str">
        <x:v>Midwest</x:v>
      </x:c>
      <x:c r="E1446" s="9" t="n">
        <x:v>713</x:v>
      </x:c>
      <x:c r="F1446" s="11" t="n">
        <x:v>46143</x:v>
      </x:c>
      <x:c r="G1446" s="13" t="n">
        <x:v>17274.81</x:v>
      </x:c>
      <x:c r="H1446" s="9" t="n">
        <x:v>166</x:v>
      </x:c>
      <x:c r="I1446" s="9" t="n">
        <x:v>8</x:v>
      </x:c>
      <x:c r="J1446" s="9" t="n">
        <x:v>3</x:v>
      </x:c>
      <x:c r="K1446" s="9" t="n">
        <x:v>1</x:v>
      </x:c>
      <x:c r="L1446" s="13" t="n">
        <x:f>SUMIFS('Payments'!$D$5:$D$3014,'Payments'!$B$5:$B$3014,A1446)</x:f>
        <x:v>5914.29</x:v>
      </x:c>
      <x:c r="M1446" s="13" t="n">
        <x:f>G1446-L1446</x:f>
        <x:v>11360.52</x:v>
      </x:c>
      <x:c r="N1446" s="9" t="str">
        <x:f>IF(H1446=0,"0 Current",IF(H1446&lt;=30,"1 1-30",IF(H1446&lt;=60,"2 31-60",IF(H1446&lt;=90,"3 61-90",IF(H1446&lt;=120,"4 91-120","5 121+")))))</x:f>
        <x:v>5 121+</x:v>
      </x:c>
      <x:c r="O1446" s="9" t="n">
        <x:f>IF(J1446&gt;0,1,0)</x:f>
        <x:v>1</x:v>
      </x:c>
    </x:row>
    <x:row r="1447">
      <x:c r="A1447" s="15" t="str">
        <x:v>1443</x:v>
      </x:c>
      <x:c r="B1447" s="9" t="str">
        <x:v>Morgan</x:v>
      </x:c>
      <x:c r="C1447" s="9" t="str">
        <x:v>Credit Card</x:v>
      </x:c>
      <x:c r="D1447" s="9" t="str">
        <x:v>Midwest</x:v>
      </x:c>
      <x:c r="E1447" s="9" t="n">
        <x:v>739</x:v>
      </x:c>
      <x:c r="F1447" s="11" t="n">
        <x:v>46046</x:v>
      </x:c>
      <x:c r="G1447" s="13" t="n">
        <x:v>18054.71</x:v>
      </x:c>
      <x:c r="H1447" s="9" t="n">
        <x:v>17</x:v>
      </x:c>
      <x:c r="I1447" s="9" t="n">
        <x:v>3</x:v>
      </x:c>
      <x:c r="J1447" s="9" t="n">
        <x:v>1</x:v>
      </x:c>
      <x:c r="K1447" s="9" t="n">
        <x:v>0</x:v>
      </x:c>
      <x:c r="L1447" s="13" t="n">
        <x:f>SUMIFS('Payments'!$D$5:$D$3014,'Payments'!$B$5:$B$3014,A1447)</x:f>
        <x:v>575.68</x:v>
      </x:c>
      <x:c r="M1447" s="13" t="n">
        <x:f>G1447-L1447</x:f>
        <x:v>17479.03</x:v>
      </x:c>
      <x:c r="N1447" s="9" t="str">
        <x:f>IF(H1447=0,"0 Current",IF(H1447&lt;=30,"1 1-30",IF(H1447&lt;=60,"2 31-60",IF(H1447&lt;=90,"3 61-90",IF(H1447&lt;=120,"4 91-120","5 121+")))))</x:f>
        <x:v>1 1-30</x:v>
      </x:c>
      <x:c r="O1447" s="9" t="n">
        <x:f>IF(J1447&gt;0,1,0)</x:f>
        <x:v>1</x:v>
      </x:c>
    </x:row>
    <x:row r="1448">
      <x:c r="A1448" s="15" t="str">
        <x:v>1444</x:v>
      </x:c>
      <x:c r="B1448" s="9" t="str">
        <x:v>Alex</x:v>
      </x:c>
      <x:c r="C1448" s="9" t="str">
        <x:v>Personal Loan</x:v>
      </x:c>
      <x:c r="D1448" s="9" t="str">
        <x:v>Midwest</x:v>
      </x:c>
      <x:c r="E1448" s="9" t="n">
        <x:v>704</x:v>
      </x:c>
      <x:c r="F1448" s="11" t="n">
        <x:v>46080</x:v>
      </x:c>
      <x:c r="G1448" s="13" t="n">
        <x:v>12820.1</x:v>
      </x:c>
      <x:c r="H1448" s="9" t="n">
        <x:v>33</x:v>
      </x:c>
      <x:c r="I1448" s="9" t="n">
        <x:v>4</x:v>
      </x:c>
      <x:c r="J1448" s="9" t="n">
        <x:v>4</x:v>
      </x:c>
      <x:c r="K1448" s="9" t="n">
        <x:v>0</x:v>
      </x:c>
      <x:c r="L1448" s="13" t="n">
        <x:f>SUMIFS('Payments'!$D$5:$D$3014,'Payments'!$B$5:$B$3014,A1448)</x:f>
        <x:v>457.57</x:v>
      </x:c>
      <x:c r="M1448" s="13" t="n">
        <x:f>G1448-L1448</x:f>
        <x:v>12362.53</x:v>
      </x:c>
      <x:c r="N1448" s="9" t="str">
        <x:f>IF(H1448=0,"0 Current",IF(H1448&lt;=30,"1 1-30",IF(H1448&lt;=60,"2 31-60",IF(H1448&lt;=90,"3 61-90",IF(H1448&lt;=120,"4 91-120","5 121+")))))</x:f>
        <x:v>2 31-60</x:v>
      </x:c>
      <x:c r="O1448" s="9" t="n">
        <x:f>IF(J1448&gt;0,1,0)</x:f>
        <x:v>1</x:v>
      </x:c>
    </x:row>
    <x:row r="1449">
      <x:c r="A1449" s="15" t="str">
        <x:v>1445</x:v>
      </x:c>
      <x:c r="B1449" s="9" t="str">
        <x:v>Casey</x:v>
      </x:c>
      <x:c r="C1449" s="9" t="str">
        <x:v>Auto</x:v>
      </x:c>
      <x:c r="D1449" s="9" t="str">
        <x:v>West</x:v>
      </x:c>
      <x:c r="E1449" s="9" t="n">
        <x:v>777</x:v>
      </x:c>
      <x:c r="F1449" s="11" t="n">
        <x:v>46128</x:v>
      </x:c>
      <x:c r="G1449" s="13" t="n">
        <x:v>10802.61</x:v>
      </x:c>
      <x:c r="H1449" s="9" t="n">
        <x:v>80</x:v>
      </x:c>
      <x:c r="I1449" s="9" t="n">
        <x:v>4</x:v>
      </x:c>
      <x:c r="J1449" s="9" t="n">
        <x:v>1</x:v>
      </x:c>
      <x:c r="K1449" s="9" t="n">
        <x:v>0</x:v>
      </x:c>
      <x:c r="L1449" s="13" t="n">
        <x:f>SUMIFS('Payments'!$D$5:$D$3014,'Payments'!$B$5:$B$3014,A1449)</x:f>
        <x:v>319.61</x:v>
      </x:c>
      <x:c r="M1449" s="13" t="n">
        <x:f>G1449-L1449</x:f>
        <x:v>10483</x:v>
      </x:c>
      <x:c r="N1449" s="9" t="str">
        <x:f>IF(H1449=0,"0 Current",IF(H1449&lt;=30,"1 1-30",IF(H1449&lt;=60,"2 31-60",IF(H1449&lt;=90,"3 61-90",IF(H1449&lt;=120,"4 91-120","5 121+")))))</x:f>
        <x:v>3 61-90</x:v>
      </x:c>
      <x:c r="O1449" s="9" t="n">
        <x:f>IF(J1449&gt;0,1,0)</x:f>
        <x:v>1</x:v>
      </x:c>
    </x:row>
    <x:row r="1450">
      <x:c r="A1450" s="15" t="str">
        <x:v>1446</x:v>
      </x:c>
      <x:c r="B1450" s="9" t="str">
        <x:v>Jordan</x:v>
      </x:c>
      <x:c r="C1450" s="9" t="str">
        <x:v>Personal Loan</x:v>
      </x:c>
      <x:c r="D1450" s="9" t="str">
        <x:v>West</x:v>
      </x:c>
      <x:c r="E1450" s="9" t="n">
        <x:v>594</x:v>
      </x:c>
      <x:c r="F1450" s="11" t="n">
        <x:v>46094</x:v>
      </x:c>
      <x:c r="G1450" s="13" t="n">
        <x:v>10761.39</x:v>
      </x:c>
      <x:c r="H1450" s="9" t="n">
        <x:v>112</x:v>
      </x:c>
      <x:c r="I1450" s="9" t="n">
        <x:v>1</x:v>
      </x:c>
      <x:c r="J1450" s="9" t="n">
        <x:v>0</x:v>
      </x:c>
      <x:c r="K1450" s="9" t="n">
        <x:v>0</x:v>
      </x:c>
      <x:c r="L1450" s="13" t="n">
        <x:f>SUMIFS('Payments'!$D$5:$D$3014,'Payments'!$B$5:$B$3014,A1450)</x:f>
        <x:v>2304.6000000000004</x:v>
      </x:c>
      <x:c r="M1450" s="13" t="n">
        <x:f>G1450-L1450</x:f>
        <x:v>8456.789999999999</x:v>
      </x:c>
      <x:c r="N1450" s="9" t="str">
        <x:f>IF(H1450=0,"0 Current",IF(H1450&lt;=30,"1 1-30",IF(H1450&lt;=60,"2 31-60",IF(H1450&lt;=90,"3 61-90",IF(H1450&lt;=120,"4 91-120","5 121+")))))</x:f>
        <x:v>4 91-120</x:v>
      </x:c>
      <x:c r="O1450" s="9" t="n">
        <x:f>IF(J1450&gt;0,1,0)</x:f>
        <x:v>0</x:v>
      </x:c>
    </x:row>
    <x:row r="1451">
      <x:c r="A1451" s="15" t="str">
        <x:v>1447</x:v>
      </x:c>
      <x:c r="B1451" s="9" t="str">
        <x:v>Riley</x:v>
      </x:c>
      <x:c r="C1451" s="9" t="str">
        <x:v>Personal Loan</x:v>
      </x:c>
      <x:c r="D1451" s="9" t="str">
        <x:v>West</x:v>
      </x:c>
      <x:c r="E1451" s="9" t="n">
        <x:v>653</x:v>
      </x:c>
      <x:c r="F1451" s="11" t="n">
        <x:v>46093</x:v>
      </x:c>
      <x:c r="G1451" s="13" t="n">
        <x:v>838.24</x:v>
      </x:c>
      <x:c r="H1451" s="9" t="n">
        <x:v>26</x:v>
      </x:c>
      <x:c r="I1451" s="9" t="n">
        <x:v>8</x:v>
      </x:c>
      <x:c r="J1451" s="9" t="n">
        <x:v>2</x:v>
      </x:c>
      <x:c r="K1451" s="9" t="n">
        <x:v>0</x:v>
      </x:c>
      <x:c r="L1451" s="13" t="n">
        <x:f>SUMIFS('Payments'!$D$5:$D$3014,'Payments'!$B$5:$B$3014,A1451)</x:f>
        <x:v>132.61</x:v>
      </x:c>
      <x:c r="M1451" s="13" t="n">
        <x:f>G1451-L1451</x:f>
        <x:v>705.63</x:v>
      </x:c>
      <x:c r="N1451" s="9" t="str">
        <x:f>IF(H1451=0,"0 Current",IF(H1451&lt;=30,"1 1-30",IF(H1451&lt;=60,"2 31-60",IF(H1451&lt;=90,"3 61-90",IF(H1451&lt;=120,"4 91-120","5 121+")))))</x:f>
        <x:v>1 1-30</x:v>
      </x:c>
      <x:c r="O1451" s="9" t="n">
        <x:f>IF(J1451&gt;0,1,0)</x:f>
        <x:v>1</x:v>
      </x:c>
    </x:row>
    <x:row r="1452">
      <x:c r="A1452" s="15" t="str">
        <x:v>1448</x:v>
      </x:c>
      <x:c r="B1452" s="9" t="str">
        <x:v>Alex</x:v>
      </x:c>
      <x:c r="C1452" s="9" t="str">
        <x:v>Personal Loan</x:v>
      </x:c>
      <x:c r="D1452" s="9" t="str">
        <x:v>Northeast</x:v>
      </x:c>
      <x:c r="E1452" s="9" t="n">
        <x:v>625</x:v>
      </x:c>
      <x:c r="F1452" s="11" t="n">
        <x:v>46042</x:v>
      </x:c>
      <x:c r="G1452" s="13" t="n">
        <x:v>3461.14</x:v>
      </x:c>
      <x:c r="H1452" s="9" t="n">
        <x:v>98</x:v>
      </x:c>
      <x:c r="I1452" s="9" t="n">
        <x:v>2</x:v>
      </x:c>
      <x:c r="J1452" s="9" t="n">
        <x:v>1</x:v>
      </x:c>
      <x:c r="K1452" s="9" t="n">
        <x:v>0</x:v>
      </x:c>
      <x:c r="L1452" s="13" t="n">
        <x:f>SUMIFS('Payments'!$D$5:$D$3014,'Payments'!$B$5:$B$3014,A1452)</x:f>
        <x:v>542.8</x:v>
      </x:c>
      <x:c r="M1452" s="13" t="n">
        <x:f>G1452-L1452</x:f>
        <x:v>2918.34</x:v>
      </x:c>
      <x:c r="N1452" s="9" t="str">
        <x:f>IF(H1452=0,"0 Current",IF(H1452&lt;=30,"1 1-30",IF(H1452&lt;=60,"2 31-60",IF(H1452&lt;=90,"3 61-90",IF(H1452&lt;=120,"4 91-120","5 121+")))))</x:f>
        <x:v>4 91-120</x:v>
      </x:c>
      <x:c r="O1452" s="9" t="n">
        <x:f>IF(J1452&gt;0,1,0)</x:f>
        <x:v>1</x:v>
      </x:c>
    </x:row>
    <x:row r="1453">
      <x:c r="A1453" s="15" t="str">
        <x:v>1449</x:v>
      </x:c>
      <x:c r="B1453" s="9" t="str">
        <x:v>Morgan</x:v>
      </x:c>
      <x:c r="C1453" s="9" t="str">
        <x:v>Auto</x:v>
      </x:c>
      <x:c r="D1453" s="9" t="str">
        <x:v>West</x:v>
      </x:c>
      <x:c r="E1453" s="9" t="n">
        <x:v>611</x:v>
      </x:c>
      <x:c r="F1453" s="11" t="n">
        <x:v>46120</x:v>
      </x:c>
      <x:c r="G1453" s="13" t="n">
        <x:v>16505.66</x:v>
      </x:c>
      <x:c r="H1453" s="9" t="n">
        <x:v>153</x:v>
      </x:c>
      <x:c r="I1453" s="9" t="n">
        <x:v>5</x:v>
      </x:c>
      <x:c r="J1453" s="9" t="n">
        <x:v>2</x:v>
      </x:c>
      <x:c r="K1453" s="9" t="n">
        <x:v>0</x:v>
      </x:c>
      <x:c r="L1453" s="13" t="n">
        <x:f>SUMIFS('Payments'!$D$5:$D$3014,'Payments'!$B$5:$B$3014,A1453)</x:f>
        <x:v>2042.57</x:v>
      </x:c>
      <x:c r="M1453" s="13" t="n">
        <x:f>G1453-L1453</x:f>
        <x:v>14463.09</x:v>
      </x:c>
      <x:c r="N1453" s="9" t="str">
        <x:f>IF(H1453=0,"0 Current",IF(H1453&lt;=30,"1 1-30",IF(H1453&lt;=60,"2 31-60",IF(H1453&lt;=90,"3 61-90",IF(H1453&lt;=120,"4 91-120","5 121+")))))</x:f>
        <x:v>5 121+</x:v>
      </x:c>
      <x:c r="O1453" s="9" t="n">
        <x:f>IF(J1453&gt;0,1,0)</x:f>
        <x:v>1</x:v>
      </x:c>
    </x:row>
    <x:row r="1454">
      <x:c r="A1454" s="15" t="str">
        <x:v>1450</x:v>
      </x:c>
      <x:c r="B1454" s="9" t="str">
        <x:v>Riley</x:v>
      </x:c>
      <x:c r="C1454" s="9" t="str">
        <x:v>Personal Loan</x:v>
      </x:c>
      <x:c r="D1454" s="9" t="str">
        <x:v>West</x:v>
      </x:c>
      <x:c r="E1454" s="9" t="n">
        <x:v>631</x:v>
      </x:c>
      <x:c r="F1454" s="11" t="n">
        <x:v>46072</x:v>
      </x:c>
      <x:c r="G1454" s="13" t="n">
        <x:v>1181.26</x:v>
      </x:c>
      <x:c r="H1454" s="9" t="n">
        <x:v>32</x:v>
      </x:c>
      <x:c r="I1454" s="9" t="n">
        <x:v>6</x:v>
      </x:c>
      <x:c r="J1454" s="9" t="n">
        <x:v>4</x:v>
      </x:c>
      <x:c r="K1454" s="9" t="n">
        <x:v>1</x:v>
      </x:c>
      <x:c r="L1454" s="13" t="n">
        <x:f>SUMIFS('Payments'!$D$5:$D$3014,'Payments'!$B$5:$B$3014,A1454)</x:f>
        <x:v>175.26999999999998</x:v>
      </x:c>
      <x:c r="M1454" s="13" t="n">
        <x:f>G1454-L1454</x:f>
        <x:v>1005.99</x:v>
      </x:c>
      <x:c r="N1454" s="9" t="str">
        <x:f>IF(H1454=0,"0 Current",IF(H1454&lt;=30,"1 1-30",IF(H1454&lt;=60,"2 31-60",IF(H1454&lt;=90,"3 61-90",IF(H1454&lt;=120,"4 91-120","5 121+")))))</x:f>
        <x:v>2 31-60</x:v>
      </x:c>
      <x:c r="O1454" s="9" t="n">
        <x:f>IF(J1454&gt;0,1,0)</x:f>
        <x:v>1</x:v>
      </x:c>
    </x:row>
    <x:row r="1455">
      <x:c r="A1455" s="15" t="str">
        <x:v>1451</x:v>
      </x:c>
      <x:c r="B1455" s="9" t="str">
        <x:v>Taylor</x:v>
      </x:c>
      <x:c r="C1455" s="9" t="str">
        <x:v>Auto</x:v>
      </x:c>
      <x:c r="D1455" s="9" t="str">
        <x:v>Midwest</x:v>
      </x:c>
      <x:c r="E1455" s="9" t="n">
        <x:v>759</x:v>
      </x:c>
      <x:c r="F1455" s="11" t="n">
        <x:v>46117</x:v>
      </x:c>
      <x:c r="G1455" s="13" t="n">
        <x:v>4800.31</x:v>
      </x:c>
      <x:c r="H1455" s="9" t="n">
        <x:v>111</x:v>
      </x:c>
      <x:c r="I1455" s="9" t="n">
        <x:v>2</x:v>
      </x:c>
      <x:c r="J1455" s="9" t="n">
        <x:v>0</x:v>
      </x:c>
      <x:c r="K1455" s="9" t="n">
        <x:v>0</x:v>
      </x:c>
      <x:c r="L1455" s="13" t="n">
        <x:f>SUMIFS('Payments'!$D$5:$D$3014,'Payments'!$B$5:$B$3014,A1455)</x:f>
        <x:v>1580.1399999999999</x:v>
      </x:c>
      <x:c r="M1455" s="13" t="n">
        <x:f>G1455-L1455</x:f>
        <x:v>3220.1700000000005</x:v>
      </x:c>
      <x:c r="N1455" s="9" t="str">
        <x:f>IF(H1455=0,"0 Current",IF(H1455&lt;=30,"1 1-30",IF(H1455&lt;=60,"2 31-60",IF(H1455&lt;=90,"3 61-90",IF(H1455&lt;=120,"4 91-120","5 121+")))))</x:f>
        <x:v>4 91-120</x:v>
      </x:c>
      <x:c r="O1455" s="9" t="n">
        <x:f>IF(J1455&gt;0,1,0)</x:f>
        <x:v>0</x:v>
      </x:c>
    </x:row>
    <x:row r="1456">
      <x:c r="A1456" s="15" t="str">
        <x:v>1452</x:v>
      </x:c>
      <x:c r="B1456" s="9" t="str">
        <x:v>Jordan</x:v>
      </x:c>
      <x:c r="C1456" s="9" t="str">
        <x:v>Credit Card</x:v>
      </x:c>
      <x:c r="D1456" s="9" t="str">
        <x:v>West</x:v>
      </x:c>
      <x:c r="E1456" s="9" t="n">
        <x:v>652</x:v>
      </x:c>
      <x:c r="F1456" s="11" t="n">
        <x:v>46057</x:v>
      </x:c>
      <x:c r="G1456" s="13" t="n">
        <x:v>23756.78</x:v>
      </x:c>
      <x:c r="H1456" s="9" t="n">
        <x:v>115</x:v>
      </x:c>
      <x:c r="I1456" s="9" t="n">
        <x:v>2</x:v>
      </x:c>
      <x:c r="J1456" s="9" t="n">
        <x:v>2</x:v>
      </x:c>
      <x:c r="K1456" s="9" t="n">
        <x:v>0</x:v>
      </x:c>
      <x:c r="L1456" s="13" t="n">
        <x:f>SUMIFS('Payments'!$D$5:$D$3014,'Payments'!$B$5:$B$3014,A1456)</x:f>
        <x:v>1204.4099999999999</x:v>
      </x:c>
      <x:c r="M1456" s="13" t="n">
        <x:f>G1456-L1456</x:f>
        <x:v>22552.37</x:v>
      </x:c>
      <x:c r="N1456" s="9" t="str">
        <x:f>IF(H1456=0,"0 Current",IF(H1456&lt;=30,"1 1-30",IF(H1456&lt;=60,"2 31-60",IF(H1456&lt;=90,"3 61-90",IF(H1456&lt;=120,"4 91-120","5 121+")))))</x:f>
        <x:v>4 91-120</x:v>
      </x:c>
      <x:c r="O1456" s="9" t="n">
        <x:f>IF(J1456&gt;0,1,0)</x:f>
        <x:v>1</x:v>
      </x:c>
    </x:row>
    <x:row r="1457">
      <x:c r="A1457" s="15" t="str">
        <x:v>1453</x:v>
      </x:c>
      <x:c r="B1457" s="9" t="str">
        <x:v>Morgan</x:v>
      </x:c>
      <x:c r="C1457" s="9" t="str">
        <x:v>Medical</x:v>
      </x:c>
      <x:c r="D1457" s="9" t="str">
        <x:v>South</x:v>
      </x:c>
      <x:c r="E1457" s="9" t="n">
        <x:v>810</x:v>
      </x:c>
      <x:c r="F1457" s="11" t="n">
        <x:v>46118</x:v>
      </x:c>
      <x:c r="G1457" s="13" t="n">
        <x:v>11907.64</x:v>
      </x:c>
      <x:c r="H1457" s="9" t="n">
        <x:v>145</x:v>
      </x:c>
      <x:c r="I1457" s="9" t="n">
        <x:v>1</x:v>
      </x:c>
      <x:c r="J1457" s="9" t="n">
        <x:v>0</x:v>
      </x:c>
      <x:c r="K1457" s="9" t="n">
        <x:v>0</x:v>
      </x:c>
      <x:c r="L1457" s="13" t="n">
        <x:f>SUMIFS('Payments'!$D$5:$D$3014,'Payments'!$B$5:$B$3014,A1457)</x:f>
        <x:v>2838.66</x:v>
      </x:c>
      <x:c r="M1457" s="13" t="n">
        <x:f>G1457-L1457</x:f>
        <x:v>9068.98</x:v>
      </x:c>
      <x:c r="N1457" s="9" t="str">
        <x:f>IF(H1457=0,"0 Current",IF(H1457&lt;=30,"1 1-30",IF(H1457&lt;=60,"2 31-60",IF(H1457&lt;=90,"3 61-90",IF(H1457&lt;=120,"4 91-120","5 121+")))))</x:f>
        <x:v>5 121+</x:v>
      </x:c>
      <x:c r="O1457" s="9" t="n">
        <x:f>IF(J1457&gt;0,1,0)</x:f>
        <x:v>0</x:v>
      </x:c>
    </x:row>
    <x:row r="1458">
      <x:c r="A1458" s="15" t="str">
        <x:v>1454</x:v>
      </x:c>
      <x:c r="B1458" s="9" t="str">
        <x:v>Morgan</x:v>
      </x:c>
      <x:c r="C1458" s="9" t="str">
        <x:v>Medical</x:v>
      </x:c>
      <x:c r="D1458" s="9" t="str">
        <x:v>Midwest</x:v>
      </x:c>
      <x:c r="E1458" s="9" t="n">
        <x:v>467</x:v>
      </x:c>
      <x:c r="F1458" s="11" t="n">
        <x:v>46034</x:v>
      </x:c>
      <x:c r="G1458" s="13" t="n">
        <x:v>11347.06</x:v>
      </x:c>
      <x:c r="H1458" s="9" t="n">
        <x:v>1</x:v>
      </x:c>
      <x:c r="I1458" s="9" t="n">
        <x:v>5</x:v>
      </x:c>
      <x:c r="J1458" s="9" t="n">
        <x:v>4</x:v>
      </x:c>
      <x:c r="K1458" s="9" t="n">
        <x:v>1</x:v>
      </x:c>
      <x:c r="L1458" s="13" t="n">
        <x:f>SUMIFS('Payments'!$D$5:$D$3014,'Payments'!$B$5:$B$3014,A1458)</x:f>
        <x:v>0</x:v>
      </x:c>
      <x:c r="M1458" s="13" t="n">
        <x:f>G1458-L1458</x:f>
        <x:v>11347.06</x:v>
      </x:c>
      <x:c r="N1458" s="9" t="str">
        <x:f>IF(H1458=0,"0 Current",IF(H1458&lt;=30,"1 1-30",IF(H1458&lt;=60,"2 31-60",IF(H1458&lt;=90,"3 61-90",IF(H1458&lt;=120,"4 91-120","5 121+")))))</x:f>
        <x:v>1 1-30</x:v>
      </x:c>
      <x:c r="O1458" s="9" t="n">
        <x:f>IF(J1458&gt;0,1,0)</x:f>
        <x:v>1</x:v>
      </x:c>
    </x:row>
    <x:row r="1459">
      <x:c r="A1459" s="15" t="str">
        <x:v>1455</x:v>
      </x:c>
      <x:c r="B1459" s="9" t="str">
        <x:v>Morgan</x:v>
      </x:c>
      <x:c r="C1459" s="9" t="str">
        <x:v>Auto</x:v>
      </x:c>
      <x:c r="D1459" s="9" t="str">
        <x:v>Northeast</x:v>
      </x:c>
      <x:c r="E1459" s="9" t="n">
        <x:v>815</x:v>
      </x:c>
      <x:c r="F1459" s="11" t="n">
        <x:v>46119</x:v>
      </x:c>
      <x:c r="G1459" s="13" t="n">
        <x:v>22157.07</x:v>
      </x:c>
      <x:c r="H1459" s="9" t="n">
        <x:v>150</x:v>
      </x:c>
      <x:c r="I1459" s="9" t="n">
        <x:v>0</x:v>
      </x:c>
      <x:c r="J1459" s="9" t="n">
        <x:v>0</x:v>
      </x:c>
      <x:c r="K1459" s="9" t="n">
        <x:v>0</x:v>
      </x:c>
      <x:c r="L1459" s="13" t="n">
        <x:f>SUMIFS('Payments'!$D$5:$D$3014,'Payments'!$B$5:$B$3014,A1459)</x:f>
        <x:v>2154.72</x:v>
      </x:c>
      <x:c r="M1459" s="13" t="n">
        <x:f>G1459-L1459</x:f>
        <x:v>20002.35</x:v>
      </x:c>
      <x:c r="N1459" s="9" t="str">
        <x:f>IF(H1459=0,"0 Current",IF(H1459&lt;=30,"1 1-30",IF(H1459&lt;=60,"2 31-60",IF(H1459&lt;=90,"3 61-90",IF(H1459&lt;=120,"4 91-120","5 121+")))))</x:f>
        <x:v>5 121+</x:v>
      </x:c>
      <x:c r="O1459" s="9" t="n">
        <x:f>IF(J1459&gt;0,1,0)</x:f>
        <x:v>0</x:v>
      </x:c>
    </x:row>
    <x:row r="1460">
      <x:c r="A1460" s="15" t="str">
        <x:v>1456</x:v>
      </x:c>
      <x:c r="B1460" s="9" t="str">
        <x:v>Riley</x:v>
      </x:c>
      <x:c r="C1460" s="9" t="str">
        <x:v>Credit Card</x:v>
      </x:c>
      <x:c r="D1460" s="9" t="str">
        <x:v>Northeast</x:v>
      </x:c>
      <x:c r="E1460" s="9" t="n">
        <x:v>608</x:v>
      </x:c>
      <x:c r="F1460" s="11" t="n">
        <x:v>46044</x:v>
      </x:c>
      <x:c r="G1460" s="13" t="n">
        <x:v>11441.35</x:v>
      </x:c>
      <x:c r="H1460" s="9" t="n">
        <x:v>20</x:v>
      </x:c>
      <x:c r="I1460" s="9" t="n">
        <x:v>3</x:v>
      </x:c>
      <x:c r="J1460" s="9" t="n">
        <x:v>0</x:v>
      </x:c>
      <x:c r="K1460" s="9" t="n">
        <x:v>0</x:v>
      </x:c>
      <x:c r="L1460" s="13" t="n">
        <x:f>SUMIFS('Payments'!$D$5:$D$3014,'Payments'!$B$5:$B$3014,A1460)</x:f>
        <x:v>0</x:v>
      </x:c>
      <x:c r="M1460" s="13" t="n">
        <x:f>G1460-L1460</x:f>
        <x:v>11441.35</x:v>
      </x:c>
      <x:c r="N1460" s="9" t="str">
        <x:f>IF(H1460=0,"0 Current",IF(H1460&lt;=30,"1 1-30",IF(H1460&lt;=60,"2 31-60",IF(H1460&lt;=90,"3 61-90",IF(H1460&lt;=120,"4 91-120","5 121+")))))</x:f>
        <x:v>1 1-30</x:v>
      </x:c>
      <x:c r="O1460" s="9" t="n">
        <x:f>IF(J1460&gt;0,1,0)</x:f>
        <x:v>0</x:v>
      </x:c>
    </x:row>
    <x:row r="1461">
      <x:c r="A1461" s="15" t="str">
        <x:v>1457</x:v>
      </x:c>
      <x:c r="B1461" s="9" t="str">
        <x:v>Morgan</x:v>
      </x:c>
      <x:c r="C1461" s="9" t="str">
        <x:v>Credit Card</x:v>
      </x:c>
      <x:c r="D1461" s="9" t="str">
        <x:v>West</x:v>
      </x:c>
      <x:c r="E1461" s="9" t="n">
        <x:v>593</x:v>
      </x:c>
      <x:c r="F1461" s="11" t="n">
        <x:v>46114</x:v>
      </x:c>
      <x:c r="G1461" s="13" t="n">
        <x:v>18067.05</x:v>
      </x:c>
      <x:c r="H1461" s="9" t="n">
        <x:v>167</x:v>
      </x:c>
      <x:c r="I1461" s="9" t="n">
        <x:v>6</x:v>
      </x:c>
      <x:c r="J1461" s="9" t="n">
        <x:v>3</x:v>
      </x:c>
      <x:c r="K1461" s="9" t="n">
        <x:v>0</x:v>
      </x:c>
      <x:c r="L1461" s="13" t="n">
        <x:f>SUMIFS('Payments'!$D$5:$D$3014,'Payments'!$B$5:$B$3014,A1461)</x:f>
        <x:v>2129.06</x:v>
      </x:c>
      <x:c r="M1461" s="13" t="n">
        <x:f>G1461-L1461</x:f>
        <x:v>15937.99</x:v>
      </x:c>
      <x:c r="N1461" s="9" t="str">
        <x:f>IF(H1461=0,"0 Current",IF(H1461&lt;=30,"1 1-30",IF(H1461&lt;=60,"2 31-60",IF(H1461&lt;=90,"3 61-90",IF(H1461&lt;=120,"4 91-120","5 121+")))))</x:f>
        <x:v>5 121+</x:v>
      </x:c>
      <x:c r="O1461" s="9" t="n">
        <x:f>IF(J1461&gt;0,1,0)</x:f>
        <x:v>1</x:v>
      </x:c>
    </x:row>
    <x:row r="1462">
      <x:c r="A1462" s="15" t="str">
        <x:v>1458</x:v>
      </x:c>
      <x:c r="B1462" s="9" t="str">
        <x:v>Riley</x:v>
      </x:c>
      <x:c r="C1462" s="9" t="str">
        <x:v>Credit Card</x:v>
      </x:c>
      <x:c r="D1462" s="9" t="str">
        <x:v>West</x:v>
      </x:c>
      <x:c r="E1462" s="9" t="n">
        <x:v>580</x:v>
      </x:c>
      <x:c r="F1462" s="11" t="n">
        <x:v>46134</x:v>
      </x:c>
      <x:c r="G1462" s="13" t="n">
        <x:v>24637.53</x:v>
      </x:c>
      <x:c r="H1462" s="9" t="n">
        <x:v>226</x:v>
      </x:c>
      <x:c r="I1462" s="9" t="n">
        <x:v>6</x:v>
      </x:c>
      <x:c r="J1462" s="9" t="n">
        <x:v>2</x:v>
      </x:c>
      <x:c r="K1462" s="9" t="n">
        <x:v>1</x:v>
      </x:c>
      <x:c r="L1462" s="13" t="n">
        <x:f>SUMIFS('Payments'!$D$5:$D$3014,'Payments'!$B$5:$B$3014,A1462)</x:f>
        <x:v>3476.77</x:v>
      </x:c>
      <x:c r="M1462" s="13" t="n">
        <x:f>G1462-L1462</x:f>
        <x:v>21160.76</x:v>
      </x:c>
      <x:c r="N1462" s="9" t="str">
        <x:f>IF(H1462=0,"0 Current",IF(H1462&lt;=30,"1 1-30",IF(H1462&lt;=60,"2 31-60",IF(H1462&lt;=90,"3 61-90",IF(H1462&lt;=120,"4 91-120","5 121+")))))</x:f>
        <x:v>5 121+</x:v>
      </x:c>
      <x:c r="O1462" s="9" t="n">
        <x:f>IF(J1462&gt;0,1,0)</x:f>
        <x:v>1</x:v>
      </x:c>
    </x:row>
    <x:row r="1463">
      <x:c r="A1463" s="15" t="str">
        <x:v>1459</x:v>
      </x:c>
      <x:c r="B1463" s="9" t="str">
        <x:v>Alex</x:v>
      </x:c>
      <x:c r="C1463" s="9" t="str">
        <x:v>Personal Loan</x:v>
      </x:c>
      <x:c r="D1463" s="9" t="str">
        <x:v>South</x:v>
      </x:c>
      <x:c r="E1463" s="9" t="n">
        <x:v>755</x:v>
      </x:c>
      <x:c r="F1463" s="11" t="n">
        <x:v>46054</x:v>
      </x:c>
      <x:c r="G1463" s="13" t="n">
        <x:v>13110.7</x:v>
      </x:c>
      <x:c r="H1463" s="9" t="n">
        <x:v>14</x:v>
      </x:c>
      <x:c r="I1463" s="9" t="n">
        <x:v>7</x:v>
      </x:c>
      <x:c r="J1463" s="9" t="n">
        <x:v>4</x:v>
      </x:c>
      <x:c r="K1463" s="9" t="n">
        <x:v>0</x:v>
      </x:c>
      <x:c r="L1463" s="13" t="n">
        <x:f>SUMIFS('Payments'!$D$5:$D$3014,'Payments'!$B$5:$B$3014,A1463)</x:f>
        <x:v>1422.73</x:v>
      </x:c>
      <x:c r="M1463" s="13" t="n">
        <x:f>G1463-L1463</x:f>
        <x:v>11687.970000000001</x:v>
      </x:c>
      <x:c r="N1463" s="9" t="str">
        <x:f>IF(H1463=0,"0 Current",IF(H1463&lt;=30,"1 1-30",IF(H1463&lt;=60,"2 31-60",IF(H1463&lt;=90,"3 61-90",IF(H1463&lt;=120,"4 91-120","5 121+")))))</x:f>
        <x:v>1 1-30</x:v>
      </x:c>
      <x:c r="O1463" s="9" t="n">
        <x:f>IF(J1463&gt;0,1,0)</x:f>
        <x:v>1</x:v>
      </x:c>
    </x:row>
    <x:row r="1464">
      <x:c r="A1464" s="15" t="str">
        <x:v>1460</x:v>
      </x:c>
      <x:c r="B1464" s="9" t="str">
        <x:v>Casey</x:v>
      </x:c>
      <x:c r="C1464" s="9" t="str">
        <x:v>Personal Loan</x:v>
      </x:c>
      <x:c r="D1464" s="9" t="str">
        <x:v>Midwest</x:v>
      </x:c>
      <x:c r="E1464" s="9" t="n">
        <x:v>615</x:v>
      </x:c>
      <x:c r="F1464" s="11" t="n">
        <x:v>46036</x:v>
      </x:c>
      <x:c r="G1464" s="13" t="n">
        <x:v>16663.27</x:v>
      </x:c>
      <x:c r="H1464" s="9" t="n">
        <x:v>56</x:v>
      </x:c>
      <x:c r="I1464" s="9" t="n">
        <x:v>1</x:v>
      </x:c>
      <x:c r="J1464" s="9" t="n">
        <x:v>1</x:v>
      </x:c>
      <x:c r="K1464" s="9" t="n">
        <x:v>0</x:v>
      </x:c>
      <x:c r="L1464" s="13" t="n">
        <x:f>SUMIFS('Payments'!$D$5:$D$3014,'Payments'!$B$5:$B$3014,A1464)</x:f>
        <x:v>0</x:v>
      </x:c>
      <x:c r="M1464" s="13" t="n">
        <x:f>G1464-L1464</x:f>
        <x:v>16663.27</x:v>
      </x:c>
      <x:c r="N1464" s="9" t="str">
        <x:f>IF(H1464=0,"0 Current",IF(H1464&lt;=30,"1 1-30",IF(H1464&lt;=60,"2 31-60",IF(H1464&lt;=90,"3 61-90",IF(H1464&lt;=120,"4 91-120","5 121+")))))</x:f>
        <x:v>2 31-60</x:v>
      </x:c>
      <x:c r="O1464" s="9" t="n">
        <x:f>IF(J1464&gt;0,1,0)</x:f>
        <x:v>1</x:v>
      </x:c>
    </x:row>
    <x:row r="1465">
      <x:c r="A1465" s="15" t="str">
        <x:v>1461</x:v>
      </x:c>
      <x:c r="B1465" s="9" t="str">
        <x:v>Riley</x:v>
      </x:c>
      <x:c r="C1465" s="9" t="str">
        <x:v>Auto</x:v>
      </x:c>
      <x:c r="D1465" s="9" t="str">
        <x:v>Northeast</x:v>
      </x:c>
      <x:c r="E1465" s="9" t="n">
        <x:v>622</x:v>
      </x:c>
      <x:c r="F1465" s="11" t="n">
        <x:v>46059</x:v>
      </x:c>
      <x:c r="G1465" s="13" t="n">
        <x:v>18924.52</x:v>
      </x:c>
      <x:c r="H1465" s="9" t="n">
        <x:v>153</x:v>
      </x:c>
      <x:c r="I1465" s="9" t="n">
        <x:v>8</x:v>
      </x:c>
      <x:c r="J1465" s="9" t="n">
        <x:v>1</x:v>
      </x:c>
      <x:c r="K1465" s="9" t="n">
        <x:v>0</x:v>
      </x:c>
      <x:c r="L1465" s="13" t="n">
        <x:f>SUMIFS('Payments'!$D$5:$D$3014,'Payments'!$B$5:$B$3014,A1465)</x:f>
        <x:v>244.37</x:v>
      </x:c>
      <x:c r="M1465" s="13" t="n">
        <x:f>G1465-L1465</x:f>
        <x:v>18680.15</x:v>
      </x:c>
      <x:c r="N1465" s="9" t="str">
        <x:f>IF(H1465=0,"0 Current",IF(H1465&lt;=30,"1 1-30",IF(H1465&lt;=60,"2 31-60",IF(H1465&lt;=90,"3 61-90",IF(H1465&lt;=120,"4 91-120","5 121+")))))</x:f>
        <x:v>5 121+</x:v>
      </x:c>
      <x:c r="O1465" s="9" t="n">
        <x:f>IF(J1465&gt;0,1,0)</x:f>
        <x:v>1</x:v>
      </x:c>
    </x:row>
    <x:row r="1466">
      <x:c r="A1466" s="15" t="str">
        <x:v>1462</x:v>
      </x:c>
      <x:c r="B1466" s="9" t="str">
        <x:v>Taylor</x:v>
      </x:c>
      <x:c r="C1466" s="9" t="str">
        <x:v>Auto</x:v>
      </x:c>
      <x:c r="D1466" s="9" t="str">
        <x:v>Northeast</x:v>
      </x:c>
      <x:c r="E1466" s="9" t="n">
        <x:v>540</x:v>
      </x:c>
      <x:c r="F1466" s="11" t="n">
        <x:v>46095</x:v>
      </x:c>
      <x:c r="G1466" s="13" t="n">
        <x:v>9361.92</x:v>
      </x:c>
      <x:c r="H1466" s="9" t="n">
        <x:v>130</x:v>
      </x:c>
      <x:c r="I1466" s="9" t="n">
        <x:v>1</x:v>
      </x:c>
      <x:c r="J1466" s="9" t="n">
        <x:v>1</x:v>
      </x:c>
      <x:c r="K1466" s="9" t="n">
        <x:v>1</x:v>
      </x:c>
      <x:c r="L1466" s="13" t="n">
        <x:f>SUMIFS('Payments'!$D$5:$D$3014,'Payments'!$B$5:$B$3014,A1466)</x:f>
        <x:v>1961.27</x:v>
      </x:c>
      <x:c r="M1466" s="13" t="n">
        <x:f>G1466-L1466</x:f>
        <x:v>7400.65</x:v>
      </x:c>
      <x:c r="N1466" s="9" t="str">
        <x:f>IF(H1466=0,"0 Current",IF(H1466&lt;=30,"1 1-30",IF(H1466&lt;=60,"2 31-60",IF(H1466&lt;=90,"3 61-90",IF(H1466&lt;=120,"4 91-120","5 121+")))))</x:f>
        <x:v>5 121+</x:v>
      </x:c>
      <x:c r="O1466" s="9" t="n">
        <x:f>IF(J1466&gt;0,1,0)</x:f>
        <x:v>1</x:v>
      </x:c>
    </x:row>
    <x:row r="1467">
      <x:c r="A1467" s="15" t="str">
        <x:v>1463</x:v>
      </x:c>
      <x:c r="B1467" s="9" t="str">
        <x:v>Jordan</x:v>
      </x:c>
      <x:c r="C1467" s="9" t="str">
        <x:v>Auto</x:v>
      </x:c>
      <x:c r="D1467" s="9" t="str">
        <x:v>Midwest</x:v>
      </x:c>
      <x:c r="E1467" s="9" t="n">
        <x:v>559</x:v>
      </x:c>
      <x:c r="F1467" s="11" t="n">
        <x:v>46073</x:v>
      </x:c>
      <x:c r="G1467" s="13" t="n">
        <x:v>9826.04</x:v>
      </x:c>
      <x:c r="H1467" s="9" t="n">
        <x:v>22</x:v>
      </x:c>
      <x:c r="I1467" s="9" t="n">
        <x:v>7</x:v>
      </x:c>
      <x:c r="J1467" s="9" t="n">
        <x:v>2</x:v>
      </x:c>
      <x:c r="K1467" s="9" t="n">
        <x:v>0</x:v>
      </x:c>
      <x:c r="L1467" s="13" t="n">
        <x:f>SUMIFS('Payments'!$D$5:$D$3014,'Payments'!$B$5:$B$3014,A1467)</x:f>
        <x:v>2652.41</x:v>
      </x:c>
      <x:c r="M1467" s="13" t="n">
        <x:f>G1467-L1467</x:f>
        <x:v>7173.630000000001</x:v>
      </x:c>
      <x:c r="N1467" s="9" t="str">
        <x:f>IF(H1467=0,"0 Current",IF(H1467&lt;=30,"1 1-30",IF(H1467&lt;=60,"2 31-60",IF(H1467&lt;=90,"3 61-90",IF(H1467&lt;=120,"4 91-120","5 121+")))))</x:f>
        <x:v>1 1-30</x:v>
      </x:c>
      <x:c r="O1467" s="9" t="n">
        <x:f>IF(J1467&gt;0,1,0)</x:f>
        <x:v>1</x:v>
      </x:c>
    </x:row>
    <x:row r="1468">
      <x:c r="A1468" s="15" t="str">
        <x:v>1464</x:v>
      </x:c>
      <x:c r="B1468" s="9" t="str">
        <x:v>Riley</x:v>
      </x:c>
      <x:c r="C1468" s="9" t="str">
        <x:v>Auto</x:v>
      </x:c>
      <x:c r="D1468" s="9" t="str">
        <x:v>West</x:v>
      </x:c>
      <x:c r="E1468" s="9" t="n">
        <x:v>632</x:v>
      </x:c>
      <x:c r="F1468" s="11" t="n">
        <x:v>46153</x:v>
      </x:c>
      <x:c r="G1468" s="13" t="n">
        <x:v>23747.68</x:v>
      </x:c>
      <x:c r="H1468" s="9" t="n">
        <x:v>67</x:v>
      </x:c>
      <x:c r="I1468" s="9" t="n">
        <x:v>3</x:v>
      </x:c>
      <x:c r="J1468" s="9" t="n">
        <x:v>1</x:v>
      </x:c>
      <x:c r="K1468" s="9" t="n">
        <x:v>0</x:v>
      </x:c>
      <x:c r="L1468" s="13" t="n">
        <x:f>SUMIFS('Payments'!$D$5:$D$3014,'Payments'!$B$5:$B$3014,A1468)</x:f>
        <x:v>4925.799999999999</x:v>
      </x:c>
      <x:c r="M1468" s="13" t="n">
        <x:f>G1468-L1468</x:f>
        <x:v>18821.88</x:v>
      </x:c>
      <x:c r="N1468" s="9" t="str">
        <x:f>IF(H1468=0,"0 Current",IF(H1468&lt;=30,"1 1-30",IF(H1468&lt;=60,"2 31-60",IF(H1468&lt;=90,"3 61-90",IF(H1468&lt;=120,"4 91-120","5 121+")))))</x:f>
        <x:v>3 61-90</x:v>
      </x:c>
      <x:c r="O1468" s="9" t="n">
        <x:f>IF(J1468&gt;0,1,0)</x:f>
        <x:v>1</x:v>
      </x:c>
    </x:row>
    <x:row r="1469">
      <x:c r="A1469" s="15" t="str">
        <x:v>1465</x:v>
      </x:c>
      <x:c r="B1469" s="9" t="str">
        <x:v>Taylor</x:v>
      </x:c>
      <x:c r="C1469" s="9" t="str">
        <x:v>Personal Loan</x:v>
      </x:c>
      <x:c r="D1469" s="9" t="str">
        <x:v>West</x:v>
      </x:c>
      <x:c r="E1469" s="9" t="n">
        <x:v>707</x:v>
      </x:c>
      <x:c r="F1469" s="11" t="n">
        <x:v>46071</x:v>
      </x:c>
      <x:c r="G1469" s="13" t="n">
        <x:v>19211.84</x:v>
      </x:c>
      <x:c r="H1469" s="9" t="n">
        <x:v>224</x:v>
      </x:c>
      <x:c r="I1469" s="9" t="n">
        <x:v>3</x:v>
      </x:c>
      <x:c r="J1469" s="9" t="n">
        <x:v>0</x:v>
      </x:c>
      <x:c r="K1469" s="9" t="n">
        <x:v>0</x:v>
      </x:c>
      <x:c r="L1469" s="13" t="n">
        <x:f>SUMIFS('Payments'!$D$5:$D$3014,'Payments'!$B$5:$B$3014,A1469)</x:f>
        <x:v>0</x:v>
      </x:c>
      <x:c r="M1469" s="13" t="n">
        <x:f>G1469-L1469</x:f>
        <x:v>19211.84</x:v>
      </x:c>
      <x:c r="N1469" s="9" t="str">
        <x:f>IF(H1469=0,"0 Current",IF(H1469&lt;=30,"1 1-30",IF(H1469&lt;=60,"2 31-60",IF(H1469&lt;=90,"3 61-90",IF(H1469&lt;=120,"4 91-120","5 121+")))))</x:f>
        <x:v>5 121+</x:v>
      </x:c>
      <x:c r="O1469" s="9" t="n">
        <x:f>IF(J1469&gt;0,1,0)</x:f>
        <x:v>0</x:v>
      </x:c>
    </x:row>
    <x:row r="1470">
      <x:c r="A1470" s="15" t="str">
        <x:v>1466</x:v>
      </x:c>
      <x:c r="B1470" s="9" t="str">
        <x:v>Morgan</x:v>
      </x:c>
      <x:c r="C1470" s="9" t="str">
        <x:v>Auto</x:v>
      </x:c>
      <x:c r="D1470" s="9" t="str">
        <x:v>West</x:v>
      </x:c>
      <x:c r="E1470" s="9" t="n">
        <x:v>747</x:v>
      </x:c>
      <x:c r="F1470" s="11" t="n">
        <x:v>46061</x:v>
      </x:c>
      <x:c r="G1470" s="13" t="n">
        <x:v>1444.86</x:v>
      </x:c>
      <x:c r="H1470" s="9" t="n">
        <x:v>90</x:v>
      </x:c>
      <x:c r="I1470" s="9" t="n">
        <x:v>4</x:v>
      </x:c>
      <x:c r="J1470" s="9" t="n">
        <x:v>2</x:v>
      </x:c>
      <x:c r="K1470" s="9" t="n">
        <x:v>0</x:v>
      </x:c>
      <x:c r="L1470" s="13" t="n">
        <x:f>SUMIFS('Payments'!$D$5:$D$3014,'Payments'!$B$5:$B$3014,A1470)</x:f>
        <x:v>0</x:v>
      </x:c>
      <x:c r="M1470" s="13" t="n">
        <x:f>G1470-L1470</x:f>
        <x:v>1444.86</x:v>
      </x:c>
      <x:c r="N1470" s="9" t="str">
        <x:f>IF(H1470=0,"0 Current",IF(H1470&lt;=30,"1 1-30",IF(H1470&lt;=60,"2 31-60",IF(H1470&lt;=90,"3 61-90",IF(H1470&lt;=120,"4 91-120","5 121+")))))</x:f>
        <x:v>3 61-90</x:v>
      </x:c>
      <x:c r="O1470" s="9" t="n">
        <x:f>IF(J1470&gt;0,1,0)</x:f>
        <x:v>1</x:v>
      </x:c>
    </x:row>
    <x:row r="1471">
      <x:c r="A1471" s="15" t="str">
        <x:v>1467</x:v>
      </x:c>
      <x:c r="B1471" s="9" t="str">
        <x:v>Riley</x:v>
      </x:c>
      <x:c r="C1471" s="9" t="str">
        <x:v>Credit Card</x:v>
      </x:c>
      <x:c r="D1471" s="9" t="str">
        <x:v>Midwest</x:v>
      </x:c>
      <x:c r="E1471" s="9" t="n">
        <x:v>475</x:v>
      </x:c>
      <x:c r="F1471" s="11" t="n">
        <x:v>46076</x:v>
      </x:c>
      <x:c r="G1471" s="13" t="n">
        <x:v>2991.2</x:v>
      </x:c>
      <x:c r="H1471" s="9" t="n">
        <x:v>164</x:v>
      </x:c>
      <x:c r="I1471" s="9" t="n">
        <x:v>4</x:v>
      </x:c>
      <x:c r="J1471" s="9" t="n">
        <x:v>2</x:v>
      </x:c>
      <x:c r="K1471" s="9" t="n">
        <x:v>0</x:v>
      </x:c>
      <x:c r="L1471" s="13" t="n">
        <x:f>SUMIFS('Payments'!$D$5:$D$3014,'Payments'!$B$5:$B$3014,A1471)</x:f>
        <x:v>0</x:v>
      </x:c>
      <x:c r="M1471" s="13" t="n">
        <x:f>G1471-L1471</x:f>
        <x:v>2991.2</x:v>
      </x:c>
      <x:c r="N1471" s="9" t="str">
        <x:f>IF(H1471=0,"0 Current",IF(H1471&lt;=30,"1 1-30",IF(H1471&lt;=60,"2 31-60",IF(H1471&lt;=90,"3 61-90",IF(H1471&lt;=120,"4 91-120","5 121+")))))</x:f>
        <x:v>5 121+</x:v>
      </x:c>
      <x:c r="O1471" s="9" t="n">
        <x:f>IF(J1471&gt;0,1,0)</x:f>
        <x:v>1</x:v>
      </x:c>
    </x:row>
    <x:row r="1472">
      <x:c r="A1472" s="15" t="str">
        <x:v>1468</x:v>
      </x:c>
      <x:c r="B1472" s="9" t="str">
        <x:v>Riley</x:v>
      </x:c>
      <x:c r="C1472" s="9" t="str">
        <x:v>Auto</x:v>
      </x:c>
      <x:c r="D1472" s="9" t="str">
        <x:v>West</x:v>
      </x:c>
      <x:c r="E1472" s="9" t="n">
        <x:v>789</x:v>
      </x:c>
      <x:c r="F1472" s="11" t="n">
        <x:v>46110</x:v>
      </x:c>
      <x:c r="G1472" s="13" t="n">
        <x:v>10741.07</x:v>
      </x:c>
      <x:c r="H1472" s="9" t="n">
        <x:v>93</x:v>
      </x:c>
      <x:c r="I1472" s="9" t="n">
        <x:v>3</x:v>
      </x:c>
      <x:c r="J1472" s="9" t="n">
        <x:v>1</x:v>
      </x:c>
      <x:c r="K1472" s="9" t="n">
        <x:v>0</x:v>
      </x:c>
      <x:c r="L1472" s="13" t="n">
        <x:f>SUMIFS('Payments'!$D$5:$D$3014,'Payments'!$B$5:$B$3014,A1472)</x:f>
        <x:v>906.41</x:v>
      </x:c>
      <x:c r="M1472" s="13" t="n">
        <x:f>G1472-L1472</x:f>
        <x:v>9834.66</x:v>
      </x:c>
      <x:c r="N1472" s="9" t="str">
        <x:f>IF(H1472=0,"0 Current",IF(H1472&lt;=30,"1 1-30",IF(H1472&lt;=60,"2 31-60",IF(H1472&lt;=90,"3 61-90",IF(H1472&lt;=120,"4 91-120","5 121+")))))</x:f>
        <x:v>4 91-120</x:v>
      </x:c>
      <x:c r="O1472" s="9" t="n">
        <x:f>IF(J1472&gt;0,1,0)</x:f>
        <x:v>1</x:v>
      </x:c>
    </x:row>
    <x:row r="1473">
      <x:c r="A1473" s="15" t="str">
        <x:v>1469</x:v>
      </x:c>
      <x:c r="B1473" s="9" t="str">
        <x:v>Jordan</x:v>
      </x:c>
      <x:c r="C1473" s="9" t="str">
        <x:v>Credit Card</x:v>
      </x:c>
      <x:c r="D1473" s="9" t="str">
        <x:v>South</x:v>
      </x:c>
      <x:c r="E1473" s="9" t="n">
        <x:v>784</x:v>
      </x:c>
      <x:c r="F1473" s="11" t="n">
        <x:v>46026</x:v>
      </x:c>
      <x:c r="G1473" s="13" t="n">
        <x:v>2044.3</x:v>
      </x:c>
      <x:c r="H1473" s="9" t="n">
        <x:v>218</x:v>
      </x:c>
      <x:c r="I1473" s="9" t="n">
        <x:v>5</x:v>
      </x:c>
      <x:c r="J1473" s="9" t="n">
        <x:v>3</x:v>
      </x:c>
      <x:c r="K1473" s="9" t="n">
        <x:v>1</x:v>
      </x:c>
      <x:c r="L1473" s="13" t="n">
        <x:f>SUMIFS('Payments'!$D$5:$D$3014,'Payments'!$B$5:$B$3014,A1473)</x:f>
        <x:v>646.28</x:v>
      </x:c>
      <x:c r="M1473" s="13" t="n">
        <x:f>G1473-L1473</x:f>
        <x:v>1398.02</x:v>
      </x:c>
      <x:c r="N1473" s="9" t="str">
        <x:f>IF(H1473=0,"0 Current",IF(H1473&lt;=30,"1 1-30",IF(H1473&lt;=60,"2 31-60",IF(H1473&lt;=90,"3 61-90",IF(H1473&lt;=120,"4 91-120","5 121+")))))</x:f>
        <x:v>5 121+</x:v>
      </x:c>
      <x:c r="O1473" s="9" t="n">
        <x:f>IF(J1473&gt;0,1,0)</x:f>
        <x:v>1</x:v>
      </x:c>
    </x:row>
    <x:row r="1474">
      <x:c r="A1474" s="15" t="str">
        <x:v>1470</x:v>
      </x:c>
      <x:c r="B1474" s="9" t="str">
        <x:v>Alex</x:v>
      </x:c>
      <x:c r="C1474" s="9" t="str">
        <x:v>Medical</x:v>
      </x:c>
      <x:c r="D1474" s="9" t="str">
        <x:v>Northeast</x:v>
      </x:c>
      <x:c r="E1474" s="9" t="n">
        <x:v>792</x:v>
      </x:c>
      <x:c r="F1474" s="11" t="n">
        <x:v>46045</x:v>
      </x:c>
      <x:c r="G1474" s="13" t="n">
        <x:v>23468.78</x:v>
      </x:c>
      <x:c r="H1474" s="9" t="n">
        <x:v>191</x:v>
      </x:c>
      <x:c r="I1474" s="9" t="n">
        <x:v>7</x:v>
      </x:c>
      <x:c r="J1474" s="9" t="n">
        <x:v>1</x:v>
      </x:c>
      <x:c r="K1474" s="9" t="n">
        <x:v>0</x:v>
      </x:c>
      <x:c r="L1474" s="13" t="n">
        <x:f>SUMIFS('Payments'!$D$5:$D$3014,'Payments'!$B$5:$B$3014,A1474)</x:f>
        <x:v>5351.639999999999</x:v>
      </x:c>
      <x:c r="M1474" s="13" t="n">
        <x:f>G1474-L1474</x:f>
        <x:v>18117.14</x:v>
      </x:c>
      <x:c r="N1474" s="9" t="str">
        <x:f>IF(H1474=0,"0 Current",IF(H1474&lt;=30,"1 1-30",IF(H1474&lt;=60,"2 31-60",IF(H1474&lt;=90,"3 61-90",IF(H1474&lt;=120,"4 91-120","5 121+")))))</x:f>
        <x:v>5 121+</x:v>
      </x:c>
      <x:c r="O1474" s="9" t="n">
        <x:f>IF(J1474&gt;0,1,0)</x:f>
        <x:v>1</x:v>
      </x:c>
    </x:row>
    <x:row r="1475">
      <x:c r="A1475" s="15" t="str">
        <x:v>1471</x:v>
      </x:c>
      <x:c r="B1475" s="9" t="str">
        <x:v>Taylor</x:v>
      </x:c>
      <x:c r="C1475" s="9" t="str">
        <x:v>Medical</x:v>
      </x:c>
      <x:c r="D1475" s="9" t="str">
        <x:v>Midwest</x:v>
      </x:c>
      <x:c r="E1475" s="9" t="n">
        <x:v>741</x:v>
      </x:c>
      <x:c r="F1475" s="11" t="n">
        <x:v>46060</x:v>
      </x:c>
      <x:c r="G1475" s="13" t="n">
        <x:v>1163.65</x:v>
      </x:c>
      <x:c r="H1475" s="9" t="n">
        <x:v>94</x:v>
      </x:c>
      <x:c r="I1475" s="9" t="n">
        <x:v>4</x:v>
      </x:c>
      <x:c r="J1475" s="9" t="n">
        <x:v>1</x:v>
      </x:c>
      <x:c r="K1475" s="9" t="n">
        <x:v>0</x:v>
      </x:c>
      <x:c r="L1475" s="13" t="n">
        <x:f>SUMIFS('Payments'!$D$5:$D$3014,'Payments'!$B$5:$B$3014,A1475)</x:f>
        <x:v>194.10999999999999</x:v>
      </x:c>
      <x:c r="M1475" s="13" t="n">
        <x:f>G1475-L1475</x:f>
        <x:v>969.5400000000001</x:v>
      </x:c>
      <x:c r="N1475" s="9" t="str">
        <x:f>IF(H1475=0,"0 Current",IF(H1475&lt;=30,"1 1-30",IF(H1475&lt;=60,"2 31-60",IF(H1475&lt;=90,"3 61-90",IF(H1475&lt;=120,"4 91-120","5 121+")))))</x:f>
        <x:v>4 91-120</x:v>
      </x:c>
      <x:c r="O1475" s="9" t="n">
        <x:f>IF(J1475&gt;0,1,0)</x:f>
        <x:v>1</x:v>
      </x:c>
    </x:row>
    <x:row r="1476">
      <x:c r="A1476" s="15" t="str">
        <x:v>1472</x:v>
      </x:c>
      <x:c r="B1476" s="9" t="str">
        <x:v>Jordan</x:v>
      </x:c>
      <x:c r="C1476" s="9" t="str">
        <x:v>Auto</x:v>
      </x:c>
      <x:c r="D1476" s="9" t="str">
        <x:v>South</x:v>
      </x:c>
      <x:c r="E1476" s="9" t="n">
        <x:v>737</x:v>
      </x:c>
      <x:c r="F1476" s="11" t="n">
        <x:v>46096</x:v>
      </x:c>
      <x:c r="G1476" s="13" t="n">
        <x:v>1227.67</x:v>
      </x:c>
      <x:c r="H1476" s="9" t="n">
        <x:v>174</x:v>
      </x:c>
      <x:c r="I1476" s="9" t="n">
        <x:v>6</x:v>
      </x:c>
      <x:c r="J1476" s="9" t="n">
        <x:v>1</x:v>
      </x:c>
      <x:c r="K1476" s="9" t="n">
        <x:v>1</x:v>
      </x:c>
      <x:c r="L1476" s="13" t="n">
        <x:f>SUMIFS('Payments'!$D$5:$D$3014,'Payments'!$B$5:$B$3014,A1476)</x:f>
        <x:v>112.09</x:v>
      </x:c>
      <x:c r="M1476" s="13" t="n">
        <x:f>G1476-L1476</x:f>
        <x:v>1115.5800000000002</x:v>
      </x:c>
      <x:c r="N1476" s="9" t="str">
        <x:f>IF(H1476=0,"0 Current",IF(H1476&lt;=30,"1 1-30",IF(H1476&lt;=60,"2 31-60",IF(H1476&lt;=90,"3 61-90",IF(H1476&lt;=120,"4 91-120","5 121+")))))</x:f>
        <x:v>5 121+</x:v>
      </x:c>
      <x:c r="O1476" s="9" t="n">
        <x:f>IF(J1476&gt;0,1,0)</x:f>
        <x:v>1</x:v>
      </x:c>
    </x:row>
    <x:row r="1477">
      <x:c r="A1477" s="15" t="str">
        <x:v>1473</x:v>
      </x:c>
      <x:c r="B1477" s="9" t="str">
        <x:v>Riley</x:v>
      </x:c>
      <x:c r="C1477" s="9" t="str">
        <x:v>Personal Loan</x:v>
      </x:c>
      <x:c r="D1477" s="9" t="str">
        <x:v>Midwest</x:v>
      </x:c>
      <x:c r="E1477" s="9" t="n">
        <x:v>814</x:v>
      </x:c>
      <x:c r="F1477" s="11" t="n">
        <x:v>46085</x:v>
      </x:c>
      <x:c r="G1477" s="13" t="n">
        <x:v>9442.84</x:v>
      </x:c>
      <x:c r="H1477" s="9" t="n">
        <x:v>116</x:v>
      </x:c>
      <x:c r="I1477" s="9" t="n">
        <x:v>2</x:v>
      </x:c>
      <x:c r="J1477" s="9" t="n">
        <x:v>0</x:v>
      </x:c>
      <x:c r="K1477" s="9" t="n">
        <x:v>0</x:v>
      </x:c>
      <x:c r="L1477" s="13" t="n">
        <x:f>SUMIFS('Payments'!$D$5:$D$3014,'Payments'!$B$5:$B$3014,A1477)</x:f>
        <x:v>1616</x:v>
      </x:c>
      <x:c r="M1477" s="13" t="n">
        <x:f>G1477-L1477</x:f>
        <x:v>7826.84</x:v>
      </x:c>
      <x:c r="N1477" s="9" t="str">
        <x:f>IF(H1477=0,"0 Current",IF(H1477&lt;=30,"1 1-30",IF(H1477&lt;=60,"2 31-60",IF(H1477&lt;=90,"3 61-90",IF(H1477&lt;=120,"4 91-120","5 121+")))))</x:f>
        <x:v>4 91-120</x:v>
      </x:c>
      <x:c r="O1477" s="9" t="n">
        <x:f>IF(J1477&gt;0,1,0)</x:f>
        <x:v>0</x:v>
      </x:c>
    </x:row>
    <x:row r="1478">
      <x:c r="A1478" s="15" t="str">
        <x:v>1474</x:v>
      </x:c>
      <x:c r="B1478" s="9" t="str">
        <x:v>Taylor</x:v>
      </x:c>
      <x:c r="C1478" s="9" t="str">
        <x:v>Medical</x:v>
      </x:c>
      <x:c r="D1478" s="9" t="str">
        <x:v>West</x:v>
      </x:c>
      <x:c r="E1478" s="9" t="n">
        <x:v>623</x:v>
      </x:c>
      <x:c r="F1478" s="11" t="n">
        <x:v>46049</x:v>
      </x:c>
      <x:c r="G1478" s="13" t="n">
        <x:v>1199.9</x:v>
      </x:c>
      <x:c r="H1478" s="9" t="n">
        <x:v>200</x:v>
      </x:c>
      <x:c r="I1478" s="9" t="n">
        <x:v>6</x:v>
      </x:c>
      <x:c r="J1478" s="9" t="n">
        <x:v>2</x:v>
      </x:c>
      <x:c r="K1478" s="9" t="n">
        <x:v>1</x:v>
      </x:c>
      <x:c r="L1478" s="13" t="n">
        <x:f>SUMIFS('Payments'!$D$5:$D$3014,'Payments'!$B$5:$B$3014,A1478)</x:f>
        <x:v>392.06</x:v>
      </x:c>
      <x:c r="M1478" s="13" t="n">
        <x:f>G1478-L1478</x:f>
        <x:v>807.8400000000001</x:v>
      </x:c>
      <x:c r="N1478" s="9" t="str">
        <x:f>IF(H1478=0,"0 Current",IF(H1478&lt;=30,"1 1-30",IF(H1478&lt;=60,"2 31-60",IF(H1478&lt;=90,"3 61-90",IF(H1478&lt;=120,"4 91-120","5 121+")))))</x:f>
        <x:v>5 121+</x:v>
      </x:c>
      <x:c r="O1478" s="9" t="n">
        <x:f>IF(J1478&gt;0,1,0)</x:f>
        <x:v>1</x:v>
      </x:c>
    </x:row>
    <x:row r="1479">
      <x:c r="A1479" s="15" t="str">
        <x:v>1475</x:v>
      </x:c>
      <x:c r="B1479" s="9" t="str">
        <x:v>Jordan</x:v>
      </x:c>
      <x:c r="C1479" s="9" t="str">
        <x:v>Personal Loan</x:v>
      </x:c>
      <x:c r="D1479" s="9" t="str">
        <x:v>South</x:v>
      </x:c>
      <x:c r="E1479" s="9" t="n">
        <x:v>746</x:v>
      </x:c>
      <x:c r="F1479" s="11" t="n">
        <x:v>46113</x:v>
      </x:c>
      <x:c r="G1479" s="13" t="n">
        <x:v>22063.61</x:v>
      </x:c>
      <x:c r="H1479" s="9" t="n">
        <x:v>230</x:v>
      </x:c>
      <x:c r="I1479" s="9" t="n">
        <x:v>8</x:v>
      </x:c>
      <x:c r="J1479" s="9" t="n">
        <x:v>4</x:v>
      </x:c>
      <x:c r="K1479" s="9" t="n">
        <x:v>0</x:v>
      </x:c>
      <x:c r="L1479" s="13" t="n">
        <x:f>SUMIFS('Payments'!$D$5:$D$3014,'Payments'!$B$5:$B$3014,A1479)</x:f>
        <x:v>3211.6400000000003</x:v>
      </x:c>
      <x:c r="M1479" s="13" t="n">
        <x:f>G1479-L1479</x:f>
        <x:v>18851.97</x:v>
      </x:c>
      <x:c r="N1479" s="9" t="str">
        <x:f>IF(H1479=0,"0 Current",IF(H1479&lt;=30,"1 1-30",IF(H1479&lt;=60,"2 31-60",IF(H1479&lt;=90,"3 61-90",IF(H1479&lt;=120,"4 91-120","5 121+")))))</x:f>
        <x:v>5 121+</x:v>
      </x:c>
      <x:c r="O1479" s="9" t="n">
        <x:f>IF(J1479&gt;0,1,0)</x:f>
        <x:v>1</x:v>
      </x:c>
    </x:row>
    <x:row r="1480">
      <x:c r="A1480" s="15" t="str">
        <x:v>1476</x:v>
      </x:c>
      <x:c r="B1480" s="9" t="str">
        <x:v>Riley</x:v>
      </x:c>
      <x:c r="C1480" s="9" t="str">
        <x:v>Personal Loan</x:v>
      </x:c>
      <x:c r="D1480" s="9" t="str">
        <x:v>Northeast</x:v>
      </x:c>
      <x:c r="E1480" s="9" t="n">
        <x:v>600</x:v>
      </x:c>
      <x:c r="F1480" s="11" t="n">
        <x:v>46042</x:v>
      </x:c>
      <x:c r="G1480" s="13" t="n">
        <x:v>7664.25</x:v>
      </x:c>
      <x:c r="H1480" s="9" t="n">
        <x:v>92</x:v>
      </x:c>
      <x:c r="I1480" s="9" t="n">
        <x:v>3</x:v>
      </x:c>
      <x:c r="J1480" s="9" t="n">
        <x:v>0</x:v>
      </x:c>
      <x:c r="K1480" s="9" t="n">
        <x:v>0</x:v>
      </x:c>
      <x:c r="L1480" s="13" t="n">
        <x:f>SUMIFS('Payments'!$D$5:$D$3014,'Payments'!$B$5:$B$3014,A1480)</x:f>
        <x:v>1884.5200000000002</x:v>
      </x:c>
      <x:c r="M1480" s="13" t="n">
        <x:f>G1480-L1480</x:f>
        <x:v>5779.73</x:v>
      </x:c>
      <x:c r="N1480" s="9" t="str">
        <x:f>IF(H1480=0,"0 Current",IF(H1480&lt;=30,"1 1-30",IF(H1480&lt;=60,"2 31-60",IF(H1480&lt;=90,"3 61-90",IF(H1480&lt;=120,"4 91-120","5 121+")))))</x:f>
        <x:v>4 91-120</x:v>
      </x:c>
      <x:c r="O1480" s="9" t="n">
        <x:f>IF(J1480&gt;0,1,0)</x:f>
        <x:v>0</x:v>
      </x:c>
    </x:row>
    <x:row r="1481">
      <x:c r="A1481" s="15" t="str">
        <x:v>1477</x:v>
      </x:c>
      <x:c r="B1481" s="9" t="str">
        <x:v>Casey</x:v>
      </x:c>
      <x:c r="C1481" s="9" t="str">
        <x:v>Credit Card</x:v>
      </x:c>
      <x:c r="D1481" s="9" t="str">
        <x:v>West</x:v>
      </x:c>
      <x:c r="E1481" s="9" t="n">
        <x:v>582</x:v>
      </x:c>
      <x:c r="F1481" s="11" t="n">
        <x:v>46033</x:v>
      </x:c>
      <x:c r="G1481" s="13" t="n">
        <x:v>2827.3</x:v>
      </x:c>
      <x:c r="H1481" s="9" t="n">
        <x:v>209</x:v>
      </x:c>
      <x:c r="I1481" s="9" t="n">
        <x:v>2</x:v>
      </x:c>
      <x:c r="J1481" s="9" t="n">
        <x:v>2</x:v>
      </x:c>
      <x:c r="K1481" s="9" t="n">
        <x:v>1</x:v>
      </x:c>
      <x:c r="L1481" s="13" t="n">
        <x:f>SUMIFS('Payments'!$D$5:$D$3014,'Payments'!$B$5:$B$3014,A1481)</x:f>
        <x:v>442.24</x:v>
      </x:c>
      <x:c r="M1481" s="13" t="n">
        <x:f>G1481-L1481</x:f>
        <x:v>2385.0600000000004</x:v>
      </x:c>
      <x:c r="N1481" s="9" t="str">
        <x:f>IF(H1481=0,"0 Current",IF(H1481&lt;=30,"1 1-30",IF(H1481&lt;=60,"2 31-60",IF(H1481&lt;=90,"3 61-90",IF(H1481&lt;=120,"4 91-120","5 121+")))))</x:f>
        <x:v>5 121+</x:v>
      </x:c>
      <x:c r="O1481" s="9" t="n">
        <x:f>IF(J1481&gt;0,1,0)</x:f>
        <x:v>1</x:v>
      </x:c>
    </x:row>
    <x:row r="1482">
      <x:c r="A1482" s="15" t="str">
        <x:v>1478</x:v>
      </x:c>
      <x:c r="B1482" s="9" t="str">
        <x:v>Morgan</x:v>
      </x:c>
      <x:c r="C1482" s="9" t="str">
        <x:v>Credit Card</x:v>
      </x:c>
      <x:c r="D1482" s="9" t="str">
        <x:v>South</x:v>
      </x:c>
      <x:c r="E1482" s="9" t="n">
        <x:v>726</x:v>
      </x:c>
      <x:c r="F1482" s="11" t="n">
        <x:v>46117</x:v>
      </x:c>
      <x:c r="G1482" s="13" t="n">
        <x:v>24585.08</x:v>
      </x:c>
      <x:c r="H1482" s="9" t="n">
        <x:v>215</x:v>
      </x:c>
      <x:c r="I1482" s="9" t="n">
        <x:v>4</x:v>
      </x:c>
      <x:c r="J1482" s="9" t="n">
        <x:v>2</x:v>
      </x:c>
      <x:c r="K1482" s="9" t="n">
        <x:v>1</x:v>
      </x:c>
      <x:c r="L1482" s="13" t="n">
        <x:f>SUMIFS('Payments'!$D$5:$D$3014,'Payments'!$B$5:$B$3014,A1482)</x:f>
        <x:v>5028.56</x:v>
      </x:c>
      <x:c r="M1482" s="13" t="n">
        <x:f>G1482-L1482</x:f>
        <x:v>19556.52</x:v>
      </x:c>
      <x:c r="N1482" s="9" t="str">
        <x:f>IF(H1482=0,"0 Current",IF(H1482&lt;=30,"1 1-30",IF(H1482&lt;=60,"2 31-60",IF(H1482&lt;=90,"3 61-90",IF(H1482&lt;=120,"4 91-120","5 121+")))))</x:f>
        <x:v>5 121+</x:v>
      </x:c>
      <x:c r="O1482" s="9" t="n">
        <x:f>IF(J1482&gt;0,1,0)</x:f>
        <x:v>1</x:v>
      </x:c>
    </x:row>
    <x:row r="1483">
      <x:c r="A1483" s="15" t="str">
        <x:v>1479</x:v>
      </x:c>
      <x:c r="B1483" s="9" t="str">
        <x:v>Casey</x:v>
      </x:c>
      <x:c r="C1483" s="9" t="str">
        <x:v>Credit Card</x:v>
      </x:c>
      <x:c r="D1483" s="9" t="str">
        <x:v>West</x:v>
      </x:c>
      <x:c r="E1483" s="9" t="n">
        <x:v>628</x:v>
      </x:c>
      <x:c r="F1483" s="11" t="n">
        <x:v>46114</x:v>
      </x:c>
      <x:c r="G1483" s="13" t="n">
        <x:v>15701.97</x:v>
      </x:c>
      <x:c r="H1483" s="9" t="n">
        <x:v>82</x:v>
      </x:c>
      <x:c r="I1483" s="9" t="n">
        <x:v>0</x:v>
      </x:c>
      <x:c r="J1483" s="9" t="n">
        <x:v>0</x:v>
      </x:c>
      <x:c r="K1483" s="9" t="n">
        <x:v>0</x:v>
      </x:c>
      <x:c r="L1483" s="13" t="n">
        <x:f>SUMIFS('Payments'!$D$5:$D$3014,'Payments'!$B$5:$B$3014,A1483)</x:f>
        <x:v>112.21</x:v>
      </x:c>
      <x:c r="M1483" s="13" t="n">
        <x:f>G1483-L1483</x:f>
        <x:v>15589.76</x:v>
      </x:c>
      <x:c r="N1483" s="9" t="str">
        <x:f>IF(H1483=0,"0 Current",IF(H1483&lt;=30,"1 1-30",IF(H1483&lt;=60,"2 31-60",IF(H1483&lt;=90,"3 61-90",IF(H1483&lt;=120,"4 91-120","5 121+")))))</x:f>
        <x:v>3 61-90</x:v>
      </x:c>
      <x:c r="O1483" s="9" t="n">
        <x:f>IF(J1483&gt;0,1,0)</x:f>
        <x:v>0</x:v>
      </x:c>
    </x:row>
    <x:row r="1484">
      <x:c r="A1484" s="15" t="str">
        <x:v>1480</x:v>
      </x:c>
      <x:c r="B1484" s="9" t="str">
        <x:v>Alex</x:v>
      </x:c>
      <x:c r="C1484" s="9" t="str">
        <x:v>Auto</x:v>
      </x:c>
      <x:c r="D1484" s="9" t="str">
        <x:v>Northeast</x:v>
      </x:c>
      <x:c r="E1484" s="9" t="n">
        <x:v>458</x:v>
      </x:c>
      <x:c r="F1484" s="11" t="n">
        <x:v>46101</x:v>
      </x:c>
      <x:c r="G1484" s="13" t="n">
        <x:v>12950.06</x:v>
      </x:c>
      <x:c r="H1484" s="9" t="n">
        <x:v>136</x:v>
      </x:c>
      <x:c r="I1484" s="9" t="n">
        <x:v>1</x:v>
      </x:c>
      <x:c r="J1484" s="9" t="n">
        <x:v>1</x:v>
      </x:c>
      <x:c r="K1484" s="9" t="n">
        <x:v>0</x:v>
      </x:c>
      <x:c r="L1484" s="13" t="n">
        <x:f>SUMIFS('Payments'!$D$5:$D$3014,'Payments'!$B$5:$B$3014,A1484)</x:f>
        <x:v>0</x:v>
      </x:c>
      <x:c r="M1484" s="13" t="n">
        <x:f>G1484-L1484</x:f>
        <x:v>12950.06</x:v>
      </x:c>
      <x:c r="N1484" s="9" t="str">
        <x:f>IF(H1484=0,"0 Current",IF(H1484&lt;=30,"1 1-30",IF(H1484&lt;=60,"2 31-60",IF(H1484&lt;=90,"3 61-90",IF(H1484&lt;=120,"4 91-120","5 121+")))))</x:f>
        <x:v>5 121+</x:v>
      </x:c>
      <x:c r="O1484" s="9" t="n">
        <x:f>IF(J1484&gt;0,1,0)</x:f>
        <x:v>1</x:v>
      </x:c>
    </x:row>
    <x:row r="1485">
      <x:c r="A1485" s="15" t="str">
        <x:v>1481</x:v>
      </x:c>
      <x:c r="B1485" s="9" t="str">
        <x:v>Riley</x:v>
      </x:c>
      <x:c r="C1485" s="9" t="str">
        <x:v>Personal Loan</x:v>
      </x:c>
      <x:c r="D1485" s="9" t="str">
        <x:v>West</x:v>
      </x:c>
      <x:c r="E1485" s="9" t="n">
        <x:v>510</x:v>
      </x:c>
      <x:c r="F1485" s="11" t="n">
        <x:v>46127</x:v>
      </x:c>
      <x:c r="G1485" s="13" t="n">
        <x:v>15623.08</x:v>
      </x:c>
      <x:c r="H1485" s="9" t="n">
        <x:v>169</x:v>
      </x:c>
      <x:c r="I1485" s="9" t="n">
        <x:v>3</x:v>
      </x:c>
      <x:c r="J1485" s="9" t="n">
        <x:v>1</x:v>
      </x:c>
      <x:c r="K1485" s="9" t="n">
        <x:v>0</x:v>
      </x:c>
      <x:c r="L1485" s="13" t="n">
        <x:f>SUMIFS('Payments'!$D$5:$D$3014,'Payments'!$B$5:$B$3014,A1485)</x:f>
        <x:v>1924.58</x:v>
      </x:c>
      <x:c r="M1485" s="13" t="n">
        <x:f>G1485-L1485</x:f>
        <x:v>13698.5</x:v>
      </x:c>
      <x:c r="N1485" s="9" t="str">
        <x:f>IF(H1485=0,"0 Current",IF(H1485&lt;=30,"1 1-30",IF(H1485&lt;=60,"2 31-60",IF(H1485&lt;=90,"3 61-90",IF(H1485&lt;=120,"4 91-120","5 121+")))))</x:f>
        <x:v>5 121+</x:v>
      </x:c>
      <x:c r="O1485" s="9" t="n">
        <x:f>IF(J1485&gt;0,1,0)</x:f>
        <x:v>1</x:v>
      </x:c>
    </x:row>
    <x:row r="1486">
      <x:c r="A1486" s="15" t="str">
        <x:v>1482</x:v>
      </x:c>
      <x:c r="B1486" s="9" t="str">
        <x:v>Casey</x:v>
      </x:c>
      <x:c r="C1486" s="9" t="str">
        <x:v>Personal Loan</x:v>
      </x:c>
      <x:c r="D1486" s="9" t="str">
        <x:v>South</x:v>
      </x:c>
      <x:c r="E1486" s="9" t="n">
        <x:v>548</x:v>
      </x:c>
      <x:c r="F1486" s="11" t="n">
        <x:v>46070</x:v>
      </x:c>
      <x:c r="G1486" s="13" t="n">
        <x:v>4622.18</x:v>
      </x:c>
      <x:c r="H1486" s="9" t="n">
        <x:v>87</x:v>
      </x:c>
      <x:c r="I1486" s="9" t="n">
        <x:v>4</x:v>
      </x:c>
      <x:c r="J1486" s="9" t="n">
        <x:v>3</x:v>
      </x:c>
      <x:c r="K1486" s="9" t="n">
        <x:v>1</x:v>
      </x:c>
      <x:c r="L1486" s="13" t="n">
        <x:f>SUMIFS('Payments'!$D$5:$D$3014,'Payments'!$B$5:$B$3014,A1486)</x:f>
        <x:v>46.09</x:v>
      </x:c>
      <x:c r="M1486" s="13" t="n">
        <x:f>G1486-L1486</x:f>
        <x:v>4576.09</x:v>
      </x:c>
      <x:c r="N1486" s="9" t="str">
        <x:f>IF(H1486=0,"0 Current",IF(H1486&lt;=30,"1 1-30",IF(H1486&lt;=60,"2 31-60",IF(H1486&lt;=90,"3 61-90",IF(H1486&lt;=120,"4 91-120","5 121+")))))</x:f>
        <x:v>3 61-90</x:v>
      </x:c>
      <x:c r="O1486" s="9" t="n">
        <x:f>IF(J1486&gt;0,1,0)</x:f>
        <x:v>1</x:v>
      </x:c>
    </x:row>
    <x:row r="1487">
      <x:c r="A1487" s="15" t="str">
        <x:v>1483</x:v>
      </x:c>
      <x:c r="B1487" s="9" t="str">
        <x:v>Alex</x:v>
      </x:c>
      <x:c r="C1487" s="9" t="str">
        <x:v>Medical</x:v>
      </x:c>
      <x:c r="D1487" s="9" t="str">
        <x:v>South</x:v>
      </x:c>
      <x:c r="E1487" s="9" t="n">
        <x:v>518</x:v>
      </x:c>
      <x:c r="F1487" s="11" t="n">
        <x:v>46120</x:v>
      </x:c>
      <x:c r="G1487" s="13" t="n">
        <x:v>4412.59</x:v>
      </x:c>
      <x:c r="H1487" s="9" t="n">
        <x:v>40</x:v>
      </x:c>
      <x:c r="I1487" s="9" t="n">
        <x:v>2</x:v>
      </x:c>
      <x:c r="J1487" s="9" t="n">
        <x:v>1</x:v>
      </x:c>
      <x:c r="K1487" s="9" t="n">
        <x:v>0</x:v>
      </x:c>
      <x:c r="L1487" s="13" t="n">
        <x:f>SUMIFS('Payments'!$D$5:$D$3014,'Payments'!$B$5:$B$3014,A1487)</x:f>
        <x:v>372.9</x:v>
      </x:c>
      <x:c r="M1487" s="13" t="n">
        <x:f>G1487-L1487</x:f>
        <x:v>4039.69</x:v>
      </x:c>
      <x:c r="N1487" s="9" t="str">
        <x:f>IF(H1487=0,"0 Current",IF(H1487&lt;=30,"1 1-30",IF(H1487&lt;=60,"2 31-60",IF(H1487&lt;=90,"3 61-90",IF(H1487&lt;=120,"4 91-120","5 121+")))))</x:f>
        <x:v>2 31-60</x:v>
      </x:c>
      <x:c r="O1487" s="9" t="n">
        <x:f>IF(J1487&gt;0,1,0)</x:f>
        <x:v>1</x:v>
      </x:c>
    </x:row>
    <x:row r="1488">
      <x:c r="A1488" s="15" t="str">
        <x:v>1484</x:v>
      </x:c>
      <x:c r="B1488" s="9" t="str">
        <x:v>Jordan</x:v>
      </x:c>
      <x:c r="C1488" s="9" t="str">
        <x:v>Medical</x:v>
      </x:c>
      <x:c r="D1488" s="9" t="str">
        <x:v>West</x:v>
      </x:c>
      <x:c r="E1488" s="9" t="n">
        <x:v>539</x:v>
      </x:c>
      <x:c r="F1488" s="11" t="n">
        <x:v>46044</x:v>
      </x:c>
      <x:c r="G1488" s="13" t="n">
        <x:v>21438.86</x:v>
      </x:c>
      <x:c r="H1488" s="9" t="n">
        <x:v>166</x:v>
      </x:c>
      <x:c r="I1488" s="9" t="n">
        <x:v>7</x:v>
      </x:c>
      <x:c r="J1488" s="9" t="n">
        <x:v>2</x:v>
      </x:c>
      <x:c r="K1488" s="9" t="n">
        <x:v>0</x:v>
      </x:c>
      <x:c r="L1488" s="13" t="n">
        <x:f>SUMIFS('Payments'!$D$5:$D$3014,'Payments'!$B$5:$B$3014,A1488)</x:f>
        <x:v>3204.4900000000002</x:v>
      </x:c>
      <x:c r="M1488" s="13" t="n">
        <x:f>G1488-L1488</x:f>
        <x:v>18234.37</x:v>
      </x:c>
      <x:c r="N1488" s="9" t="str">
        <x:f>IF(H1488=0,"0 Current",IF(H1488&lt;=30,"1 1-30",IF(H1488&lt;=60,"2 31-60",IF(H1488&lt;=90,"3 61-90",IF(H1488&lt;=120,"4 91-120","5 121+")))))</x:f>
        <x:v>5 121+</x:v>
      </x:c>
      <x:c r="O1488" s="9" t="n">
        <x:f>IF(J1488&gt;0,1,0)</x:f>
        <x:v>1</x:v>
      </x:c>
    </x:row>
    <x:row r="1489">
      <x:c r="A1489" s="15" t="str">
        <x:v>1485</x:v>
      </x:c>
      <x:c r="B1489" s="9" t="str">
        <x:v>Casey</x:v>
      </x:c>
      <x:c r="C1489" s="9" t="str">
        <x:v>Credit Card</x:v>
      </x:c>
      <x:c r="D1489" s="9" t="str">
        <x:v>West</x:v>
      </x:c>
      <x:c r="E1489" s="9" t="n">
        <x:v>725</x:v>
      </x:c>
      <x:c r="F1489" s="11" t="n">
        <x:v>46074</x:v>
      </x:c>
      <x:c r="G1489" s="13" t="n">
        <x:v>7122.83</x:v>
      </x:c>
      <x:c r="H1489" s="9" t="n">
        <x:v>165</x:v>
      </x:c>
      <x:c r="I1489" s="9" t="n">
        <x:v>3</x:v>
      </x:c>
      <x:c r="J1489" s="9" t="n">
        <x:v>2</x:v>
      </x:c>
      <x:c r="K1489" s="9" t="n">
        <x:v>1</x:v>
      </x:c>
      <x:c r="L1489" s="13" t="n">
        <x:f>SUMIFS('Payments'!$D$5:$D$3014,'Payments'!$B$5:$B$3014,A1489)</x:f>
        <x:v>1356.22</x:v>
      </x:c>
      <x:c r="M1489" s="13" t="n">
        <x:f>G1489-L1489</x:f>
        <x:v>5766.61</x:v>
      </x:c>
      <x:c r="N1489" s="9" t="str">
        <x:f>IF(H1489=0,"0 Current",IF(H1489&lt;=30,"1 1-30",IF(H1489&lt;=60,"2 31-60",IF(H1489&lt;=90,"3 61-90",IF(H1489&lt;=120,"4 91-120","5 121+")))))</x:f>
        <x:v>5 121+</x:v>
      </x:c>
      <x:c r="O1489" s="9" t="n">
        <x:f>IF(J1489&gt;0,1,0)</x:f>
        <x:v>1</x:v>
      </x:c>
    </x:row>
    <x:row r="1490">
      <x:c r="A1490" s="15" t="str">
        <x:v>1486</x:v>
      </x:c>
      <x:c r="B1490" s="9" t="str">
        <x:v>Jordan</x:v>
      </x:c>
      <x:c r="C1490" s="9" t="str">
        <x:v>Credit Card</x:v>
      </x:c>
      <x:c r="D1490" s="9" t="str">
        <x:v>Northeast</x:v>
      </x:c>
      <x:c r="E1490" s="9" t="n">
        <x:v>490</x:v>
      </x:c>
      <x:c r="F1490" s="11" t="n">
        <x:v>46070</x:v>
      </x:c>
      <x:c r="G1490" s="13" t="n">
        <x:v>2374.68</x:v>
      </x:c>
      <x:c r="H1490" s="9" t="n">
        <x:v>180</x:v>
      </x:c>
      <x:c r="I1490" s="9" t="n">
        <x:v>6</x:v>
      </x:c>
      <x:c r="J1490" s="9" t="n">
        <x:v>3</x:v>
      </x:c>
      <x:c r="K1490" s="9" t="n">
        <x:v>0</x:v>
      </x:c>
      <x:c r="L1490" s="13" t="n">
        <x:f>SUMIFS('Payments'!$D$5:$D$3014,'Payments'!$B$5:$B$3014,A1490)</x:f>
        <x:v>217.01</x:v>
      </x:c>
      <x:c r="M1490" s="13" t="n">
        <x:f>G1490-L1490</x:f>
        <x:v>2157.67</x:v>
      </x:c>
      <x:c r="N1490" s="9" t="str">
        <x:f>IF(H1490=0,"0 Current",IF(H1490&lt;=30,"1 1-30",IF(H1490&lt;=60,"2 31-60",IF(H1490&lt;=90,"3 61-90",IF(H1490&lt;=120,"4 91-120","5 121+")))))</x:f>
        <x:v>5 121+</x:v>
      </x:c>
      <x:c r="O1490" s="9" t="n">
        <x:f>IF(J1490&gt;0,1,0)</x:f>
        <x:v>1</x:v>
      </x:c>
    </x:row>
    <x:row r="1491">
      <x:c r="A1491" s="15" t="str">
        <x:v>1487</x:v>
      </x:c>
      <x:c r="B1491" s="9" t="str">
        <x:v>Morgan</x:v>
      </x:c>
      <x:c r="C1491" s="9" t="str">
        <x:v>Credit Card</x:v>
      </x:c>
      <x:c r="D1491" s="9" t="str">
        <x:v>South</x:v>
      </x:c>
      <x:c r="E1491" s="9" t="n">
        <x:v>493</x:v>
      </x:c>
      <x:c r="F1491" s="11" t="n">
        <x:v>46090</x:v>
      </x:c>
      <x:c r="G1491" s="13" t="n">
        <x:v>19422.81</x:v>
      </x:c>
      <x:c r="H1491" s="9" t="n">
        <x:v>183</x:v>
      </x:c>
      <x:c r="I1491" s="9" t="n">
        <x:v>8</x:v>
      </x:c>
      <x:c r="J1491" s="9" t="n">
        <x:v>0</x:v>
      </x:c>
      <x:c r="K1491" s="9" t="n">
        <x:v>0</x:v>
      </x:c>
      <x:c r="L1491" s="13" t="n">
        <x:f>SUMIFS('Payments'!$D$5:$D$3014,'Payments'!$B$5:$B$3014,A1491)</x:f>
        <x:v>5957</x:v>
      </x:c>
      <x:c r="M1491" s="13" t="n">
        <x:f>G1491-L1491</x:f>
        <x:v>13465.810000000001</x:v>
      </x:c>
      <x:c r="N1491" s="9" t="str">
        <x:f>IF(H1491=0,"0 Current",IF(H1491&lt;=30,"1 1-30",IF(H1491&lt;=60,"2 31-60",IF(H1491&lt;=90,"3 61-90",IF(H1491&lt;=120,"4 91-120","5 121+")))))</x:f>
        <x:v>5 121+</x:v>
      </x:c>
      <x:c r="O1491" s="9" t="n">
        <x:f>IF(J1491&gt;0,1,0)</x:f>
        <x:v>0</x:v>
      </x:c>
    </x:row>
    <x:row r="1492">
      <x:c r="A1492" s="15" t="str">
        <x:v>1488</x:v>
      </x:c>
      <x:c r="B1492" s="9" t="str">
        <x:v>Taylor</x:v>
      </x:c>
      <x:c r="C1492" s="9" t="str">
        <x:v>Personal Loan</x:v>
      </x:c>
      <x:c r="D1492" s="9" t="str">
        <x:v>West</x:v>
      </x:c>
      <x:c r="E1492" s="9" t="n">
        <x:v>472</x:v>
      </x:c>
      <x:c r="F1492" s="11" t="n">
        <x:v>46153</x:v>
      </x:c>
      <x:c r="G1492" s="13" t="n">
        <x:v>19072.27</x:v>
      </x:c>
      <x:c r="H1492" s="9" t="n">
        <x:v>108</x:v>
      </x:c>
      <x:c r="I1492" s="9" t="n">
        <x:v>2</x:v>
      </x:c>
      <x:c r="J1492" s="9" t="n">
        <x:v>2</x:v>
      </x:c>
      <x:c r="K1492" s="9" t="n">
        <x:v>0</x:v>
      </x:c>
      <x:c r="L1492" s="13" t="n">
        <x:f>SUMIFS('Payments'!$D$5:$D$3014,'Payments'!$B$5:$B$3014,A1492)</x:f>
        <x:v>3026.6600000000003</x:v>
      </x:c>
      <x:c r="M1492" s="13" t="n">
        <x:f>G1492-L1492</x:f>
        <x:v>16045.61</x:v>
      </x:c>
      <x:c r="N1492" s="9" t="str">
        <x:f>IF(H1492=0,"0 Current",IF(H1492&lt;=30,"1 1-30",IF(H1492&lt;=60,"2 31-60",IF(H1492&lt;=90,"3 61-90",IF(H1492&lt;=120,"4 91-120","5 121+")))))</x:f>
        <x:v>4 91-120</x:v>
      </x:c>
      <x:c r="O1492" s="9" t="n">
        <x:f>IF(J1492&gt;0,1,0)</x:f>
        <x:v>1</x:v>
      </x:c>
    </x:row>
    <x:row r="1493">
      <x:c r="A1493" s="15" t="str">
        <x:v>1489</x:v>
      </x:c>
      <x:c r="B1493" s="9" t="str">
        <x:v>Riley</x:v>
      </x:c>
      <x:c r="C1493" s="9" t="str">
        <x:v>Credit Card</x:v>
      </x:c>
      <x:c r="D1493" s="9" t="str">
        <x:v>Northeast</x:v>
      </x:c>
      <x:c r="E1493" s="9" t="n">
        <x:v>678</x:v>
      </x:c>
      <x:c r="F1493" s="11" t="n">
        <x:v>46048</x:v>
      </x:c>
      <x:c r="G1493" s="13" t="n">
        <x:v>8617.22</x:v>
      </x:c>
      <x:c r="H1493" s="9" t="n">
        <x:v>236</x:v>
      </x:c>
      <x:c r="I1493" s="9" t="n">
        <x:v>1</x:v>
      </x:c>
      <x:c r="J1493" s="9" t="n">
        <x:v>1</x:v>
      </x:c>
      <x:c r="K1493" s="9" t="n">
        <x:v>0</x:v>
      </x:c>
      <x:c r="L1493" s="13" t="n">
        <x:f>SUMIFS('Payments'!$D$5:$D$3014,'Payments'!$B$5:$B$3014,A1493)</x:f>
        <x:v>1014.94</x:v>
      </x:c>
      <x:c r="M1493" s="13" t="n">
        <x:f>G1493-L1493</x:f>
        <x:v>7602.279999999999</x:v>
      </x:c>
      <x:c r="N1493" s="9" t="str">
        <x:f>IF(H1493=0,"0 Current",IF(H1493&lt;=30,"1 1-30",IF(H1493&lt;=60,"2 31-60",IF(H1493&lt;=90,"3 61-90",IF(H1493&lt;=120,"4 91-120","5 121+")))))</x:f>
        <x:v>5 121+</x:v>
      </x:c>
      <x:c r="O1493" s="9" t="n">
        <x:f>IF(J1493&gt;0,1,0)</x:f>
        <x:v>1</x:v>
      </x:c>
    </x:row>
    <x:row r="1494">
      <x:c r="A1494" s="15" t="str">
        <x:v>1490</x:v>
      </x:c>
      <x:c r="B1494" s="9" t="str">
        <x:v>Alex</x:v>
      </x:c>
      <x:c r="C1494" s="9" t="str">
        <x:v>Personal Loan</x:v>
      </x:c>
      <x:c r="D1494" s="9" t="str">
        <x:v>South</x:v>
      </x:c>
      <x:c r="E1494" s="9" t="n">
        <x:v>508</x:v>
      </x:c>
      <x:c r="F1494" s="11" t="n">
        <x:v>46077</x:v>
      </x:c>
      <x:c r="G1494" s="13" t="n">
        <x:v>21846.47</x:v>
      </x:c>
      <x:c r="H1494" s="9" t="n">
        <x:v>31</x:v>
      </x:c>
      <x:c r="I1494" s="9" t="n">
        <x:v>2</x:v>
      </x:c>
      <x:c r="J1494" s="9" t="n">
        <x:v>1</x:v>
      </x:c>
      <x:c r="K1494" s="9" t="n">
        <x:v>0</x:v>
      </x:c>
      <x:c r="L1494" s="13" t="n">
        <x:f>SUMIFS('Payments'!$D$5:$D$3014,'Payments'!$B$5:$B$3014,A1494)</x:f>
        <x:v>3000.8</x:v>
      </x:c>
      <x:c r="M1494" s="13" t="n">
        <x:f>G1494-L1494</x:f>
        <x:v>18845.670000000002</x:v>
      </x:c>
      <x:c r="N1494" s="9" t="str">
        <x:f>IF(H1494=0,"0 Current",IF(H1494&lt;=30,"1 1-30",IF(H1494&lt;=60,"2 31-60",IF(H1494&lt;=90,"3 61-90",IF(H1494&lt;=120,"4 91-120","5 121+")))))</x:f>
        <x:v>2 31-60</x:v>
      </x:c>
      <x:c r="O1494" s="9" t="n">
        <x:f>IF(J1494&gt;0,1,0)</x:f>
        <x:v>1</x:v>
      </x:c>
    </x:row>
    <x:row r="1495">
      <x:c r="A1495" s="15" t="str">
        <x:v>1491</x:v>
      </x:c>
      <x:c r="B1495" s="9" t="str">
        <x:v>Morgan</x:v>
      </x:c>
      <x:c r="C1495" s="9" t="str">
        <x:v>Credit Card</x:v>
      </x:c>
      <x:c r="D1495" s="9" t="str">
        <x:v>South</x:v>
      </x:c>
      <x:c r="E1495" s="9" t="n">
        <x:v>451</x:v>
      </x:c>
      <x:c r="F1495" s="11" t="n">
        <x:v>46054</x:v>
      </x:c>
      <x:c r="G1495" s="13" t="n">
        <x:v>11389.06</x:v>
      </x:c>
      <x:c r="H1495" s="9" t="n">
        <x:v>92</x:v>
      </x:c>
      <x:c r="I1495" s="9" t="n">
        <x:v>2</x:v>
      </x:c>
      <x:c r="J1495" s="9" t="n">
        <x:v>1</x:v>
      </x:c>
      <x:c r="K1495" s="9" t="n">
        <x:v>0</x:v>
      </x:c>
      <x:c r="L1495" s="13" t="n">
        <x:f>SUMIFS('Payments'!$D$5:$D$3014,'Payments'!$B$5:$B$3014,A1495)</x:f>
        <x:v>816.42</x:v>
      </x:c>
      <x:c r="M1495" s="13" t="n">
        <x:f>G1495-L1495</x:f>
        <x:v>10572.64</x:v>
      </x:c>
      <x:c r="N1495" s="9" t="str">
        <x:f>IF(H1495=0,"0 Current",IF(H1495&lt;=30,"1 1-30",IF(H1495&lt;=60,"2 31-60",IF(H1495&lt;=90,"3 61-90",IF(H1495&lt;=120,"4 91-120","5 121+")))))</x:f>
        <x:v>4 91-120</x:v>
      </x:c>
      <x:c r="O1495" s="9" t="n">
        <x:f>IF(J1495&gt;0,1,0)</x:f>
        <x:v>1</x:v>
      </x:c>
    </x:row>
    <x:row r="1496">
      <x:c r="A1496" s="15" t="str">
        <x:v>1492</x:v>
      </x:c>
      <x:c r="B1496" s="9" t="str">
        <x:v>Casey</x:v>
      </x:c>
      <x:c r="C1496" s="9" t="str">
        <x:v>Personal Loan</x:v>
      </x:c>
      <x:c r="D1496" s="9" t="str">
        <x:v>West</x:v>
      </x:c>
      <x:c r="E1496" s="9" t="n">
        <x:v>793</x:v>
      </x:c>
      <x:c r="F1496" s="11" t="n">
        <x:v>46127</x:v>
      </x:c>
      <x:c r="G1496" s="13" t="n">
        <x:v>20390.73</x:v>
      </x:c>
      <x:c r="H1496" s="9" t="n">
        <x:v>186</x:v>
      </x:c>
      <x:c r="I1496" s="9" t="n">
        <x:v>7</x:v>
      </x:c>
      <x:c r="J1496" s="9" t="n">
        <x:v>4</x:v>
      </x:c>
      <x:c r="K1496" s="9" t="n">
        <x:v>0</x:v>
      </x:c>
      <x:c r="L1496" s="13" t="n">
        <x:f>SUMIFS('Payments'!$D$5:$D$3014,'Payments'!$B$5:$B$3014,A1496)</x:f>
        <x:v>340.54</x:v>
      </x:c>
      <x:c r="M1496" s="13" t="n">
        <x:f>G1496-L1496</x:f>
        <x:v>20050.19</x:v>
      </x:c>
      <x:c r="N1496" s="9" t="str">
        <x:f>IF(H1496=0,"0 Current",IF(H1496&lt;=30,"1 1-30",IF(H1496&lt;=60,"2 31-60",IF(H1496&lt;=90,"3 61-90",IF(H1496&lt;=120,"4 91-120","5 121+")))))</x:f>
        <x:v>5 121+</x:v>
      </x:c>
      <x:c r="O1496" s="9" t="n">
        <x:f>IF(J1496&gt;0,1,0)</x:f>
        <x:v>1</x:v>
      </x:c>
    </x:row>
    <x:row r="1497">
      <x:c r="A1497" s="15" t="str">
        <x:v>1493</x:v>
      </x:c>
      <x:c r="B1497" s="9" t="str">
        <x:v>Taylor</x:v>
      </x:c>
      <x:c r="C1497" s="9" t="str">
        <x:v>Medical</x:v>
      </x:c>
      <x:c r="D1497" s="9" t="str">
        <x:v>West</x:v>
      </x:c>
      <x:c r="E1497" s="9" t="n">
        <x:v>622</x:v>
      </x:c>
      <x:c r="F1497" s="11" t="n">
        <x:v>46065</x:v>
      </x:c>
      <x:c r="G1497" s="13" t="n">
        <x:v>15916.58</x:v>
      </x:c>
      <x:c r="H1497" s="9" t="n">
        <x:v>223</x:v>
      </x:c>
      <x:c r="I1497" s="9" t="n">
        <x:v>8</x:v>
      </x:c>
      <x:c r="J1497" s="9" t="n">
        <x:v>2</x:v>
      </x:c>
      <x:c r="K1497" s="9" t="n">
        <x:v>0</x:v>
      </x:c>
      <x:c r="L1497" s="13" t="n">
        <x:f>SUMIFS('Payments'!$D$5:$D$3014,'Payments'!$B$5:$B$3014,A1497)</x:f>
        <x:v>1387.66</x:v>
      </x:c>
      <x:c r="M1497" s="13" t="n">
        <x:f>G1497-L1497</x:f>
        <x:v>14528.92</x:v>
      </x:c>
      <x:c r="N1497" s="9" t="str">
        <x:f>IF(H1497=0,"0 Current",IF(H1497&lt;=30,"1 1-30",IF(H1497&lt;=60,"2 31-60",IF(H1497&lt;=90,"3 61-90",IF(H1497&lt;=120,"4 91-120","5 121+")))))</x:f>
        <x:v>5 121+</x:v>
      </x:c>
      <x:c r="O1497" s="9" t="n">
        <x:f>IF(J1497&gt;0,1,0)</x:f>
        <x:v>1</x:v>
      </x:c>
    </x:row>
    <x:row r="1498">
      <x:c r="A1498" s="15" t="str">
        <x:v>1494</x:v>
      </x:c>
      <x:c r="B1498" s="9" t="str">
        <x:v>Riley</x:v>
      </x:c>
      <x:c r="C1498" s="9" t="str">
        <x:v>Auto</x:v>
      </x:c>
      <x:c r="D1498" s="9" t="str">
        <x:v>Midwest</x:v>
      </x:c>
      <x:c r="E1498" s="9" t="n">
        <x:v>779</x:v>
      </x:c>
      <x:c r="F1498" s="11" t="n">
        <x:v>46127</x:v>
      </x:c>
      <x:c r="G1498" s="13" t="n">
        <x:v>21270.57</x:v>
      </x:c>
      <x:c r="H1498" s="9" t="n">
        <x:v>71</x:v>
      </x:c>
      <x:c r="I1498" s="9" t="n">
        <x:v>5</x:v>
      </x:c>
      <x:c r="J1498" s="9" t="n">
        <x:v>3</x:v>
      </x:c>
      <x:c r="K1498" s="9" t="n">
        <x:v>1</x:v>
      </x:c>
      <x:c r="L1498" s="13" t="n">
        <x:f>SUMIFS('Payments'!$D$5:$D$3014,'Payments'!$B$5:$B$3014,A1498)</x:f>
        <x:v>2576.48</x:v>
      </x:c>
      <x:c r="M1498" s="13" t="n">
        <x:f>G1498-L1498</x:f>
        <x:v>18694.09</x:v>
      </x:c>
      <x:c r="N1498" s="9" t="str">
        <x:f>IF(H1498=0,"0 Current",IF(H1498&lt;=30,"1 1-30",IF(H1498&lt;=60,"2 31-60",IF(H1498&lt;=90,"3 61-90",IF(H1498&lt;=120,"4 91-120","5 121+")))))</x:f>
        <x:v>3 61-90</x:v>
      </x:c>
      <x:c r="O1498" s="9" t="n">
        <x:f>IF(J1498&gt;0,1,0)</x:f>
        <x:v>1</x:v>
      </x:c>
    </x:row>
    <x:row r="1499">
      <x:c r="A1499" s="15" t="str">
        <x:v>1495</x:v>
      </x:c>
      <x:c r="B1499" s="9" t="str">
        <x:v>Riley</x:v>
      </x:c>
      <x:c r="C1499" s="9" t="str">
        <x:v>Personal Loan</x:v>
      </x:c>
      <x:c r="D1499" s="9" t="str">
        <x:v>West</x:v>
      </x:c>
      <x:c r="E1499" s="9" t="n">
        <x:v>632</x:v>
      </x:c>
      <x:c r="F1499" s="11" t="n">
        <x:v>46107</x:v>
      </x:c>
      <x:c r="G1499" s="13" t="n">
        <x:v>7153.87</x:v>
      </x:c>
      <x:c r="H1499" s="9" t="n">
        <x:v>137</x:v>
      </x:c>
      <x:c r="I1499" s="9" t="n">
        <x:v>8</x:v>
      </x:c>
      <x:c r="J1499" s="9" t="n">
        <x:v>4</x:v>
      </x:c>
      <x:c r="K1499" s="9" t="n">
        <x:v>0</x:v>
      </x:c>
      <x:c r="L1499" s="13" t="n">
        <x:f>SUMIFS('Payments'!$D$5:$D$3014,'Payments'!$B$5:$B$3014,A1499)</x:f>
        <x:v>1310.45</x:v>
      </x:c>
      <x:c r="M1499" s="13" t="n">
        <x:f>G1499-L1499</x:f>
        <x:v>5843.42</x:v>
      </x:c>
      <x:c r="N1499" s="9" t="str">
        <x:f>IF(H1499=0,"0 Current",IF(H1499&lt;=30,"1 1-30",IF(H1499&lt;=60,"2 31-60",IF(H1499&lt;=90,"3 61-90",IF(H1499&lt;=120,"4 91-120","5 121+")))))</x:f>
        <x:v>5 121+</x:v>
      </x:c>
      <x:c r="O1499" s="9" t="n">
        <x:f>IF(J1499&gt;0,1,0)</x:f>
        <x:v>1</x:v>
      </x:c>
    </x:row>
    <x:row r="1500">
      <x:c r="A1500" s="15" t="str">
        <x:v>1496</x:v>
      </x:c>
      <x:c r="B1500" s="9" t="str">
        <x:v>Jordan</x:v>
      </x:c>
      <x:c r="C1500" s="9" t="str">
        <x:v>Personal Loan</x:v>
      </x:c>
      <x:c r="D1500" s="9" t="str">
        <x:v>Northeast</x:v>
      </x:c>
      <x:c r="E1500" s="9" t="n">
        <x:v>581</x:v>
      </x:c>
      <x:c r="F1500" s="11" t="n">
        <x:v>46104</x:v>
      </x:c>
      <x:c r="G1500" s="13" t="n">
        <x:v>3517.44</x:v>
      </x:c>
      <x:c r="H1500" s="9" t="n">
        <x:v>227</x:v>
      </x:c>
      <x:c r="I1500" s="9" t="n">
        <x:v>6</x:v>
      </x:c>
      <x:c r="J1500" s="9" t="n">
        <x:v>1</x:v>
      </x:c>
      <x:c r="K1500" s="9" t="n">
        <x:v>0</x:v>
      </x:c>
      <x:c r="L1500" s="13" t="n">
        <x:f>SUMIFS('Payments'!$D$5:$D$3014,'Payments'!$B$5:$B$3014,A1500)</x:f>
        <x:v>0</x:v>
      </x:c>
      <x:c r="M1500" s="13" t="n">
        <x:f>G1500-L1500</x:f>
        <x:v>3517.44</x:v>
      </x:c>
      <x:c r="N1500" s="9" t="str">
        <x:f>IF(H1500=0,"0 Current",IF(H1500&lt;=30,"1 1-30",IF(H1500&lt;=60,"2 31-60",IF(H1500&lt;=90,"3 61-90",IF(H1500&lt;=120,"4 91-120","5 121+")))))</x:f>
        <x:v>5 121+</x:v>
      </x:c>
      <x:c r="O1500" s="9" t="n">
        <x:f>IF(J1500&gt;0,1,0)</x:f>
        <x:v>1</x:v>
      </x:c>
    </x:row>
    <x:row r="1501">
      <x:c r="A1501" s="15" t="str">
        <x:v>1497</x:v>
      </x:c>
      <x:c r="B1501" s="9" t="str">
        <x:v>Morgan</x:v>
      </x:c>
      <x:c r="C1501" s="9" t="str">
        <x:v>Credit Card</x:v>
      </x:c>
      <x:c r="D1501" s="9" t="str">
        <x:v>Midwest</x:v>
      </x:c>
      <x:c r="E1501" s="9" t="n">
        <x:v>471</x:v>
      </x:c>
      <x:c r="F1501" s="11" t="n">
        <x:v>46038</x:v>
      </x:c>
      <x:c r="G1501" s="13" t="n">
        <x:v>5124.52</x:v>
      </x:c>
      <x:c r="H1501" s="9" t="n">
        <x:v>21</x:v>
      </x:c>
      <x:c r="I1501" s="9" t="n">
        <x:v>2</x:v>
      </x:c>
      <x:c r="J1501" s="9" t="n">
        <x:v>1</x:v>
      </x:c>
      <x:c r="K1501" s="9" t="n">
        <x:v>1</x:v>
      </x:c>
      <x:c r="L1501" s="13" t="n">
        <x:f>SUMIFS('Payments'!$D$5:$D$3014,'Payments'!$B$5:$B$3014,A1501)</x:f>
        <x:v>824.6500000000001</x:v>
      </x:c>
      <x:c r="M1501" s="13" t="n">
        <x:f>G1501-L1501</x:f>
        <x:v>4299.870000000001</x:v>
      </x:c>
      <x:c r="N1501" s="9" t="str">
        <x:f>IF(H1501=0,"0 Current",IF(H1501&lt;=30,"1 1-30",IF(H1501&lt;=60,"2 31-60",IF(H1501&lt;=90,"3 61-90",IF(H1501&lt;=120,"4 91-120","5 121+")))))</x:f>
        <x:v>1 1-30</x:v>
      </x:c>
      <x:c r="O1501" s="9" t="n">
        <x:f>IF(J1501&gt;0,1,0)</x:f>
        <x:v>1</x:v>
      </x:c>
    </x:row>
    <x:row r="1502">
      <x:c r="A1502" s="15" t="str">
        <x:v>1498</x:v>
      </x:c>
      <x:c r="B1502" s="9" t="str">
        <x:v>Taylor</x:v>
      </x:c>
      <x:c r="C1502" s="9" t="str">
        <x:v>Personal Loan</x:v>
      </x:c>
      <x:c r="D1502" s="9" t="str">
        <x:v>Midwest</x:v>
      </x:c>
      <x:c r="E1502" s="9" t="n">
        <x:v>724</x:v>
      </x:c>
      <x:c r="F1502" s="11" t="n">
        <x:v>46094</x:v>
      </x:c>
      <x:c r="G1502" s="13" t="n">
        <x:v>23210.06</x:v>
      </x:c>
      <x:c r="H1502" s="9" t="n">
        <x:v>197</x:v>
      </x:c>
      <x:c r="I1502" s="9" t="n">
        <x:v>4</x:v>
      </x:c>
      <x:c r="J1502" s="9" t="n">
        <x:v>4</x:v>
      </x:c>
      <x:c r="K1502" s="9" t="n">
        <x:v>1</x:v>
      </x:c>
      <x:c r="L1502" s="13" t="n">
        <x:f>SUMIFS('Payments'!$D$5:$D$3014,'Payments'!$B$5:$B$3014,A1502)</x:f>
        <x:v>5899.86</x:v>
      </x:c>
      <x:c r="M1502" s="13" t="n">
        <x:f>G1502-L1502</x:f>
        <x:v>17310.2</x:v>
      </x:c>
      <x:c r="N1502" s="9" t="str">
        <x:f>IF(H1502=0,"0 Current",IF(H1502&lt;=30,"1 1-30",IF(H1502&lt;=60,"2 31-60",IF(H1502&lt;=90,"3 61-90",IF(H1502&lt;=120,"4 91-120","5 121+")))))</x:f>
        <x:v>5 121+</x:v>
      </x:c>
      <x:c r="O1502" s="9" t="n">
        <x:f>IF(J1502&gt;0,1,0)</x:f>
        <x:v>1</x:v>
      </x:c>
    </x:row>
    <x:row r="1503">
      <x:c r="A1503" s="15" t="str">
        <x:v>1499</x:v>
      </x:c>
      <x:c r="B1503" s="9" t="str">
        <x:v>Casey</x:v>
      </x:c>
      <x:c r="C1503" s="9" t="str">
        <x:v>Personal Loan</x:v>
      </x:c>
      <x:c r="D1503" s="9" t="str">
        <x:v>Northeast</x:v>
      </x:c>
      <x:c r="E1503" s="9" t="n">
        <x:v>713</x:v>
      </x:c>
      <x:c r="F1503" s="11" t="n">
        <x:v>46093</x:v>
      </x:c>
      <x:c r="G1503" s="13" t="n">
        <x:v>840.01</x:v>
      </x:c>
      <x:c r="H1503" s="9" t="n">
        <x:v>141</x:v>
      </x:c>
      <x:c r="I1503" s="9" t="n">
        <x:v>1</x:v>
      </x:c>
      <x:c r="J1503" s="9" t="n">
        <x:v>1</x:v>
      </x:c>
      <x:c r="K1503" s="9" t="n">
        <x:v>0</x:v>
      </x:c>
      <x:c r="L1503" s="13" t="n">
        <x:f>SUMIFS('Payments'!$D$5:$D$3014,'Payments'!$B$5:$B$3014,A1503)</x:f>
        <x:v>0</x:v>
      </x:c>
      <x:c r="M1503" s="13" t="n">
        <x:f>G1503-L1503</x:f>
        <x:v>840.01</x:v>
      </x:c>
      <x:c r="N1503" s="9" t="str">
        <x:f>IF(H1503=0,"0 Current",IF(H1503&lt;=30,"1 1-30",IF(H1503&lt;=60,"2 31-60",IF(H1503&lt;=90,"3 61-90",IF(H1503&lt;=120,"4 91-120","5 121+")))))</x:f>
        <x:v>5 121+</x:v>
      </x:c>
      <x:c r="O1503" s="9" t="n">
        <x:f>IF(J1503&gt;0,1,0)</x:f>
        <x:v>1</x:v>
      </x:c>
    </x:row>
    <x:row r="1504">
      <x:c r="A1504" s="15" t="str">
        <x:v>1500</x:v>
      </x:c>
      <x:c r="B1504" s="9" t="str">
        <x:v>Taylor</x:v>
      </x:c>
      <x:c r="C1504" s="9" t="str">
        <x:v>Personal Loan</x:v>
      </x:c>
      <x:c r="D1504" s="9" t="str">
        <x:v>South</x:v>
      </x:c>
      <x:c r="E1504" s="9" t="n">
        <x:v>726</x:v>
      </x:c>
      <x:c r="F1504" s="11" t="n">
        <x:v>46079</x:v>
      </x:c>
      <x:c r="G1504" s="13" t="n">
        <x:v>18897.62</x:v>
      </x:c>
      <x:c r="H1504" s="9" t="n">
        <x:v>203</x:v>
      </x:c>
      <x:c r="I1504" s="9" t="n">
        <x:v>4</x:v>
      </x:c>
      <x:c r="J1504" s="9" t="n">
        <x:v>0</x:v>
      </x:c>
      <x:c r="K1504" s="9" t="n">
        <x:v>0</x:v>
      </x:c>
      <x:c r="L1504" s="13" t="n">
        <x:f>SUMIFS('Payments'!$D$5:$D$3014,'Payments'!$B$5:$B$3014,A1504)</x:f>
        <x:v>4224.45</x:v>
      </x:c>
      <x:c r="M1504" s="13" t="n">
        <x:f>G1504-L1504</x:f>
        <x:v>14673.169999999998</x:v>
      </x:c>
      <x:c r="N1504" s="9" t="str">
        <x:f>IF(H1504=0,"0 Current",IF(H1504&lt;=30,"1 1-30",IF(H1504&lt;=60,"2 31-60",IF(H1504&lt;=90,"3 61-90",IF(H1504&lt;=120,"4 91-120","5 121+")))))</x:f>
        <x:v>5 121+</x:v>
      </x:c>
      <x:c r="O1504" s="9" t="n">
        <x:f>IF(J1504&gt;0,1,0)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6adfe56f2340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3" customHeight="1">
      <x:c r="A1" s="1" t="str">
        <x:v>Synthetic posted payments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1" t="str">
        <x:v>Source: SQL payments.csv. All dates fall between placement and Jun 30, 2026.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6" customHeight="1">
      <x:c r="A4" s="8" t="str">
        <x:v>Payment ID</x:v>
      </x:c>
      <x:c r="B4" s="8" t="str">
        <x:v>Account ID</x:v>
      </x:c>
      <x:c r="C4" s="8" t="str">
        <x:v>Payment date</x:v>
      </x:c>
      <x:c r="D4" s="8" t="str">
        <x:v>Amount (USD)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 t="str">
        <x:v>1</x:v>
      </x:c>
      <x:c r="B5" s="1" t="str">
        <x:v>1</x:v>
      </x:c>
      <x:c r="C5" s="10" t="n">
        <x:v>46073</x:v>
      </x:c>
      <x:c r="D5" s="12" t="n">
        <x:v>28.21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2</x:v>
      </x:c>
      <x:c r="B6" s="1" t="str">
        <x:v>3</x:v>
      </x:c>
      <x:c r="C6" s="10" t="n">
        <x:v>46048</x:v>
      </x:c>
      <x:c r="D6" s="12" t="n">
        <x:v>1987.57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3</x:v>
      </x:c>
      <x:c r="B7" s="1" t="str">
        <x:v>4</x:v>
      </x:c>
      <x:c r="C7" s="10" t="n">
        <x:v>46203</x:v>
      </x:c>
      <x:c r="D7" s="12" t="n">
        <x:v>385.54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 t="str">
        <x:v>4</x:v>
      </x:c>
      <x:c r="B8" s="1" t="str">
        <x:v>4</x:v>
      </x:c>
      <x:c r="C8" s="10" t="n">
        <x:v>46196</x:v>
      </x:c>
      <x:c r="D8" s="12" t="n">
        <x:v>589.45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 t="str">
        <x:v>5</x:v>
      </x:c>
      <x:c r="B9" s="1" t="str">
        <x:v>5</x:v>
      </x:c>
      <x:c r="C9" s="10" t="n">
        <x:v>46168</x:v>
      </x:c>
      <x:c r="D9" s="12" t="n">
        <x:v>1582.27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6</x:v>
      </x:c>
      <x:c r="B10" s="1" t="str">
        <x:v>6</x:v>
      </x:c>
      <x:c r="C10" s="10" t="n">
        <x:v>46093</x:v>
      </x:c>
      <x:c r="D10" s="12" t="n">
        <x:v>1399.34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 t="str">
        <x:v>7</x:v>
      </x:c>
      <x:c r="B11" s="1" t="str">
        <x:v>6</x:v>
      </x:c>
      <x:c r="C11" s="10" t="n">
        <x:v>46121</x:v>
      </x:c>
      <x:c r="D11" s="12" t="n">
        <x:v>1028.21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8</x:v>
      </x:c>
      <x:c r="B12" s="1" t="str">
        <x:v>6</x:v>
      </x:c>
      <x:c r="C12" s="10" t="n">
        <x:v>46111</x:v>
      </x:c>
      <x:c r="D12" s="12" t="n">
        <x:v>678.45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 t="str">
        <x:v>9</x:v>
      </x:c>
      <x:c r="B13" s="1" t="str">
        <x:v>6</x:v>
      </x:c>
      <x:c r="C13" s="10" t="n">
        <x:v>46079</x:v>
      </x:c>
      <x:c r="D13" s="12" t="n">
        <x:v>875.76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10</x:v>
      </x:c>
      <x:c r="B14" s="1" t="str">
        <x:v>7</x:v>
      </x:c>
      <x:c r="C14" s="10" t="n">
        <x:v>46203</x:v>
      </x:c>
      <x:c r="D14" s="12" t="n">
        <x:v>317.53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 t="str">
        <x:v>11</x:v>
      </x:c>
      <x:c r="B15" s="1" t="str">
        <x:v>8</x:v>
      </x:c>
      <x:c r="C15" s="10" t="n">
        <x:v>46165</x:v>
      </x:c>
      <x:c r="D15" s="12" t="n">
        <x:v>143.12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 t="str">
        <x:v>12</x:v>
      </x:c>
      <x:c r="B16" s="1" t="str">
        <x:v>8</x:v>
      </x:c>
      <x:c r="C16" s="10" t="n">
        <x:v>46168</x:v>
      </x:c>
      <x:c r="D16" s="12" t="n">
        <x:v>215.07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13</x:v>
      </x:c>
      <x:c r="B17" s="1" t="str">
        <x:v>9</x:v>
      </x:c>
      <x:c r="C17" s="10" t="n">
        <x:v>46193</x:v>
      </x:c>
      <x:c r="D17" s="12" t="n">
        <x:v>735.23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v>14</x:v>
      </x:c>
      <x:c r="B18" s="1" t="str">
        <x:v>9</x:v>
      </x:c>
      <x:c r="C18" s="10" t="n">
        <x:v>46176</x:v>
      </x:c>
      <x:c r="D18" s="12" t="n">
        <x:v>396.91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v>15</x:v>
      </x:c>
      <x:c r="B19" s="1" t="str">
        <x:v>10</x:v>
      </x:c>
      <x:c r="C19" s="10" t="n">
        <x:v>46130</x:v>
      </x:c>
      <x:c r="D19" s="12" t="n">
        <x:v>933.2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16</x:v>
      </x:c>
      <x:c r="B20" s="1" t="str">
        <x:v>12</x:v>
      </x:c>
      <x:c r="C20" s="10" t="n">
        <x:v>46079</x:v>
      </x:c>
      <x:c r="D20" s="12" t="n">
        <x:v>33.96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 t="str">
        <x:v>17</x:v>
      </x:c>
      <x:c r="B21" s="1" t="str">
        <x:v>13</x:v>
      </x:c>
      <x:c r="C21" s="10" t="n">
        <x:v>46051</x:v>
      </x:c>
      <x:c r="D21" s="12" t="n">
        <x:v>571.07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 t="str">
        <x:v>18</x:v>
      </x:c>
      <x:c r="B22" s="1" t="str">
        <x:v>14</x:v>
      </x:c>
      <x:c r="C22" s="10" t="n">
        <x:v>46045</x:v>
      </x:c>
      <x:c r="D22" s="12" t="n">
        <x:v>321.95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 t="str">
        <x:v>19</x:v>
      </x:c>
      <x:c r="B23" s="1" t="str">
        <x:v>14</x:v>
      </x:c>
      <x:c r="C23" s="10" t="n">
        <x:v>46033</x:v>
      </x:c>
      <x:c r="D23" s="12" t="n">
        <x:v>427.29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 t="str">
        <x:v>20</x:v>
      </x:c>
      <x:c r="B24" s="1" t="str">
        <x:v>14</x:v>
      </x:c>
      <x:c r="C24" s="10" t="n">
        <x:v>46074</x:v>
      </x:c>
      <x:c r="D24" s="12" t="n">
        <x:v>470.61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 t="str">
        <x:v>21</x:v>
      </x:c>
      <x:c r="B25" s="1" t="str">
        <x:v>14</x:v>
      </x:c>
      <x:c r="C25" s="10" t="n">
        <x:v>46158</x:v>
      </x:c>
      <x:c r="D25" s="12" t="n">
        <x:v>64.18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 t="str">
        <x:v>22</x:v>
      </x:c>
      <x:c r="B26" s="1" t="str">
        <x:v>15</x:v>
      </x:c>
      <x:c r="C26" s="10" t="n">
        <x:v>46120</x:v>
      </x:c>
      <x:c r="D26" s="12" t="n">
        <x:v>92.09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 t="str">
        <x:v>23</x:v>
      </x:c>
      <x:c r="B27" s="1" t="str">
        <x:v>15</x:v>
      </x:c>
      <x:c r="C27" s="10" t="n">
        <x:v>46190</x:v>
      </x:c>
      <x:c r="D27" s="12" t="n">
        <x:v>765.97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" t="str">
        <x:v>24</x:v>
      </x:c>
      <x:c r="B28" s="1" t="str">
        <x:v>17</x:v>
      </x:c>
      <x:c r="C28" s="10" t="n">
        <x:v>46161</x:v>
      </x:c>
      <x:c r="D28" s="12" t="n">
        <x:v>2274.12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" t="str">
        <x:v>25</x:v>
      </x:c>
      <x:c r="B29" s="1" t="str">
        <x:v>17</x:v>
      </x:c>
      <x:c r="C29" s="10" t="n">
        <x:v>46148</x:v>
      </x:c>
      <x:c r="D29" s="12" t="n">
        <x:v>2002.67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" t="str">
        <x:v>26</x:v>
      </x:c>
      <x:c r="B30" s="1" t="str">
        <x:v>17</x:v>
      </x:c>
      <x:c r="C30" s="10" t="n">
        <x:v>46169</x:v>
      </x:c>
      <x:c r="D30" s="12" t="n">
        <x:v>1558.63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" t="str">
        <x:v>27</x:v>
      </x:c>
      <x:c r="B31" s="1" t="str">
        <x:v>18</x:v>
      </x:c>
      <x:c r="C31" s="10" t="n">
        <x:v>46131</x:v>
      </x:c>
      <x:c r="D31" s="12" t="n">
        <x:v>149.65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" t="str">
        <x:v>28</x:v>
      </x:c>
      <x:c r="B32" s="1" t="str">
        <x:v>18</x:v>
      </x:c>
      <x:c r="C32" s="10" t="n">
        <x:v>46159</x:v>
      </x:c>
      <x:c r="D32" s="12" t="n">
        <x:v>16.8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" t="str">
        <x:v>29</x:v>
      </x:c>
      <x:c r="B33" s="1" t="str">
        <x:v>19</x:v>
      </x:c>
      <x:c r="C33" s="10" t="n">
        <x:v>46116</x:v>
      </x:c>
      <x:c r="D33" s="12" t="n">
        <x:v>2052.54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" t="str">
        <x:v>30</x:v>
      </x:c>
      <x:c r="B34" s="1" t="str">
        <x:v>19</x:v>
      </x:c>
      <x:c r="C34" s="10" t="n">
        <x:v>46177</x:v>
      </x:c>
      <x:c r="D34" s="12" t="n">
        <x:v>1910.13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" t="str">
        <x:v>31</x:v>
      </x:c>
      <x:c r="B35" s="1" t="str">
        <x:v>19</x:v>
      </x:c>
      <x:c r="C35" s="10" t="n">
        <x:v>46179</x:v>
      </x:c>
      <x:c r="D35" s="12" t="n">
        <x:v>646.33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3" customHeight="1">
      <x:c r="A36" s="1" t="str">
        <x:v>32</x:v>
      </x:c>
      <x:c r="B36" s="1" t="str">
        <x:v>20</x:v>
      </x:c>
      <x:c r="C36" s="10" t="n">
        <x:v>46174</x:v>
      </x:c>
      <x:c r="D36" s="12" t="n">
        <x:v>18.87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3" customHeight="1">
      <x:c r="A37" s="1" t="str">
        <x:v>33</x:v>
      </x:c>
      <x:c r="B37" s="1" t="str">
        <x:v>20</x:v>
      </x:c>
      <x:c r="C37" s="10" t="n">
        <x:v>46202</x:v>
      </x:c>
      <x:c r="D37" s="12" t="n">
        <x:v>445.44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3" customHeight="1">
      <x:c r="A38" s="1" t="str">
        <x:v>34</x:v>
      </x:c>
      <x:c r="B38" s="1" t="str">
        <x:v>21</x:v>
      </x:c>
      <x:c r="C38" s="10" t="n">
        <x:v>46199</x:v>
      </x:c>
      <x:c r="D38" s="12" t="n">
        <x:v>774.01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3" customHeight="1">
      <x:c r="A39" s="1" t="str">
        <x:v>35</x:v>
      </x:c>
      <x:c r="B39" s="1" t="str">
        <x:v>21</x:v>
      </x:c>
      <x:c r="C39" s="10" t="n">
        <x:v>46136</x:v>
      </x:c>
      <x:c r="D39" s="12" t="n">
        <x:v>2546.93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3" customHeight="1">
      <x:c r="A40" s="1" t="str">
        <x:v>36</x:v>
      </x:c>
      <x:c r="B40" s="1" t="str">
        <x:v>27</x:v>
      </x:c>
      <x:c r="C40" s="10" t="n">
        <x:v>46187</x:v>
      </x:c>
      <x:c r="D40" s="12" t="n">
        <x:v>498.6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3" customHeight="1">
      <x:c r="A41" s="1" t="str">
        <x:v>37</x:v>
      </x:c>
      <x:c r="B41" s="1" t="str">
        <x:v>28</x:v>
      </x:c>
      <x:c r="C41" s="10" t="n">
        <x:v>46187</x:v>
      </x:c>
      <x:c r="D41" s="12" t="n">
        <x:v>701.68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3" customHeight="1">
      <x:c r="A42" s="1" t="str">
        <x:v>38</x:v>
      </x:c>
      <x:c r="B42" s="1" t="str">
        <x:v>28</x:v>
      </x:c>
      <x:c r="C42" s="10" t="n">
        <x:v>46182</x:v>
      </x:c>
      <x:c r="D42" s="12" t="n">
        <x:v>420.78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3" customHeight="1">
      <x:c r="A43" s="1" t="str">
        <x:v>39</x:v>
      </x:c>
      <x:c r="B43" s="1" t="str">
        <x:v>28</x:v>
      </x:c>
      <x:c r="C43" s="10" t="n">
        <x:v>46184</x:v>
      </x:c>
      <x:c r="D43" s="12" t="n">
        <x:v>519.39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3" customHeight="1">
      <x:c r="A44" s="1" t="str">
        <x:v>40</x:v>
      </x:c>
      <x:c r="B44" s="1" t="str">
        <x:v>30</x:v>
      </x:c>
      <x:c r="C44" s="10" t="n">
        <x:v>46102</x:v>
      </x:c>
      <x:c r="D44" s="12" t="n">
        <x:v>2827.41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3" customHeight="1">
      <x:c r="A45" s="1" t="str">
        <x:v>41</x:v>
      </x:c>
      <x:c r="B45" s="1" t="str">
        <x:v>30</x:v>
      </x:c>
      <x:c r="C45" s="10" t="n">
        <x:v>46100</x:v>
      </x:c>
      <x:c r="D45" s="12" t="n">
        <x:v>2919.34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3" customHeight="1">
      <x:c r="A46" s="1" t="str">
        <x:v>42</x:v>
      </x:c>
      <x:c r="B46" s="1" t="str">
        <x:v>30</x:v>
      </x:c>
      <x:c r="C46" s="10" t="n">
        <x:v>46131</x:v>
      </x:c>
      <x:c r="D46" s="12" t="n">
        <x:v>2577.13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3" customHeight="1">
      <x:c r="A47" s="1" t="str">
        <x:v>43</x:v>
      </x:c>
      <x:c r="B47" s="1" t="str">
        <x:v>31</x:v>
      </x:c>
      <x:c r="C47" s="10" t="n">
        <x:v>46178</x:v>
      </x:c>
      <x:c r="D47" s="12" t="n">
        <x:v>102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3" customHeight="1">
      <x:c r="A48" s="1" t="str">
        <x:v>44</x:v>
      </x:c>
      <x:c r="B48" s="1" t="str">
        <x:v>31</x:v>
      </x:c>
      <x:c r="C48" s="10" t="n">
        <x:v>46166</x:v>
      </x:c>
      <x:c r="D48" s="12" t="n">
        <x:v>91.09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3" customHeight="1">
      <x:c r="A49" s="1" t="str">
        <x:v>45</x:v>
      </x:c>
      <x:c r="B49" s="1" t="str">
        <x:v>31</x:v>
      </x:c>
      <x:c r="C49" s="10" t="n">
        <x:v>46167</x:v>
      </x:c>
      <x:c r="D49" s="12" t="n">
        <x:v>90.56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3" customHeight="1">
      <x:c r="A50" s="1" t="str">
        <x:v>46</x:v>
      </x:c>
      <x:c r="B50" s="1" t="str">
        <x:v>32</x:v>
      </x:c>
      <x:c r="C50" s="10" t="n">
        <x:v>46189</x:v>
      </x:c>
      <x:c r="D50" s="12" t="n">
        <x:v>1933.41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3" customHeight="1">
      <x:c r="A51" s="1" t="str">
        <x:v>47</x:v>
      </x:c>
      <x:c r="B51" s="1" t="str">
        <x:v>32</x:v>
      </x:c>
      <x:c r="C51" s="10" t="n">
        <x:v>46163</x:v>
      </x:c>
      <x:c r="D51" s="12" t="n">
        <x:v>228.15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3" customHeight="1">
      <x:c r="A52" s="1" t="str">
        <x:v>48</x:v>
      </x:c>
      <x:c r="B52" s="1" t="str">
        <x:v>32</x:v>
      </x:c>
      <x:c r="C52" s="10" t="n">
        <x:v>46106</x:v>
      </x:c>
      <x:c r="D52" s="12" t="n">
        <x:v>2874.46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3" customHeight="1">
      <x:c r="A53" s="1" t="str">
        <x:v>49</x:v>
      </x:c>
      <x:c r="B53" s="1" t="str">
        <x:v>32</x:v>
      </x:c>
      <x:c r="C53" s="10" t="n">
        <x:v>46077</x:v>
      </x:c>
      <x:c r="D53" s="12" t="n">
        <x:v>2239.03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3" customHeight="1">
      <x:c r="A54" s="1" t="str">
        <x:v>50</x:v>
      </x:c>
      <x:c r="B54" s="1" t="str">
        <x:v>33</x:v>
      </x:c>
      <x:c r="C54" s="10" t="n">
        <x:v>46134</x:v>
      </x:c>
      <x:c r="D54" s="12" t="n">
        <x:v>1816.52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3" customHeight="1">
      <x:c r="A55" s="1" t="str">
        <x:v>51</x:v>
      </x:c>
      <x:c r="B55" s="1" t="str">
        <x:v>33</x:v>
      </x:c>
      <x:c r="C55" s="10" t="n">
        <x:v>46201</x:v>
      </x:c>
      <x:c r="D55" s="12" t="n">
        <x:v>2267.18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3" customHeight="1">
      <x:c r="A56" s="1" t="str">
        <x:v>52</x:v>
      </x:c>
      <x:c r="B56" s="1" t="str">
        <x:v>33</x:v>
      </x:c>
      <x:c r="C56" s="10" t="n">
        <x:v>46154</x:v>
      </x:c>
      <x:c r="D56" s="12" t="n">
        <x:v>1668.77</x:v>
      </x:c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3" customHeight="1">
      <x:c r="A57" s="1" t="str">
        <x:v>53</x:v>
      </x:c>
      <x:c r="B57" s="1" t="str">
        <x:v>33</x:v>
      </x:c>
      <x:c r="C57" s="10" t="n">
        <x:v>46202</x:v>
      </x:c>
      <x:c r="D57" s="12" t="n">
        <x:v>445.11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3" customHeight="1">
      <x:c r="A58" s="1" t="str">
        <x:v>54</x:v>
      </x:c>
      <x:c r="B58" s="1" t="str">
        <x:v>34</x:v>
      </x:c>
      <x:c r="C58" s="10" t="n">
        <x:v>46195</x:v>
      </x:c>
      <x:c r="D58" s="12" t="n">
        <x:v>768.46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3" customHeight="1">
      <x:c r="A59" s="1" t="str">
        <x:v>55</x:v>
      </x:c>
      <x:c r="B59" s="1" t="str">
        <x:v>34</x:v>
      </x:c>
      <x:c r="C59" s="10" t="n">
        <x:v>46191</x:v>
      </x:c>
      <x:c r="D59" s="12" t="n">
        <x:v>710.82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3" customHeight="1">
      <x:c r="A60" s="1" t="str">
        <x:v>56</x:v>
      </x:c>
      <x:c r="B60" s="1" t="str">
        <x:v>35</x:v>
      </x:c>
      <x:c r="C60" s="10" t="n">
        <x:v>46146</x:v>
      </x:c>
      <x:c r="D60" s="12" t="n">
        <x:v>173.62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9" t="str">
        <x:v>57</x:v>
      </x:c>
      <x:c r="B61" s="9" t="str">
        <x:v>36</x:v>
      </x:c>
      <x:c r="C61" s="11" t="n">
        <x:v>46170</x:v>
      </x:c>
      <x:c r="D61" s="13" t="n">
        <x:v>1201.95</x:v>
      </x:c>
    </x:row>
    <x:row r="62">
      <x:c r="A62" s="9" t="str">
        <x:v>58</x:v>
      </x:c>
      <x:c r="B62" s="9" t="str">
        <x:v>36</x:v>
      </x:c>
      <x:c r="C62" s="11" t="n">
        <x:v>46194</x:v>
      </x:c>
      <x:c r="D62" s="13" t="n">
        <x:v>867.96</x:v>
      </x:c>
    </x:row>
    <x:row r="63">
      <x:c r="A63" s="9" t="str">
        <x:v>59</x:v>
      </x:c>
      <x:c r="B63" s="9" t="str">
        <x:v>38</x:v>
      </x:c>
      <x:c r="C63" s="11" t="n">
        <x:v>46096</x:v>
      </x:c>
      <x:c r="D63" s="13" t="n">
        <x:v>1815.1</x:v>
      </x:c>
    </x:row>
    <x:row r="64">
      <x:c r="A64" s="9" t="str">
        <x:v>60</x:v>
      </x:c>
      <x:c r="B64" s="9" t="str">
        <x:v>39</x:v>
      </x:c>
      <x:c r="C64" s="11" t="n">
        <x:v>46088</x:v>
      </x:c>
      <x:c r="D64" s="13" t="n">
        <x:v>150.65</x:v>
      </x:c>
    </x:row>
    <x:row r="65">
      <x:c r="A65" s="9" t="str">
        <x:v>61</x:v>
      </x:c>
      <x:c r="B65" s="9" t="str">
        <x:v>40</x:v>
      </x:c>
      <x:c r="C65" s="11" t="n">
        <x:v>46044</x:v>
      </x:c>
      <x:c r="D65" s="13" t="n">
        <x:v>22.17</x:v>
      </x:c>
    </x:row>
    <x:row r="66">
      <x:c r="A66" s="9" t="str">
        <x:v>62</x:v>
      </x:c>
      <x:c r="B66" s="9" t="str">
        <x:v>40</x:v>
      </x:c>
      <x:c r="C66" s="11" t="n">
        <x:v>46072</x:v>
      </x:c>
      <x:c r="D66" s="13" t="n">
        <x:v>460.32</x:v>
      </x:c>
    </x:row>
    <x:row r="67">
      <x:c r="A67" s="9" t="str">
        <x:v>63</x:v>
      </x:c>
      <x:c r="B67" s="9" t="str">
        <x:v>40</x:v>
      </x:c>
      <x:c r="C67" s="11" t="n">
        <x:v>46075</x:v>
      </x:c>
      <x:c r="D67" s="13" t="n">
        <x:v>563.53</x:v>
      </x:c>
    </x:row>
    <x:row r="68">
      <x:c r="A68" s="9" t="str">
        <x:v>64</x:v>
      </x:c>
      <x:c r="B68" s="9" t="str">
        <x:v>41</x:v>
      </x:c>
      <x:c r="C68" s="11" t="n">
        <x:v>46176</x:v>
      </x:c>
      <x:c r="D68" s="13" t="n">
        <x:v>44.9</x:v>
      </x:c>
    </x:row>
    <x:row r="69">
      <x:c r="A69" s="9" t="str">
        <x:v>65</x:v>
      </x:c>
      <x:c r="B69" s="9" t="str">
        <x:v>41</x:v>
      </x:c>
      <x:c r="C69" s="11" t="n">
        <x:v>46195</x:v>
      </x:c>
      <x:c r="D69" s="13" t="n">
        <x:v>77.45</x:v>
      </x:c>
    </x:row>
    <x:row r="70">
      <x:c r="A70" s="9" t="str">
        <x:v>66</x:v>
      </x:c>
      <x:c r="B70" s="9" t="str">
        <x:v>43</x:v>
      </x:c>
      <x:c r="C70" s="11" t="n">
        <x:v>46182</x:v>
      </x:c>
      <x:c r="D70" s="13" t="n">
        <x:v>397.37</x:v>
      </x:c>
    </x:row>
    <x:row r="71">
      <x:c r="A71" s="9" t="str">
        <x:v>67</x:v>
      </x:c>
      <x:c r="B71" s="9" t="str">
        <x:v>43</x:v>
      </x:c>
      <x:c r="C71" s="11" t="n">
        <x:v>46200</x:v>
      </x:c>
      <x:c r="D71" s="13" t="n">
        <x:v>81.52</x:v>
      </x:c>
    </x:row>
    <x:row r="72">
      <x:c r="A72" s="9" t="str">
        <x:v>68</x:v>
      </x:c>
      <x:c r="B72" s="9" t="str">
        <x:v>43</x:v>
      </x:c>
      <x:c r="C72" s="11" t="n">
        <x:v>46130</x:v>
      </x:c>
      <x:c r="D72" s="13" t="n">
        <x:v>1050.42</x:v>
      </x:c>
    </x:row>
    <x:row r="73">
      <x:c r="A73" s="9" t="str">
        <x:v>69</x:v>
      </x:c>
      <x:c r="B73" s="9" t="str">
        <x:v>44</x:v>
      </x:c>
      <x:c r="C73" s="11" t="n">
        <x:v>46145</x:v>
      </x:c>
      <x:c r="D73" s="13" t="n">
        <x:v>151.38</x:v>
      </x:c>
    </x:row>
    <x:row r="74">
      <x:c r="A74" s="9" t="str">
        <x:v>70</x:v>
      </x:c>
      <x:c r="B74" s="9" t="str">
        <x:v>44</x:v>
      </x:c>
      <x:c r="C74" s="11" t="n">
        <x:v>46203</x:v>
      </x:c>
      <x:c r="D74" s="13" t="n">
        <x:v>49.62</x:v>
      </x:c>
    </x:row>
    <x:row r="75">
      <x:c r="A75" s="9" t="str">
        <x:v>71</x:v>
      </x:c>
      <x:c r="B75" s="9" t="str">
        <x:v>45</x:v>
      </x:c>
      <x:c r="C75" s="11" t="n">
        <x:v>46143</x:v>
      </x:c>
      <x:c r="D75" s="13" t="n">
        <x:v>361.52</x:v>
      </x:c>
    </x:row>
    <x:row r="76">
      <x:c r="A76" s="9" t="str">
        <x:v>72</x:v>
      </x:c>
      <x:c r="B76" s="9" t="str">
        <x:v>46</x:v>
      </x:c>
      <x:c r="C76" s="11" t="n">
        <x:v>46055</x:v>
      </x:c>
      <x:c r="D76" s="13" t="n">
        <x:v>323.11</x:v>
      </x:c>
    </x:row>
    <x:row r="77">
      <x:c r="A77" s="9" t="str">
        <x:v>73</x:v>
      </x:c>
      <x:c r="B77" s="9" t="str">
        <x:v>47</x:v>
      </x:c>
      <x:c r="C77" s="11" t="n">
        <x:v>46187</x:v>
      </x:c>
      <x:c r="D77" s="13" t="n">
        <x:v>164.73</x:v>
      </x:c>
    </x:row>
    <x:row r="78">
      <x:c r="A78" s="9" t="str">
        <x:v>74</x:v>
      </x:c>
      <x:c r="B78" s="9" t="str">
        <x:v>47</x:v>
      </x:c>
      <x:c r="C78" s="11" t="n">
        <x:v>46131</x:v>
      </x:c>
      <x:c r="D78" s="13" t="n">
        <x:v>48.47</x:v>
      </x:c>
    </x:row>
    <x:row r="79">
      <x:c r="A79" s="9" t="str">
        <x:v>75</x:v>
      </x:c>
      <x:c r="B79" s="9" t="str">
        <x:v>48</x:v>
      </x:c>
      <x:c r="C79" s="11" t="n">
        <x:v>46146</x:v>
      </x:c>
      <x:c r="D79" s="13" t="n">
        <x:v>161.17</x:v>
      </x:c>
    </x:row>
    <x:row r="80">
      <x:c r="A80" s="9" t="str">
        <x:v>76</x:v>
      </x:c>
      <x:c r="B80" s="9" t="str">
        <x:v>48</x:v>
      </x:c>
      <x:c r="C80" s="11" t="n">
        <x:v>46117</x:v>
      </x:c>
      <x:c r="D80" s="13" t="n">
        <x:v>676.92</x:v>
      </x:c>
    </x:row>
    <x:row r="81">
      <x:c r="A81" s="9" t="str">
        <x:v>77</x:v>
      </x:c>
      <x:c r="B81" s="9" t="str">
        <x:v>48</x:v>
      </x:c>
      <x:c r="C81" s="11" t="n">
        <x:v>46118</x:v>
      </x:c>
      <x:c r="D81" s="13" t="n">
        <x:v>67.72</x:v>
      </x:c>
    </x:row>
    <x:row r="82">
      <x:c r="A82" s="9" t="str">
        <x:v>78</x:v>
      </x:c>
      <x:c r="B82" s="9" t="str">
        <x:v>48</x:v>
      </x:c>
      <x:c r="C82" s="11" t="n">
        <x:v>46122</x:v>
      </x:c>
      <x:c r="D82" s="13" t="n">
        <x:v>330.53</x:v>
      </x:c>
    </x:row>
    <x:row r="83">
      <x:c r="A83" s="9" t="str">
        <x:v>79</x:v>
      </x:c>
      <x:c r="B83" s="9" t="str">
        <x:v>49</x:v>
      </x:c>
      <x:c r="C83" s="11" t="n">
        <x:v>46155</x:v>
      </x:c>
      <x:c r="D83" s="13" t="n">
        <x:v>250.79</x:v>
      </x:c>
    </x:row>
    <x:row r="84">
      <x:c r="A84" s="9" t="str">
        <x:v>80</x:v>
      </x:c>
      <x:c r="B84" s="9" t="str">
        <x:v>50</x:v>
      </x:c>
      <x:c r="C84" s="11" t="n">
        <x:v>46139</x:v>
      </x:c>
      <x:c r="D84" s="13" t="n">
        <x:v>536.04</x:v>
      </x:c>
    </x:row>
    <x:row r="85">
      <x:c r="A85" s="9" t="str">
        <x:v>81</x:v>
      </x:c>
      <x:c r="B85" s="9" t="str">
        <x:v>50</x:v>
      </x:c>
      <x:c r="C85" s="11" t="n">
        <x:v>46202</x:v>
      </x:c>
      <x:c r="D85" s="13" t="n">
        <x:v>1487.98</x:v>
      </x:c>
    </x:row>
    <x:row r="86">
      <x:c r="A86" s="9" t="str">
        <x:v>82</x:v>
      </x:c>
      <x:c r="B86" s="9" t="str">
        <x:v>51</x:v>
      </x:c>
      <x:c r="C86" s="11" t="n">
        <x:v>46176</x:v>
      </x:c>
      <x:c r="D86" s="13" t="n">
        <x:v>72.67</x:v>
      </x:c>
    </x:row>
    <x:row r="87">
      <x:c r="A87" s="9" t="str">
        <x:v>83</x:v>
      </x:c>
      <x:c r="B87" s="9" t="str">
        <x:v>51</x:v>
      </x:c>
      <x:c r="C87" s="11" t="n">
        <x:v>46202</x:v>
      </x:c>
      <x:c r="D87" s="13" t="n">
        <x:v>918.12</x:v>
      </x:c>
    </x:row>
    <x:row r="88">
      <x:c r="A88" s="9" t="str">
        <x:v>84</x:v>
      </x:c>
      <x:c r="B88" s="9" t="str">
        <x:v>51</x:v>
      </x:c>
      <x:c r="C88" s="11" t="n">
        <x:v>46183</x:v>
      </x:c>
      <x:c r="D88" s="13" t="n">
        <x:v>35.15</x:v>
      </x:c>
    </x:row>
    <x:row r="89">
      <x:c r="A89" s="9" t="str">
        <x:v>85</x:v>
      </x:c>
      <x:c r="B89" s="9" t="str">
        <x:v>52</x:v>
      </x:c>
      <x:c r="C89" s="11" t="n">
        <x:v>46181</x:v>
      </x:c>
      <x:c r="D89" s="13" t="n">
        <x:v>1110.52</x:v>
      </x:c>
    </x:row>
    <x:row r="90">
      <x:c r="A90" s="9" t="str">
        <x:v>86</x:v>
      </x:c>
      <x:c r="B90" s="9" t="str">
        <x:v>53</x:v>
      </x:c>
      <x:c r="C90" s="11" t="n">
        <x:v>46164</x:v>
      </x:c>
      <x:c r="D90" s="13" t="n">
        <x:v>1372.51</x:v>
      </x:c>
    </x:row>
    <x:row r="91">
      <x:c r="A91" s="9" t="str">
        <x:v>87</x:v>
      </x:c>
      <x:c r="B91" s="9" t="str">
        <x:v>54</x:v>
      </x:c>
      <x:c r="C91" s="11" t="n">
        <x:v>46156</x:v>
      </x:c>
      <x:c r="D91" s="13" t="n">
        <x:v>1223.78</x:v>
      </x:c>
    </x:row>
    <x:row r="92">
      <x:c r="A92" s="9" t="str">
        <x:v>88</x:v>
      </x:c>
      <x:c r="B92" s="9" t="str">
        <x:v>54</x:v>
      </x:c>
      <x:c r="C92" s="11" t="n">
        <x:v>46139</x:v>
      </x:c>
      <x:c r="D92" s="13" t="n">
        <x:v>928.45</x:v>
      </x:c>
    </x:row>
    <x:row r="93">
      <x:c r="A93" s="9" t="str">
        <x:v>89</x:v>
      </x:c>
      <x:c r="B93" s="9" t="str">
        <x:v>55</x:v>
      </x:c>
      <x:c r="C93" s="11" t="n">
        <x:v>46142</x:v>
      </x:c>
      <x:c r="D93" s="13" t="n">
        <x:v>1194.67</x:v>
      </x:c>
    </x:row>
    <x:row r="94">
      <x:c r="A94" s="9" t="str">
        <x:v>90</x:v>
      </x:c>
      <x:c r="B94" s="9" t="str">
        <x:v>56</x:v>
      </x:c>
      <x:c r="C94" s="11" t="n">
        <x:v>46136</x:v>
      </x:c>
      <x:c r="D94" s="13" t="n">
        <x:v>692.01</x:v>
      </x:c>
    </x:row>
    <x:row r="95">
      <x:c r="A95" s="9" t="str">
        <x:v>91</x:v>
      </x:c>
      <x:c r="B95" s="9" t="str">
        <x:v>56</x:v>
      </x:c>
      <x:c r="C95" s="11" t="n">
        <x:v>46165</x:v>
      </x:c>
      <x:c r="D95" s="13" t="n">
        <x:v>91.47</x:v>
      </x:c>
    </x:row>
    <x:row r="96">
      <x:c r="A96" s="9" t="str">
        <x:v>92</x:v>
      </x:c>
      <x:c r="B96" s="9" t="str">
        <x:v>58</x:v>
      </x:c>
      <x:c r="C96" s="11" t="n">
        <x:v>46123</x:v>
      </x:c>
      <x:c r="D96" s="13" t="n">
        <x:v>130.55</x:v>
      </x:c>
    </x:row>
    <x:row r="97">
      <x:c r="A97" s="9" t="str">
        <x:v>93</x:v>
      </x:c>
      <x:c r="B97" s="9" t="str">
        <x:v>59</x:v>
      </x:c>
      <x:c r="C97" s="11" t="n">
        <x:v>46042</x:v>
      </x:c>
      <x:c r="D97" s="13" t="n">
        <x:v>660.28</x:v>
      </x:c>
    </x:row>
    <x:row r="98">
      <x:c r="A98" s="9" t="str">
        <x:v>94</x:v>
      </x:c>
      <x:c r="B98" s="9" t="str">
        <x:v>59</x:v>
      </x:c>
      <x:c r="C98" s="11" t="n">
        <x:v>46144</x:v>
      </x:c>
      <x:c r="D98" s="13" t="n">
        <x:v>511.65</x:v>
      </x:c>
    </x:row>
    <x:row r="99">
      <x:c r="A99" s="9" t="str">
        <x:v>95</x:v>
      </x:c>
      <x:c r="B99" s="9" t="str">
        <x:v>59</x:v>
      </x:c>
      <x:c r="C99" s="11" t="n">
        <x:v>46125</x:v>
      </x:c>
      <x:c r="D99" s="13" t="n">
        <x:v>236.5</x:v>
      </x:c>
    </x:row>
    <x:row r="100">
      <x:c r="A100" s="9" t="str">
        <x:v>96</x:v>
      </x:c>
      <x:c r="B100" s="9" t="str">
        <x:v>60</x:v>
      </x:c>
      <x:c r="C100" s="11" t="n">
        <x:v>46092</x:v>
      </x:c>
      <x:c r="D100" s="13" t="n">
        <x:v>1265.75</x:v>
      </x:c>
    </x:row>
    <x:row r="101">
      <x:c r="A101" s="9" t="str">
        <x:v>97</x:v>
      </x:c>
      <x:c r="B101" s="9" t="str">
        <x:v>60</x:v>
      </x:c>
      <x:c r="C101" s="11" t="n">
        <x:v>46120</x:v>
      </x:c>
      <x:c r="D101" s="13" t="n">
        <x:v>239.95</x:v>
      </x:c>
    </x:row>
    <x:row r="102">
      <x:c r="A102" s="9" t="str">
        <x:v>98</x:v>
      </x:c>
      <x:c r="B102" s="9" t="str">
        <x:v>60</x:v>
      </x:c>
      <x:c r="C102" s="11" t="n">
        <x:v>46102</x:v>
      </x:c>
      <x:c r="D102" s="13" t="n">
        <x:v>1014.05</x:v>
      </x:c>
    </x:row>
    <x:row r="103">
      <x:c r="A103" s="9" t="str">
        <x:v>99</x:v>
      </x:c>
      <x:c r="B103" s="9" t="str">
        <x:v>60</x:v>
      </x:c>
      <x:c r="C103" s="11" t="n">
        <x:v>46110</x:v>
      </x:c>
      <x:c r="D103" s="13" t="n">
        <x:v>1108.99</x:v>
      </x:c>
    </x:row>
    <x:row r="104">
      <x:c r="A104" s="9" t="str">
        <x:v>100</x:v>
      </x:c>
      <x:c r="B104" s="9" t="str">
        <x:v>61</x:v>
      </x:c>
      <x:c r="C104" s="11" t="n">
        <x:v>46149</x:v>
      </x:c>
      <x:c r="D104" s="13" t="n">
        <x:v>163.59</x:v>
      </x:c>
    </x:row>
    <x:row r="105">
      <x:c r="A105" s="9" t="str">
        <x:v>101</x:v>
      </x:c>
      <x:c r="B105" s="9" t="str">
        <x:v>61</x:v>
      </x:c>
      <x:c r="C105" s="11" t="n">
        <x:v>46120</x:v>
      </x:c>
      <x:c r="D105" s="13" t="n">
        <x:v>1397.87</x:v>
      </x:c>
    </x:row>
    <x:row r="106">
      <x:c r="A106" s="9" t="str">
        <x:v>102</x:v>
      </x:c>
      <x:c r="B106" s="9" t="str">
        <x:v>62</x:v>
      </x:c>
      <x:c r="C106" s="11" t="n">
        <x:v>46097</x:v>
      </x:c>
      <x:c r="D106" s="13" t="n">
        <x:v>240.81</x:v>
      </x:c>
    </x:row>
    <x:row r="107">
      <x:c r="A107" s="9" t="str">
        <x:v>103</x:v>
      </x:c>
      <x:c r="B107" s="9" t="str">
        <x:v>64</x:v>
      </x:c>
      <x:c r="C107" s="11" t="n">
        <x:v>46157</x:v>
      </x:c>
      <x:c r="D107" s="13" t="n">
        <x:v>160.38</x:v>
      </x:c>
    </x:row>
    <x:row r="108">
      <x:c r="A108" s="9" t="str">
        <x:v>104</x:v>
      </x:c>
      <x:c r="B108" s="9" t="str">
        <x:v>64</x:v>
      </x:c>
      <x:c r="C108" s="11" t="n">
        <x:v>46182</x:v>
      </x:c>
      <x:c r="D108" s="13" t="n">
        <x:v>43</x:v>
      </x:c>
    </x:row>
    <x:row r="109">
      <x:c r="A109" s="9" t="str">
        <x:v>105</x:v>
      </x:c>
      <x:c r="B109" s="9" t="str">
        <x:v>65</x:v>
      </x:c>
      <x:c r="C109" s="11" t="n">
        <x:v>46172</x:v>
      </x:c>
      <x:c r="D109" s="13" t="n">
        <x:v>82.69</x:v>
      </x:c>
    </x:row>
    <x:row r="110">
      <x:c r="A110" s="9" t="str">
        <x:v>106</x:v>
      </x:c>
      <x:c r="B110" s="9" t="str">
        <x:v>66</x:v>
      </x:c>
      <x:c r="C110" s="11" t="n">
        <x:v>46179</x:v>
      </x:c>
      <x:c r="D110" s="13" t="n">
        <x:v>1828.12</x:v>
      </x:c>
    </x:row>
    <x:row r="111">
      <x:c r="A111" s="9" t="str">
        <x:v>107</x:v>
      </x:c>
      <x:c r="B111" s="9" t="str">
        <x:v>66</x:v>
      </x:c>
      <x:c r="C111" s="11" t="n">
        <x:v>46156</x:v>
      </x:c>
      <x:c r="D111" s="13" t="n">
        <x:v>595.2</x:v>
      </x:c>
    </x:row>
    <x:row r="112">
      <x:c r="A112" s="9" t="str">
        <x:v>108</x:v>
      </x:c>
      <x:c r="B112" s="9" t="str">
        <x:v>66</x:v>
      </x:c>
      <x:c r="C112" s="11" t="n">
        <x:v>46173</x:v>
      </x:c>
      <x:c r="D112" s="13" t="n">
        <x:v>1001.91</x:v>
      </x:c>
    </x:row>
    <x:row r="113">
      <x:c r="A113" s="9" t="str">
        <x:v>109</x:v>
      </x:c>
      <x:c r="B113" s="9" t="str">
        <x:v>66</x:v>
      </x:c>
      <x:c r="C113" s="11" t="n">
        <x:v>46171</x:v>
      </x:c>
      <x:c r="D113" s="13" t="n">
        <x:v>1934.12</x:v>
      </x:c>
    </x:row>
    <x:row r="114">
      <x:c r="A114" s="9" t="str">
        <x:v>110</x:v>
      </x:c>
      <x:c r="B114" s="9" t="str">
        <x:v>67</x:v>
      </x:c>
      <x:c r="C114" s="11" t="n">
        <x:v>46174</x:v>
      </x:c>
      <x:c r="D114" s="13" t="n">
        <x:v>82.38</x:v>
      </x:c>
    </x:row>
    <x:row r="115">
      <x:c r="A115" s="9" t="str">
        <x:v>111</x:v>
      </x:c>
      <x:c r="B115" s="9" t="str">
        <x:v>67</x:v>
      </x:c>
      <x:c r="C115" s="11" t="n">
        <x:v>46177</x:v>
      </x:c>
      <x:c r="D115" s="13" t="n">
        <x:v>172.58</x:v>
      </x:c>
    </x:row>
    <x:row r="116">
      <x:c r="A116" s="9" t="str">
        <x:v>112</x:v>
      </x:c>
      <x:c r="B116" s="9" t="str">
        <x:v>67</x:v>
      </x:c>
      <x:c r="C116" s="11" t="n">
        <x:v>46172</x:v>
      </x:c>
      <x:c r="D116" s="13" t="n">
        <x:v>118.51</x:v>
      </x:c>
    </x:row>
    <x:row r="117">
      <x:c r="A117" s="9" t="str">
        <x:v>113</x:v>
      </x:c>
      <x:c r="B117" s="9" t="str">
        <x:v>67</x:v>
      </x:c>
      <x:c r="C117" s="11" t="n">
        <x:v>46190</x:v>
      </x:c>
      <x:c r="D117" s="13" t="n">
        <x:v>87.98</x:v>
      </x:c>
    </x:row>
    <x:row r="118">
      <x:c r="A118" s="9" t="str">
        <x:v>114</x:v>
      </x:c>
      <x:c r="B118" s="9" t="str">
        <x:v>68</x:v>
      </x:c>
      <x:c r="C118" s="11" t="n">
        <x:v>46155</x:v>
      </x:c>
      <x:c r="D118" s="13" t="n">
        <x:v>23.62</x:v>
      </x:c>
    </x:row>
    <x:row r="119">
      <x:c r="A119" s="9" t="str">
        <x:v>115</x:v>
      </x:c>
      <x:c r="B119" s="9" t="str">
        <x:v>68</x:v>
      </x:c>
      <x:c r="C119" s="11" t="n">
        <x:v>46146</x:v>
      </x:c>
      <x:c r="D119" s="13" t="n">
        <x:v>50.39</x:v>
      </x:c>
    </x:row>
    <x:row r="120">
      <x:c r="A120" s="9" t="str">
        <x:v>116</x:v>
      </x:c>
      <x:c r="B120" s="9" t="str">
        <x:v>68</x:v>
      </x:c>
      <x:c r="C120" s="11" t="n">
        <x:v>46189</x:v>
      </x:c>
      <x:c r="D120" s="13" t="n">
        <x:v>38.77</x:v>
      </x:c>
    </x:row>
    <x:row r="121">
      <x:c r="A121" s="9" t="str">
        <x:v>117</x:v>
      </x:c>
      <x:c r="B121" s="9" t="str">
        <x:v>69</x:v>
      </x:c>
      <x:c r="C121" s="11" t="n">
        <x:v>46068</x:v>
      </x:c>
      <x:c r="D121" s="13" t="n">
        <x:v>115.45</x:v>
      </x:c>
    </x:row>
    <x:row r="122">
      <x:c r="A122" s="9" t="str">
        <x:v>118</x:v>
      </x:c>
      <x:c r="B122" s="9" t="str">
        <x:v>69</x:v>
      </x:c>
      <x:c r="C122" s="11" t="n">
        <x:v>46072</x:v>
      </x:c>
      <x:c r="D122" s="13" t="n">
        <x:v>368.51</x:v>
      </x:c>
    </x:row>
    <x:row r="123">
      <x:c r="A123" s="9" t="str">
        <x:v>119</x:v>
      </x:c>
      <x:c r="B123" s="9" t="str">
        <x:v>69</x:v>
      </x:c>
      <x:c r="C123" s="11" t="n">
        <x:v>46201</x:v>
      </x:c>
      <x:c r="D123" s="13" t="n">
        <x:v>231.47</x:v>
      </x:c>
    </x:row>
    <x:row r="124">
      <x:c r="A124" s="9" t="str">
        <x:v>120</x:v>
      </x:c>
      <x:c r="B124" s="9" t="str">
        <x:v>70</x:v>
      </x:c>
      <x:c r="C124" s="11" t="n">
        <x:v>46165</x:v>
      </x:c>
      <x:c r="D124" s="13" t="n">
        <x:v>1508.86</x:v>
      </x:c>
    </x:row>
    <x:row r="125">
      <x:c r="A125" s="9" t="str">
        <x:v>121</x:v>
      </x:c>
      <x:c r="B125" s="9" t="str">
        <x:v>70</x:v>
      </x:c>
      <x:c r="C125" s="11" t="n">
        <x:v>46114</x:v>
      </x:c>
      <x:c r="D125" s="13" t="n">
        <x:v>1296.99</x:v>
      </x:c>
    </x:row>
    <x:row r="126">
      <x:c r="A126" s="9" t="str">
        <x:v>122</x:v>
      </x:c>
      <x:c r="B126" s="9" t="str">
        <x:v>70</x:v>
      </x:c>
      <x:c r="C126" s="11" t="n">
        <x:v>46141</x:v>
      </x:c>
      <x:c r="D126" s="13" t="n">
        <x:v>152.88</x:v>
      </x:c>
    </x:row>
    <x:row r="127">
      <x:c r="A127" s="9" t="str">
        <x:v>123</x:v>
      </x:c>
      <x:c r="B127" s="9" t="str">
        <x:v>72</x:v>
      </x:c>
      <x:c r="C127" s="11" t="n">
        <x:v>46153</x:v>
      </x:c>
      <x:c r="D127" s="13" t="n">
        <x:v>161.39</x:v>
      </x:c>
    </x:row>
    <x:row r="128">
      <x:c r="A128" s="9" t="str">
        <x:v>124</x:v>
      </x:c>
      <x:c r="B128" s="9" t="str">
        <x:v>72</x:v>
      </x:c>
      <x:c r="C128" s="11" t="n">
        <x:v>46195</x:v>
      </x:c>
      <x:c r="D128" s="13" t="n">
        <x:v>530.96</x:v>
      </x:c>
    </x:row>
    <x:row r="129">
      <x:c r="A129" s="9" t="str">
        <x:v>125</x:v>
      </x:c>
      <x:c r="B129" s="9" t="str">
        <x:v>72</x:v>
      </x:c>
      <x:c r="C129" s="11" t="n">
        <x:v>46142</x:v>
      </x:c>
      <x:c r="D129" s="13" t="n">
        <x:v>651.06</x:v>
      </x:c>
    </x:row>
    <x:row r="130">
      <x:c r="A130" s="9" t="str">
        <x:v>126</x:v>
      </x:c>
      <x:c r="B130" s="9" t="str">
        <x:v>73</x:v>
      </x:c>
      <x:c r="C130" s="11" t="n">
        <x:v>46179</x:v>
      </x:c>
      <x:c r="D130" s="13" t="n">
        <x:v>1162.75</x:v>
      </x:c>
    </x:row>
    <x:row r="131">
      <x:c r="A131" s="9" t="str">
        <x:v>127</x:v>
      </x:c>
      <x:c r="B131" s="9" t="str">
        <x:v>73</x:v>
      </x:c>
      <x:c r="C131" s="11" t="n">
        <x:v>46148</x:v>
      </x:c>
      <x:c r="D131" s="13" t="n">
        <x:v>700.48</x:v>
      </x:c>
    </x:row>
    <x:row r="132">
      <x:c r="A132" s="9" t="str">
        <x:v>128</x:v>
      </x:c>
      <x:c r="B132" s="9" t="str">
        <x:v>74</x:v>
      </x:c>
      <x:c r="C132" s="11" t="n">
        <x:v>46149</x:v>
      </x:c>
      <x:c r="D132" s="13" t="n">
        <x:v>2204.83</x:v>
      </x:c>
    </x:row>
    <x:row r="133">
      <x:c r="A133" s="9" t="str">
        <x:v>129</x:v>
      </x:c>
      <x:c r="B133" s="9" t="str">
        <x:v>74</x:v>
      </x:c>
      <x:c r="C133" s="11" t="n">
        <x:v>46154</x:v>
      </x:c>
      <x:c r="D133" s="13" t="n">
        <x:v>2499.44</x:v>
      </x:c>
    </x:row>
    <x:row r="134">
      <x:c r="A134" s="9" t="str">
        <x:v>130</x:v>
      </x:c>
      <x:c r="B134" s="9" t="str">
        <x:v>74</x:v>
      </x:c>
      <x:c r="C134" s="11" t="n">
        <x:v>46141</x:v>
      </x:c>
      <x:c r="D134" s="13" t="n">
        <x:v>1245.44</x:v>
      </x:c>
    </x:row>
    <x:row r="135">
      <x:c r="A135" s="9" t="str">
        <x:v>131</x:v>
      </x:c>
      <x:c r="B135" s="9" t="str">
        <x:v>74</x:v>
      </x:c>
      <x:c r="C135" s="11" t="n">
        <x:v>46091</x:v>
      </x:c>
      <x:c r="D135" s="13" t="n">
        <x:v>1576.84</x:v>
      </x:c>
    </x:row>
    <x:row r="136">
      <x:c r="A136" s="9" t="str">
        <x:v>132</x:v>
      </x:c>
      <x:c r="B136" s="9" t="str">
        <x:v>76</x:v>
      </x:c>
      <x:c r="C136" s="11" t="n">
        <x:v>46193</x:v>
      </x:c>
      <x:c r="D136" s="13" t="n">
        <x:v>2749.72</x:v>
      </x:c>
    </x:row>
    <x:row r="137">
      <x:c r="A137" s="9" t="str">
        <x:v>133</x:v>
      </x:c>
      <x:c r="B137" s="9" t="str">
        <x:v>76</x:v>
      </x:c>
      <x:c r="C137" s="11" t="n">
        <x:v>46107</x:v>
      </x:c>
      <x:c r="D137" s="13" t="n">
        <x:v>2209.88</x:v>
      </x:c>
    </x:row>
    <x:row r="138">
      <x:c r="A138" s="9" t="str">
        <x:v>134</x:v>
      </x:c>
      <x:c r="B138" s="9" t="str">
        <x:v>76</x:v>
      </x:c>
      <x:c r="C138" s="11" t="n">
        <x:v>46112</x:v>
      </x:c>
      <x:c r="D138" s="13" t="n">
        <x:v>2182.87</x:v>
      </x:c>
    </x:row>
    <x:row r="139">
      <x:c r="A139" s="9" t="str">
        <x:v>135</x:v>
      </x:c>
      <x:c r="B139" s="9" t="str">
        <x:v>76</x:v>
      </x:c>
      <x:c r="C139" s="11" t="n">
        <x:v>46165</x:v>
      </x:c>
      <x:c r="D139" s="13" t="n">
        <x:v>786.99</x:v>
      </x:c>
    </x:row>
    <x:row r="140">
      <x:c r="A140" s="9" t="str">
        <x:v>136</x:v>
      </x:c>
      <x:c r="B140" s="9" t="str">
        <x:v>77</x:v>
      </x:c>
      <x:c r="C140" s="11" t="n">
        <x:v>46146</x:v>
      </x:c>
      <x:c r="D140" s="13" t="n">
        <x:v>702.41</x:v>
      </x:c>
    </x:row>
    <x:row r="141">
      <x:c r="A141" s="9" t="str">
        <x:v>137</x:v>
      </x:c>
      <x:c r="B141" s="9" t="str">
        <x:v>77</x:v>
      </x:c>
      <x:c r="C141" s="11" t="n">
        <x:v>46194</x:v>
      </x:c>
      <x:c r="D141" s="13" t="n">
        <x:v>1282.93</x:v>
      </x:c>
    </x:row>
    <x:row r="142">
      <x:c r="A142" s="9" t="str">
        <x:v>138</x:v>
      </x:c>
      <x:c r="B142" s="9" t="str">
        <x:v>77</x:v>
      </x:c>
      <x:c r="C142" s="11" t="n">
        <x:v>46057</x:v>
      </x:c>
      <x:c r="D142" s="13" t="n">
        <x:v>1250.06</x:v>
      </x:c>
    </x:row>
    <x:row r="143">
      <x:c r="A143" s="9" t="str">
        <x:v>139</x:v>
      </x:c>
      <x:c r="B143" s="9" t="str">
        <x:v>78</x:v>
      </x:c>
      <x:c r="C143" s="11" t="n">
        <x:v>46185</x:v>
      </x:c>
      <x:c r="D143" s="13" t="n">
        <x:v>26.15</x:v>
      </x:c>
    </x:row>
    <x:row r="144">
      <x:c r="A144" s="9" t="str">
        <x:v>140</x:v>
      </x:c>
      <x:c r="B144" s="9" t="str">
        <x:v>79</x:v>
      </x:c>
      <x:c r="C144" s="11" t="n">
        <x:v>46174</x:v>
      </x:c>
      <x:c r="D144" s="13" t="n">
        <x:v>363.13</x:v>
      </x:c>
    </x:row>
    <x:row r="145">
      <x:c r="A145" s="9" t="str">
        <x:v>141</x:v>
      </x:c>
      <x:c r="B145" s="9" t="str">
        <x:v>79</x:v>
      </x:c>
      <x:c r="C145" s="11" t="n">
        <x:v>46158</x:v>
      </x:c>
      <x:c r="D145" s="13" t="n">
        <x:v>556.27</x:v>
      </x:c>
    </x:row>
    <x:row r="146">
      <x:c r="A146" s="9" t="str">
        <x:v>142</x:v>
      </x:c>
      <x:c r="B146" s="9" t="str">
        <x:v>82</x:v>
      </x:c>
      <x:c r="C146" s="11" t="n">
        <x:v>46169</x:v>
      </x:c>
      <x:c r="D146" s="13" t="n">
        <x:v>1815.78</x:v>
      </x:c>
    </x:row>
    <x:row r="147">
      <x:c r="A147" s="9" t="str">
        <x:v>143</x:v>
      </x:c>
      <x:c r="B147" s="9" t="str">
        <x:v>82</x:v>
      </x:c>
      <x:c r="C147" s="11" t="n">
        <x:v>46165</x:v>
      </x:c>
      <x:c r="D147" s="13" t="n">
        <x:v>757.29</x:v>
      </x:c>
    </x:row>
    <x:row r="148">
      <x:c r="A148" s="9" t="str">
        <x:v>144</x:v>
      </x:c>
      <x:c r="B148" s="9" t="str">
        <x:v>84</x:v>
      </x:c>
      <x:c r="C148" s="11" t="n">
        <x:v>46185</x:v>
      </x:c>
      <x:c r="D148" s="13" t="n">
        <x:v>802.05</x:v>
      </x:c>
    </x:row>
    <x:row r="149">
      <x:c r="A149" s="9" t="str">
        <x:v>145</x:v>
      </x:c>
      <x:c r="B149" s="9" t="str">
        <x:v>84</x:v>
      </x:c>
      <x:c r="C149" s="11" t="n">
        <x:v>46169</x:v>
      </x:c>
      <x:c r="D149" s="13" t="n">
        <x:v>1644.74</x:v>
      </x:c>
    </x:row>
    <x:row r="150">
      <x:c r="A150" s="9" t="str">
        <x:v>146</x:v>
      </x:c>
      <x:c r="B150" s="9" t="str">
        <x:v>84</x:v>
      </x:c>
      <x:c r="C150" s="11" t="n">
        <x:v>46132</x:v>
      </x:c>
      <x:c r="D150" s="13" t="n">
        <x:v>1542.19</x:v>
      </x:c>
    </x:row>
    <x:row r="151">
      <x:c r="A151" s="9" t="str">
        <x:v>147</x:v>
      </x:c>
      <x:c r="B151" s="9" t="str">
        <x:v>87</x:v>
      </x:c>
      <x:c r="C151" s="11" t="n">
        <x:v>46151</x:v>
      </x:c>
      <x:c r="D151" s="13" t="n">
        <x:v>959.67</x:v>
      </x:c>
    </x:row>
    <x:row r="152">
      <x:c r="A152" s="9" t="str">
        <x:v>148</x:v>
      </x:c>
      <x:c r="B152" s="9" t="str">
        <x:v>87</x:v>
      </x:c>
      <x:c r="C152" s="11" t="n">
        <x:v>46174</x:v>
      </x:c>
      <x:c r="D152" s="13" t="n">
        <x:v>521.72</x:v>
      </x:c>
    </x:row>
    <x:row r="153">
      <x:c r="A153" s="9" t="str">
        <x:v>149</x:v>
      </x:c>
      <x:c r="B153" s="9" t="str">
        <x:v>87</x:v>
      </x:c>
      <x:c r="C153" s="11" t="n">
        <x:v>46147</x:v>
      </x:c>
      <x:c r="D153" s="13" t="n">
        <x:v>680.79</x:v>
      </x:c>
    </x:row>
    <x:row r="154">
      <x:c r="A154" s="9" t="str">
        <x:v>150</x:v>
      </x:c>
      <x:c r="B154" s="9" t="str">
        <x:v>87</x:v>
      </x:c>
      <x:c r="C154" s="11" t="n">
        <x:v>46201</x:v>
      </x:c>
      <x:c r="D154" s="13" t="n">
        <x:v>969.8</x:v>
      </x:c>
    </x:row>
    <x:row r="155">
      <x:c r="A155" s="9" t="str">
        <x:v>151</x:v>
      </x:c>
      <x:c r="B155" s="9" t="str">
        <x:v>88</x:v>
      </x:c>
      <x:c r="C155" s="11" t="n">
        <x:v>46083</x:v>
      </x:c>
      <x:c r="D155" s="13" t="n">
        <x:v>1321.97</x:v>
      </x:c>
    </x:row>
    <x:row r="156">
      <x:c r="A156" s="9" t="str">
        <x:v>152</x:v>
      </x:c>
      <x:c r="B156" s="9" t="str">
        <x:v>89</x:v>
      </x:c>
      <x:c r="C156" s="11" t="n">
        <x:v>46083</x:v>
      </x:c>
      <x:c r="D156" s="13" t="n">
        <x:v>215.39</x:v>
      </x:c>
    </x:row>
    <x:row r="157">
      <x:c r="A157" s="9" t="str">
        <x:v>153</x:v>
      </x:c>
      <x:c r="B157" s="9" t="str">
        <x:v>90</x:v>
      </x:c>
      <x:c r="C157" s="11" t="n">
        <x:v>46149</x:v>
      </x:c>
      <x:c r="D157" s="13" t="n">
        <x:v>1293.39</x:v>
      </x:c>
    </x:row>
    <x:row r="158">
      <x:c r="A158" s="9" t="str">
        <x:v>154</x:v>
      </x:c>
      <x:c r="B158" s="9" t="str">
        <x:v>91</x:v>
      </x:c>
      <x:c r="C158" s="11" t="n">
        <x:v>46168</x:v>
      </x:c>
      <x:c r="D158" s="13" t="n">
        <x:v>1925.37</x:v>
      </x:c>
    </x:row>
    <x:row r="159">
      <x:c r="A159" s="9" t="str">
        <x:v>155</x:v>
      </x:c>
      <x:c r="B159" s="9" t="str">
        <x:v>93</x:v>
      </x:c>
      <x:c r="C159" s="11" t="n">
        <x:v>46194</x:v>
      </x:c>
      <x:c r="D159" s="13" t="n">
        <x:v>607.59</x:v>
      </x:c>
    </x:row>
    <x:row r="160">
      <x:c r="A160" s="9" t="str">
        <x:v>156</x:v>
      </x:c>
      <x:c r="B160" s="9" t="str">
        <x:v>93</x:v>
      </x:c>
      <x:c r="C160" s="11" t="n">
        <x:v>46177</x:v>
      </x:c>
      <x:c r="D160" s="13" t="n">
        <x:v>691.95</x:v>
      </x:c>
    </x:row>
    <x:row r="161">
      <x:c r="A161" s="9" t="str">
        <x:v>157</x:v>
      </x:c>
      <x:c r="B161" s="9" t="str">
        <x:v>95</x:v>
      </x:c>
      <x:c r="C161" s="11" t="n">
        <x:v>46200</x:v>
      </x:c>
      <x:c r="D161" s="13" t="n">
        <x:v>279.34</x:v>
      </x:c>
    </x:row>
    <x:row r="162">
      <x:c r="A162" s="9" t="str">
        <x:v>158</x:v>
      </x:c>
      <x:c r="B162" s="9" t="str">
        <x:v>96</x:v>
      </x:c>
      <x:c r="C162" s="11" t="n">
        <x:v>46179</x:v>
      </x:c>
      <x:c r="D162" s="13" t="n">
        <x:v>717.72</x:v>
      </x:c>
    </x:row>
    <x:row r="163">
      <x:c r="A163" s="9" t="str">
        <x:v>159</x:v>
      </x:c>
      <x:c r="B163" s="9" t="str">
        <x:v>96</x:v>
      </x:c>
      <x:c r="C163" s="11" t="n">
        <x:v>46189</x:v>
      </x:c>
      <x:c r="D163" s="13" t="n">
        <x:v>1597.63</x:v>
      </x:c>
    </x:row>
    <x:row r="164">
      <x:c r="A164" s="9" t="str">
        <x:v>160</x:v>
      </x:c>
      <x:c r="B164" s="9" t="str">
        <x:v>96</x:v>
      </x:c>
      <x:c r="C164" s="11" t="n">
        <x:v>46153</x:v>
      </x:c>
      <x:c r="D164" s="13" t="n">
        <x:v>369.56</x:v>
      </x:c>
    </x:row>
    <x:row r="165">
      <x:c r="A165" s="9" t="str">
        <x:v>161</x:v>
      </x:c>
      <x:c r="B165" s="9" t="str">
        <x:v>96</x:v>
      </x:c>
      <x:c r="C165" s="11" t="n">
        <x:v>46113</x:v>
      </x:c>
      <x:c r="D165" s="13" t="n">
        <x:v>2187.5</x:v>
      </x:c>
    </x:row>
    <x:row r="166">
      <x:c r="A166" s="9" t="str">
        <x:v>162</x:v>
      </x:c>
      <x:c r="B166" s="9" t="str">
        <x:v>100</x:v>
      </x:c>
      <x:c r="C166" s="11" t="n">
        <x:v>46184</x:v>
      </x:c>
      <x:c r="D166" s="13" t="n">
        <x:v>583.72</x:v>
      </x:c>
    </x:row>
    <x:row r="167">
      <x:c r="A167" s="9" t="str">
        <x:v>163</x:v>
      </x:c>
      <x:c r="B167" s="9" t="str">
        <x:v>100</x:v>
      </x:c>
      <x:c r="C167" s="11" t="n">
        <x:v>46048</x:v>
      </x:c>
      <x:c r="D167" s="13" t="n">
        <x:v>361.67</x:v>
      </x:c>
    </x:row>
    <x:row r="168">
      <x:c r="A168" s="9" t="str">
        <x:v>164</x:v>
      </x:c>
      <x:c r="B168" s="9" t="str">
        <x:v>101</x:v>
      </x:c>
      <x:c r="C168" s="11" t="n">
        <x:v>46171</x:v>
      </x:c>
      <x:c r="D168" s="13" t="n">
        <x:v>77.96</x:v>
      </x:c>
    </x:row>
    <x:row r="169">
      <x:c r="A169" s="9" t="str">
        <x:v>165</x:v>
      </x:c>
      <x:c r="B169" s="9" t="str">
        <x:v>102</x:v>
      </x:c>
      <x:c r="C169" s="11" t="n">
        <x:v>46169</x:v>
      </x:c>
      <x:c r="D169" s="13" t="n">
        <x:v>95.04</x:v>
      </x:c>
    </x:row>
    <x:row r="170">
      <x:c r="A170" s="9" t="str">
        <x:v>166</x:v>
      </x:c>
      <x:c r="B170" s="9" t="str">
        <x:v>102</x:v>
      </x:c>
      <x:c r="C170" s="11" t="n">
        <x:v>46192</x:v>
      </x:c>
      <x:c r="D170" s="13" t="n">
        <x:v>122.76</x:v>
      </x:c>
    </x:row>
    <x:row r="171">
      <x:c r="A171" s="9" t="str">
        <x:v>167</x:v>
      </x:c>
      <x:c r="B171" s="9" t="str">
        <x:v>103</x:v>
      </x:c>
      <x:c r="C171" s="11" t="n">
        <x:v>46164</x:v>
      </x:c>
      <x:c r="D171" s="13" t="n">
        <x:v>2348.48</x:v>
      </x:c>
    </x:row>
    <x:row r="172">
      <x:c r="A172" s="9" t="str">
        <x:v>168</x:v>
      </x:c>
      <x:c r="B172" s="9" t="str">
        <x:v>103</x:v>
      </x:c>
      <x:c r="C172" s="11" t="n">
        <x:v>46087</x:v>
      </x:c>
      <x:c r="D172" s="13" t="n">
        <x:v>153.04</x:v>
      </x:c>
    </x:row>
    <x:row r="173">
      <x:c r="A173" s="9" t="str">
        <x:v>169</x:v>
      </x:c>
      <x:c r="B173" s="9" t="str">
        <x:v>103</x:v>
      </x:c>
      <x:c r="C173" s="11" t="n">
        <x:v>46106</x:v>
      </x:c>
      <x:c r="D173" s="13" t="n">
        <x:v>1696.63</x:v>
      </x:c>
    </x:row>
    <x:row r="174">
      <x:c r="A174" s="9" t="str">
        <x:v>170</x:v>
      </x:c>
      <x:c r="B174" s="9" t="str">
        <x:v>103</x:v>
      </x:c>
      <x:c r="C174" s="11" t="n">
        <x:v>46194</x:v>
      </x:c>
      <x:c r="D174" s="13" t="n">
        <x:v>1335.31</x:v>
      </x:c>
    </x:row>
    <x:row r="175">
      <x:c r="A175" s="9" t="str">
        <x:v>171</x:v>
      </x:c>
      <x:c r="B175" s="9" t="str">
        <x:v>104</x:v>
      </x:c>
      <x:c r="C175" s="11" t="n">
        <x:v>46123</x:v>
      </x:c>
      <x:c r="D175" s="13" t="n">
        <x:v>1181.96</x:v>
      </x:c>
    </x:row>
    <x:row r="176">
      <x:c r="A176" s="9" t="str">
        <x:v>172</x:v>
      </x:c>
      <x:c r="B176" s="9" t="str">
        <x:v>104</x:v>
      </x:c>
      <x:c r="C176" s="11" t="n">
        <x:v>46170</x:v>
      </x:c>
      <x:c r="D176" s="13" t="n">
        <x:v>321.18</x:v>
      </x:c>
    </x:row>
    <x:row r="177">
      <x:c r="A177" s="9" t="str">
        <x:v>173</x:v>
      </x:c>
      <x:c r="B177" s="9" t="str">
        <x:v>104</x:v>
      </x:c>
      <x:c r="C177" s="11" t="n">
        <x:v>46047</x:v>
      </x:c>
      <x:c r="D177" s="13" t="n">
        <x:v>1963.59</x:v>
      </x:c>
    </x:row>
    <x:row r="178">
      <x:c r="A178" s="9" t="str">
        <x:v>174</x:v>
      </x:c>
      <x:c r="B178" s="9" t="str">
        <x:v>105</x:v>
      </x:c>
      <x:c r="C178" s="11" t="n">
        <x:v>46197</x:v>
      </x:c>
      <x:c r="D178" s="13" t="n">
        <x:v>1606.97</x:v>
      </x:c>
    </x:row>
    <x:row r="179">
      <x:c r="A179" s="9" t="str">
        <x:v>175</x:v>
      </x:c>
      <x:c r="B179" s="9" t="str">
        <x:v>105</x:v>
      </x:c>
      <x:c r="C179" s="11" t="n">
        <x:v>46194</x:v>
      </x:c>
      <x:c r="D179" s="13" t="n">
        <x:v>1094.49</x:v>
      </x:c>
    </x:row>
    <x:row r="180">
      <x:c r="A180" s="9" t="str">
        <x:v>176</x:v>
      </x:c>
      <x:c r="B180" s="9" t="str">
        <x:v>105</x:v>
      </x:c>
      <x:c r="C180" s="11" t="n">
        <x:v>46188</x:v>
      </x:c>
      <x:c r="D180" s="13" t="n">
        <x:v>1797.05</x:v>
      </x:c>
    </x:row>
    <x:row r="181">
      <x:c r="A181" s="9" t="str">
        <x:v>177</x:v>
      </x:c>
      <x:c r="B181" s="9" t="str">
        <x:v>105</x:v>
      </x:c>
      <x:c r="C181" s="11" t="n">
        <x:v>46179</x:v>
      </x:c>
      <x:c r="D181" s="13" t="n">
        <x:v>294.55</x:v>
      </x:c>
    </x:row>
    <x:row r="182">
      <x:c r="A182" s="9" t="str">
        <x:v>178</x:v>
      </x:c>
      <x:c r="B182" s="9" t="str">
        <x:v>106</x:v>
      </x:c>
      <x:c r="C182" s="11" t="n">
        <x:v>46170</x:v>
      </x:c>
      <x:c r="D182" s="13" t="n">
        <x:v>548.6</x:v>
      </x:c>
    </x:row>
    <x:row r="183">
      <x:c r="A183" s="9" t="str">
        <x:v>179</x:v>
      </x:c>
      <x:c r="B183" s="9" t="str">
        <x:v>107</x:v>
      </x:c>
      <x:c r="C183" s="11" t="n">
        <x:v>46098</x:v>
      </x:c>
      <x:c r="D183" s="13" t="n">
        <x:v>452.93</x:v>
      </x:c>
    </x:row>
    <x:row r="184">
      <x:c r="A184" s="9" t="str">
        <x:v>180</x:v>
      </x:c>
      <x:c r="B184" s="9" t="str">
        <x:v>108</x:v>
      </x:c>
      <x:c r="C184" s="11" t="n">
        <x:v>46149</x:v>
      </x:c>
      <x:c r="D184" s="13" t="n">
        <x:v>465.21</x:v>
      </x:c>
    </x:row>
    <x:row r="185">
      <x:c r="A185" s="9" t="str">
        <x:v>181</x:v>
      </x:c>
      <x:c r="B185" s="9" t="str">
        <x:v>108</x:v>
      </x:c>
      <x:c r="C185" s="11" t="n">
        <x:v>46182</x:v>
      </x:c>
      <x:c r="D185" s="13" t="n">
        <x:v>281.46</x:v>
      </x:c>
    </x:row>
    <x:row r="186">
      <x:c r="A186" s="9" t="str">
        <x:v>182</x:v>
      </x:c>
      <x:c r="B186" s="9" t="str">
        <x:v>108</x:v>
      </x:c>
      <x:c r="C186" s="11" t="n">
        <x:v>46174</x:v>
      </x:c>
      <x:c r="D186" s="13" t="n">
        <x:v>1733.65</x:v>
      </x:c>
    </x:row>
    <x:row r="187">
      <x:c r="A187" s="9" t="str">
        <x:v>183</x:v>
      </x:c>
      <x:c r="B187" s="9" t="str">
        <x:v>108</x:v>
      </x:c>
      <x:c r="C187" s="11" t="n">
        <x:v>46182</x:v>
      </x:c>
      <x:c r="D187" s="13" t="n">
        <x:v>1331.49</x:v>
      </x:c>
    </x:row>
    <x:row r="188">
      <x:c r="A188" s="9" t="str">
        <x:v>184</x:v>
      </x:c>
      <x:c r="B188" s="9" t="str">
        <x:v>109</x:v>
      </x:c>
      <x:c r="C188" s="11" t="n">
        <x:v>46186</x:v>
      </x:c>
      <x:c r="D188" s="13" t="n">
        <x:v>909.95</x:v>
      </x:c>
    </x:row>
    <x:row r="189">
      <x:c r="A189" s="9" t="str">
        <x:v>185</x:v>
      </x:c>
      <x:c r="B189" s="9" t="str">
        <x:v>109</x:v>
      </x:c>
      <x:c r="C189" s="11" t="n">
        <x:v>46172</x:v>
      </x:c>
      <x:c r="D189" s="13" t="n">
        <x:v>891.29</x:v>
      </x:c>
    </x:row>
    <x:row r="190">
      <x:c r="A190" s="9" t="str">
        <x:v>186</x:v>
      </x:c>
      <x:c r="B190" s="9" t="str">
        <x:v>110</x:v>
      </x:c>
      <x:c r="C190" s="11" t="n">
        <x:v>46167</x:v>
      </x:c>
      <x:c r="D190" s="13" t="n">
        <x:v>1509.08</x:v>
      </x:c>
    </x:row>
    <x:row r="191">
      <x:c r="A191" s="9" t="str">
        <x:v>187</x:v>
      </x:c>
      <x:c r="B191" s="9" t="str">
        <x:v>110</x:v>
      </x:c>
      <x:c r="C191" s="11" t="n">
        <x:v>46179</x:v>
      </x:c>
      <x:c r="D191" s="13" t="n">
        <x:v>76.95</x:v>
      </x:c>
    </x:row>
    <x:row r="192">
      <x:c r="A192" s="9" t="str">
        <x:v>188</x:v>
      </x:c>
      <x:c r="B192" s="9" t="str">
        <x:v>110</x:v>
      </x:c>
      <x:c r="C192" s="11" t="n">
        <x:v>46116</x:v>
      </x:c>
      <x:c r="D192" s="13" t="n">
        <x:v>568.21</x:v>
      </x:c>
    </x:row>
    <x:row r="193">
      <x:c r="A193" s="9" t="str">
        <x:v>189</x:v>
      </x:c>
      <x:c r="B193" s="9" t="str">
        <x:v>110</x:v>
      </x:c>
      <x:c r="C193" s="11" t="n">
        <x:v>46131</x:v>
      </x:c>
      <x:c r="D193" s="13" t="n">
        <x:v>2006.85</x:v>
      </x:c>
    </x:row>
    <x:row r="194">
      <x:c r="A194" s="9" t="str">
        <x:v>190</x:v>
      </x:c>
      <x:c r="B194" s="9" t="str">
        <x:v>111</x:v>
      </x:c>
      <x:c r="C194" s="11" t="n">
        <x:v>46052</x:v>
      </x:c>
      <x:c r="D194" s="13" t="n">
        <x:v>201.92</x:v>
      </x:c>
    </x:row>
    <x:row r="195">
      <x:c r="A195" s="9" t="str">
        <x:v>191</x:v>
      </x:c>
      <x:c r="B195" s="9" t="str">
        <x:v>111</x:v>
      </x:c>
      <x:c r="C195" s="11" t="n">
        <x:v>46112</x:v>
      </x:c>
      <x:c r="D195" s="13" t="n">
        <x:v>915.17</x:v>
      </x:c>
    </x:row>
    <x:row r="196">
      <x:c r="A196" s="9" t="str">
        <x:v>192</x:v>
      </x:c>
      <x:c r="B196" s="9" t="str">
        <x:v>113</x:v>
      </x:c>
      <x:c r="C196" s="11" t="n">
        <x:v>46166</x:v>
      </x:c>
      <x:c r="D196" s="13" t="n">
        <x:v>242.55</x:v>
      </x:c>
    </x:row>
    <x:row r="197">
      <x:c r="A197" s="9" t="str">
        <x:v>193</x:v>
      </x:c>
      <x:c r="B197" s="9" t="str">
        <x:v>113</x:v>
      </x:c>
      <x:c r="C197" s="11" t="n">
        <x:v>46173</x:v>
      </x:c>
      <x:c r="D197" s="13" t="n">
        <x:v>255.07</x:v>
      </x:c>
    </x:row>
    <x:row r="198">
      <x:c r="A198" s="9" t="str">
        <x:v>194</x:v>
      </x:c>
      <x:c r="B198" s="9" t="str">
        <x:v>113</x:v>
      </x:c>
      <x:c r="C198" s="11" t="n">
        <x:v>46194</x:v>
      </x:c>
      <x:c r="D198" s="13" t="n">
        <x:v>973.48</x:v>
      </x:c>
    </x:row>
    <x:row r="199">
      <x:c r="A199" s="9" t="str">
        <x:v>195</x:v>
      </x:c>
      <x:c r="B199" s="9" t="str">
        <x:v>114</x:v>
      </x:c>
      <x:c r="C199" s="11" t="n">
        <x:v>46094</x:v>
      </x:c>
      <x:c r="D199" s="13" t="n">
        <x:v>1347.01</x:v>
      </x:c>
    </x:row>
    <x:row r="200">
      <x:c r="A200" s="9" t="str">
        <x:v>196</x:v>
      </x:c>
      <x:c r="B200" s="9" t="str">
        <x:v>114</x:v>
      </x:c>
      <x:c r="C200" s="11" t="n">
        <x:v>46153</x:v>
      </x:c>
      <x:c r="D200" s="13" t="n">
        <x:v>1743.1</x:v>
      </x:c>
    </x:row>
    <x:row r="201">
      <x:c r="A201" s="9" t="str">
        <x:v>197</x:v>
      </x:c>
      <x:c r="B201" s="9" t="str">
        <x:v>114</x:v>
      </x:c>
      <x:c r="C201" s="11" t="n">
        <x:v>46099</x:v>
      </x:c>
      <x:c r="D201" s="13" t="n">
        <x:v>821.62</x:v>
      </x:c>
    </x:row>
    <x:row r="202">
      <x:c r="A202" s="9" t="str">
        <x:v>198</x:v>
      </x:c>
      <x:c r="B202" s="9" t="str">
        <x:v>114</x:v>
      </x:c>
      <x:c r="C202" s="11" t="n">
        <x:v>46135</x:v>
      </x:c>
      <x:c r="D202" s="13" t="n">
        <x:v>815.84</x:v>
      </x:c>
    </x:row>
    <x:row r="203">
      <x:c r="A203" s="9" t="str">
        <x:v>199</x:v>
      </x:c>
      <x:c r="B203" s="9" t="str">
        <x:v>115</x:v>
      </x:c>
      <x:c r="C203" s="11" t="n">
        <x:v>46123</x:v>
      </x:c>
      <x:c r="D203" s="13" t="n">
        <x:v>1163.23</x:v>
      </x:c>
    </x:row>
    <x:row r="204">
      <x:c r="A204" s="9" t="str">
        <x:v>200</x:v>
      </x:c>
      <x:c r="B204" s="9" t="str">
        <x:v>115</x:v>
      </x:c>
      <x:c r="C204" s="11" t="n">
        <x:v>46200</x:v>
      </x:c>
      <x:c r="D204" s="13" t="n">
        <x:v>367.44</x:v>
      </x:c>
    </x:row>
    <x:row r="205">
      <x:c r="A205" s="9" t="str">
        <x:v>201</x:v>
      </x:c>
      <x:c r="B205" s="9" t="str">
        <x:v>116</x:v>
      </x:c>
      <x:c r="C205" s="11" t="n">
        <x:v>46189</x:v>
      </x:c>
      <x:c r="D205" s="13" t="n">
        <x:v>602.77</x:v>
      </x:c>
    </x:row>
    <x:row r="206">
      <x:c r="A206" s="9" t="str">
        <x:v>202</x:v>
      </x:c>
      <x:c r="B206" s="9" t="str">
        <x:v>117</x:v>
      </x:c>
      <x:c r="C206" s="11" t="n">
        <x:v>46192</x:v>
      </x:c>
      <x:c r="D206" s="13" t="n">
        <x:v>1178</x:v>
      </x:c>
    </x:row>
    <x:row r="207">
      <x:c r="A207" s="9" t="str">
        <x:v>203</x:v>
      </x:c>
      <x:c r="B207" s="9" t="str">
        <x:v>117</x:v>
      </x:c>
      <x:c r="C207" s="11" t="n">
        <x:v>46179</x:v>
      </x:c>
      <x:c r="D207" s="13" t="n">
        <x:v>124.95</x:v>
      </x:c>
    </x:row>
    <x:row r="208">
      <x:c r="A208" s="9" t="str">
        <x:v>204</x:v>
      </x:c>
      <x:c r="B208" s="9" t="str">
        <x:v>117</x:v>
      </x:c>
      <x:c r="C208" s="11" t="n">
        <x:v>46181</x:v>
      </x:c>
      <x:c r="D208" s="13" t="n">
        <x:v>514.65</x:v>
      </x:c>
    </x:row>
    <x:row r="209">
      <x:c r="A209" s="9" t="str">
        <x:v>205</x:v>
      </x:c>
      <x:c r="B209" s="9" t="str">
        <x:v>117</x:v>
      </x:c>
      <x:c r="C209" s="11" t="n">
        <x:v>46166</x:v>
      </x:c>
      <x:c r="D209" s="13" t="n">
        <x:v>1357.14</x:v>
      </x:c>
    </x:row>
    <x:row r="210">
      <x:c r="A210" s="9" t="str">
        <x:v>206</x:v>
      </x:c>
      <x:c r="B210" s="9" t="str">
        <x:v>118</x:v>
      </x:c>
      <x:c r="C210" s="11" t="n">
        <x:v>46166</x:v>
      </x:c>
      <x:c r="D210" s="13" t="n">
        <x:v>2234.07</x:v>
      </x:c>
    </x:row>
    <x:row r="211">
      <x:c r="A211" s="9" t="str">
        <x:v>207</x:v>
      </x:c>
      <x:c r="B211" s="9" t="str">
        <x:v>120</x:v>
      </x:c>
      <x:c r="C211" s="11" t="n">
        <x:v>46136</x:v>
      </x:c>
      <x:c r="D211" s="13" t="n">
        <x:v>2147.16</x:v>
      </x:c>
    </x:row>
    <x:row r="212">
      <x:c r="A212" s="9" t="str">
        <x:v>208</x:v>
      </x:c>
      <x:c r="B212" s="9" t="str">
        <x:v>120</x:v>
      </x:c>
      <x:c r="C212" s="11" t="n">
        <x:v>46167</x:v>
      </x:c>
      <x:c r="D212" s="13" t="n">
        <x:v>2375.19</x:v>
      </x:c>
    </x:row>
    <x:row r="213">
      <x:c r="A213" s="9" t="str">
        <x:v>209</x:v>
      </x:c>
      <x:c r="B213" s="9" t="str">
        <x:v>121</x:v>
      </x:c>
      <x:c r="C213" s="11" t="n">
        <x:v>46063</x:v>
      </x:c>
      <x:c r="D213" s="13" t="n">
        <x:v>1600.07</x:v>
      </x:c>
    </x:row>
    <x:row r="214">
      <x:c r="A214" s="9" t="str">
        <x:v>210</x:v>
      </x:c>
      <x:c r="B214" s="9" t="str">
        <x:v>121</x:v>
      </x:c>
      <x:c r="C214" s="11" t="n">
        <x:v>46153</x:v>
      </x:c>
      <x:c r="D214" s="13" t="n">
        <x:v>747.98</x:v>
      </x:c>
    </x:row>
    <x:row r="215">
      <x:c r="A215" s="9" t="str">
        <x:v>211</x:v>
      </x:c>
      <x:c r="B215" s="9" t="str">
        <x:v>123</x:v>
      </x:c>
      <x:c r="C215" s="11" t="n">
        <x:v>46191</x:v>
      </x:c>
      <x:c r="D215" s="13" t="n">
        <x:v>1971.61</x:v>
      </x:c>
    </x:row>
    <x:row r="216">
      <x:c r="A216" s="9" t="str">
        <x:v>212</x:v>
      </x:c>
      <x:c r="B216" s="9" t="str">
        <x:v>124</x:v>
      </x:c>
      <x:c r="C216" s="11" t="n">
        <x:v>46195</x:v>
      </x:c>
      <x:c r="D216" s="13" t="n">
        <x:v>81.28</x:v>
      </x:c>
    </x:row>
    <x:row r="217">
      <x:c r="A217" s="9" t="str">
        <x:v>213</x:v>
      </x:c>
      <x:c r="B217" s="9" t="str">
        <x:v>124</x:v>
      </x:c>
      <x:c r="C217" s="11" t="n">
        <x:v>46157</x:v>
      </x:c>
      <x:c r="D217" s="13" t="n">
        <x:v>994.4</x:v>
      </x:c>
    </x:row>
    <x:row r="218">
      <x:c r="A218" s="9" t="str">
        <x:v>214</x:v>
      </x:c>
      <x:c r="B218" s="9" t="str">
        <x:v>124</x:v>
      </x:c>
      <x:c r="C218" s="11" t="n">
        <x:v>46169</x:v>
      </x:c>
      <x:c r="D218" s="13" t="n">
        <x:v>614.58</x:v>
      </x:c>
    </x:row>
    <x:row r="219">
      <x:c r="A219" s="9" t="str">
        <x:v>215</x:v>
      </x:c>
      <x:c r="B219" s="9" t="str">
        <x:v>124</x:v>
      </x:c>
      <x:c r="C219" s="11" t="n">
        <x:v>46096</x:v>
      </x:c>
      <x:c r="D219" s="13" t="n">
        <x:v>730.45</x:v>
      </x:c>
    </x:row>
    <x:row r="220">
      <x:c r="A220" s="9" t="str">
        <x:v>216</x:v>
      </x:c>
      <x:c r="B220" s="9" t="str">
        <x:v>125</x:v>
      </x:c>
      <x:c r="C220" s="11" t="n">
        <x:v>46145</x:v>
      </x:c>
      <x:c r="D220" s="13" t="n">
        <x:v>218.26</x:v>
      </x:c>
    </x:row>
    <x:row r="221">
      <x:c r="A221" s="9" t="str">
        <x:v>217</x:v>
      </x:c>
      <x:c r="B221" s="9" t="str">
        <x:v>126</x:v>
      </x:c>
      <x:c r="C221" s="11" t="n">
        <x:v>46193</x:v>
      </x:c>
      <x:c r="D221" s="13" t="n">
        <x:v>1268.17</x:v>
      </x:c>
    </x:row>
    <x:row r="222">
      <x:c r="A222" s="9" t="str">
        <x:v>218</x:v>
      </x:c>
      <x:c r="B222" s="9" t="str">
        <x:v>126</x:v>
      </x:c>
      <x:c r="C222" s="11" t="n">
        <x:v>46179</x:v>
      </x:c>
      <x:c r="D222" s="13" t="n">
        <x:v>1177.47</x:v>
      </x:c>
    </x:row>
    <x:row r="223">
      <x:c r="A223" s="9" t="str">
        <x:v>219</x:v>
      </x:c>
      <x:c r="B223" s="9" t="str">
        <x:v>128</x:v>
      </x:c>
      <x:c r="C223" s="11" t="n">
        <x:v>46154</x:v>
      </x:c>
      <x:c r="D223" s="13" t="n">
        <x:v>79.71</x:v>
      </x:c>
    </x:row>
    <x:row r="224">
      <x:c r="A224" s="9" t="str">
        <x:v>220</x:v>
      </x:c>
      <x:c r="B224" s="9" t="str">
        <x:v>128</x:v>
      </x:c>
      <x:c r="C224" s="11" t="n">
        <x:v>46168</x:v>
      </x:c>
      <x:c r="D224" s="13" t="n">
        <x:v>190.74</x:v>
      </x:c>
    </x:row>
    <x:row r="225">
      <x:c r="A225" s="9" t="str">
        <x:v>221</x:v>
      </x:c>
      <x:c r="B225" s="9" t="str">
        <x:v>128</x:v>
      </x:c>
      <x:c r="C225" s="11" t="n">
        <x:v>46186</x:v>
      </x:c>
      <x:c r="D225" s="13" t="n">
        <x:v>188.08</x:v>
      </x:c>
    </x:row>
    <x:row r="226">
      <x:c r="A226" s="9" t="str">
        <x:v>222</x:v>
      </x:c>
      <x:c r="B226" s="9" t="str">
        <x:v>128</x:v>
      </x:c>
      <x:c r="C226" s="11" t="n">
        <x:v>46193</x:v>
      </x:c>
      <x:c r="D226" s="13" t="n">
        <x:v>164.69</x:v>
      </x:c>
    </x:row>
    <x:row r="227">
      <x:c r="A227" s="9" t="str">
        <x:v>223</x:v>
      </x:c>
      <x:c r="B227" s="9" t="str">
        <x:v>129</x:v>
      </x:c>
      <x:c r="C227" s="11" t="n">
        <x:v>46098</x:v>
      </x:c>
      <x:c r="D227" s="13" t="n">
        <x:v>668.2</x:v>
      </x:c>
    </x:row>
    <x:row r="228">
      <x:c r="A228" s="9" t="str">
        <x:v>224</x:v>
      </x:c>
      <x:c r="B228" s="9" t="str">
        <x:v>129</x:v>
      </x:c>
      <x:c r="C228" s="11" t="n">
        <x:v>46200</x:v>
      </x:c>
      <x:c r="D228" s="13" t="n">
        <x:v>323.1</x:v>
      </x:c>
    </x:row>
    <x:row r="229">
      <x:c r="A229" s="9" t="str">
        <x:v>225</x:v>
      </x:c>
      <x:c r="B229" s="9" t="str">
        <x:v>130</x:v>
      </x:c>
      <x:c r="C229" s="11" t="n">
        <x:v>46169</x:v>
      </x:c>
      <x:c r="D229" s="13" t="n">
        <x:v>1891.12</x:v>
      </x:c>
    </x:row>
    <x:row r="230">
      <x:c r="A230" s="9" t="str">
        <x:v>226</x:v>
      </x:c>
      <x:c r="B230" s="9" t="str">
        <x:v>130</x:v>
      </x:c>
      <x:c r="C230" s="11" t="n">
        <x:v>46198</x:v>
      </x:c>
      <x:c r="D230" s="13" t="n">
        <x:v>1157.24</x:v>
      </x:c>
    </x:row>
    <x:row r="231">
      <x:c r="A231" s="9" t="str">
        <x:v>227</x:v>
      </x:c>
      <x:c r="B231" s="9" t="str">
        <x:v>130</x:v>
      </x:c>
      <x:c r="C231" s="11" t="n">
        <x:v>46171</x:v>
      </x:c>
      <x:c r="D231" s="13" t="n">
        <x:v>1225.03</x:v>
      </x:c>
    </x:row>
    <x:row r="232">
      <x:c r="A232" s="9" t="str">
        <x:v>228</x:v>
      </x:c>
      <x:c r="B232" s="9" t="str">
        <x:v>131</x:v>
      </x:c>
      <x:c r="C232" s="11" t="n">
        <x:v>46172</x:v>
      </x:c>
      <x:c r="D232" s="13" t="n">
        <x:v>1526.84</x:v>
      </x:c>
    </x:row>
    <x:row r="233">
      <x:c r="A233" s="9" t="str">
        <x:v>229</x:v>
      </x:c>
      <x:c r="B233" s="9" t="str">
        <x:v>131</x:v>
      </x:c>
      <x:c r="C233" s="11" t="n">
        <x:v>46077</x:v>
      </x:c>
      <x:c r="D233" s="13" t="n">
        <x:v>1504.64</x:v>
      </x:c>
    </x:row>
    <x:row r="234">
      <x:c r="A234" s="9" t="str">
        <x:v>230</x:v>
      </x:c>
      <x:c r="B234" s="9" t="str">
        <x:v>132</x:v>
      </x:c>
      <x:c r="C234" s="11" t="n">
        <x:v>46132</x:v>
      </x:c>
      <x:c r="D234" s="13" t="n">
        <x:v>1163.16</x:v>
      </x:c>
    </x:row>
    <x:row r="235">
      <x:c r="A235" s="9" t="str">
        <x:v>231</x:v>
      </x:c>
      <x:c r="B235" s="9" t="str">
        <x:v>134</x:v>
      </x:c>
      <x:c r="C235" s="11" t="n">
        <x:v>46137</x:v>
      </x:c>
      <x:c r="D235" s="13" t="n">
        <x:v>58.81</x:v>
      </x:c>
    </x:row>
    <x:row r="236">
      <x:c r="A236" s="9" t="str">
        <x:v>232</x:v>
      </x:c>
      <x:c r="B236" s="9" t="str">
        <x:v>134</x:v>
      </x:c>
      <x:c r="C236" s="11" t="n">
        <x:v>46120</x:v>
      </x:c>
      <x:c r="D236" s="13" t="n">
        <x:v>234.78</x:v>
      </x:c>
    </x:row>
    <x:row r="237">
      <x:c r="A237" s="9" t="str">
        <x:v>233</x:v>
      </x:c>
      <x:c r="B237" s="9" t="str">
        <x:v>134</x:v>
      </x:c>
      <x:c r="C237" s="11" t="n">
        <x:v>46185</x:v>
      </x:c>
      <x:c r="D237" s="13" t="n">
        <x:v>1187.55</x:v>
      </x:c>
    </x:row>
    <x:row r="238">
      <x:c r="A238" s="9" t="str">
        <x:v>234</x:v>
      </x:c>
      <x:c r="B238" s="9" t="str">
        <x:v>134</x:v>
      </x:c>
      <x:c r="C238" s="11" t="n">
        <x:v>46108</x:v>
      </x:c>
      <x:c r="D238" s="13" t="n">
        <x:v>1272.66</x:v>
      </x:c>
    </x:row>
    <x:row r="239">
      <x:c r="A239" s="9" t="str">
        <x:v>235</x:v>
      </x:c>
      <x:c r="B239" s="9" t="str">
        <x:v>135</x:v>
      </x:c>
      <x:c r="C239" s="11" t="n">
        <x:v>46126</x:v>
      </x:c>
      <x:c r="D239" s="13" t="n">
        <x:v>1020.46</x:v>
      </x:c>
    </x:row>
    <x:row r="240">
      <x:c r="A240" s="9" t="str">
        <x:v>236</x:v>
      </x:c>
      <x:c r="B240" s="9" t="str">
        <x:v>135</x:v>
      </x:c>
      <x:c r="C240" s="11" t="n">
        <x:v>46112</x:v>
      </x:c>
      <x:c r="D240" s="13" t="n">
        <x:v>294.61</x:v>
      </x:c>
    </x:row>
    <x:row r="241">
      <x:c r="A241" s="9" t="str">
        <x:v>237</x:v>
      </x:c>
      <x:c r="B241" s="9" t="str">
        <x:v>135</x:v>
      </x:c>
      <x:c r="C241" s="11" t="n">
        <x:v>46176</x:v>
      </x:c>
      <x:c r="D241" s="13" t="n">
        <x:v>540.44</x:v>
      </x:c>
    </x:row>
    <x:row r="242">
      <x:c r="A242" s="9" t="str">
        <x:v>238</x:v>
      </x:c>
      <x:c r="B242" s="9" t="str">
        <x:v>137</x:v>
      </x:c>
      <x:c r="C242" s="11" t="n">
        <x:v>46072</x:v>
      </x:c>
      <x:c r="D242" s="13" t="n">
        <x:v>19.65</x:v>
      </x:c>
    </x:row>
    <x:row r="243">
      <x:c r="A243" s="9" t="str">
        <x:v>239</x:v>
      </x:c>
      <x:c r="B243" s="9" t="str">
        <x:v>137</x:v>
      </x:c>
      <x:c r="C243" s="11" t="n">
        <x:v>46123</x:v>
      </x:c>
      <x:c r="D243" s="13" t="n">
        <x:v>40.72</x:v>
      </x:c>
    </x:row>
    <x:row r="244">
      <x:c r="A244" s="9" t="str">
        <x:v>240</x:v>
      </x:c>
      <x:c r="B244" s="9" t="str">
        <x:v>137</x:v>
      </x:c>
      <x:c r="C244" s="11" t="n">
        <x:v>46151</x:v>
      </x:c>
      <x:c r="D244" s="13" t="n">
        <x:v>66.34</x:v>
      </x:c>
    </x:row>
    <x:row r="245">
      <x:c r="A245" s="9" t="str">
        <x:v>241</x:v>
      </x:c>
      <x:c r="B245" s="9" t="str">
        <x:v>137</x:v>
      </x:c>
      <x:c r="C245" s="11" t="n">
        <x:v>46163</x:v>
      </x:c>
      <x:c r="D245" s="13" t="n">
        <x:v>43.49</x:v>
      </x:c>
    </x:row>
    <x:row r="246">
      <x:c r="A246" s="9" t="str">
        <x:v>242</x:v>
      </x:c>
      <x:c r="B246" s="9" t="str">
        <x:v>138</x:v>
      </x:c>
      <x:c r="C246" s="11" t="n">
        <x:v>46197</x:v>
      </x:c>
      <x:c r="D246" s="13" t="n">
        <x:v>732.36</x:v>
      </x:c>
    </x:row>
    <x:row r="247">
      <x:c r="A247" s="9" t="str">
        <x:v>243</x:v>
      </x:c>
      <x:c r="B247" s="9" t="str">
        <x:v>138</x:v>
      </x:c>
      <x:c r="C247" s="11" t="n">
        <x:v>46198</x:v>
      </x:c>
      <x:c r="D247" s="13" t="n">
        <x:v>543.97</x:v>
      </x:c>
    </x:row>
    <x:row r="248">
      <x:c r="A248" s="9" t="str">
        <x:v>244</x:v>
      </x:c>
      <x:c r="B248" s="9" t="str">
        <x:v>140</x:v>
      </x:c>
      <x:c r="C248" s="11" t="n">
        <x:v>46138</x:v>
      </x:c>
      <x:c r="D248" s="13" t="n">
        <x:v>62.45</x:v>
      </x:c>
    </x:row>
    <x:row r="249">
      <x:c r="A249" s="9" t="str">
        <x:v>245</x:v>
      </x:c>
      <x:c r="B249" s="9" t="str">
        <x:v>140</x:v>
      </x:c>
      <x:c r="C249" s="11" t="n">
        <x:v>46183</x:v>
      </x:c>
      <x:c r="D249" s="13" t="n">
        <x:v>484.8</x:v>
      </x:c>
    </x:row>
    <x:row r="250">
      <x:c r="A250" s="9" t="str">
        <x:v>246</x:v>
      </x:c>
      <x:c r="B250" s="9" t="str">
        <x:v>141</x:v>
      </x:c>
      <x:c r="C250" s="11" t="n">
        <x:v>46176</x:v>
      </x:c>
      <x:c r="D250" s="13" t="n">
        <x:v>199.06</x:v>
      </x:c>
    </x:row>
    <x:row r="251">
      <x:c r="A251" s="9" t="str">
        <x:v>247</x:v>
      </x:c>
      <x:c r="B251" s="9" t="str">
        <x:v>143</x:v>
      </x:c>
      <x:c r="C251" s="11" t="n">
        <x:v>46178</x:v>
      </x:c>
      <x:c r="D251" s="13" t="n">
        <x:v>1196.44</x:v>
      </x:c>
    </x:row>
    <x:row r="252">
      <x:c r="A252" s="9" t="str">
        <x:v>248</x:v>
      </x:c>
      <x:c r="B252" s="9" t="str">
        <x:v>143</x:v>
      </x:c>
      <x:c r="C252" s="11" t="n">
        <x:v>46191</x:v>
      </x:c>
      <x:c r="D252" s="13" t="n">
        <x:v>2394.24</x:v>
      </x:c>
    </x:row>
    <x:row r="253">
      <x:c r="A253" s="9" t="str">
        <x:v>249</x:v>
      </x:c>
      <x:c r="B253" s="9" t="str">
        <x:v>146</x:v>
      </x:c>
      <x:c r="C253" s="11" t="n">
        <x:v>46180</x:v>
      </x:c>
      <x:c r="D253" s="13" t="n">
        <x:v>497.63</x:v>
      </x:c>
    </x:row>
    <x:row r="254">
      <x:c r="A254" s="9" t="str">
        <x:v>250</x:v>
      </x:c>
      <x:c r="B254" s="9" t="str">
        <x:v>146</x:v>
      </x:c>
      <x:c r="C254" s="11" t="n">
        <x:v>46159</x:v>
      </x:c>
      <x:c r="D254" s="13" t="n">
        <x:v>1803.02</x:v>
      </x:c>
    </x:row>
    <x:row r="255">
      <x:c r="A255" s="9" t="str">
        <x:v>251</x:v>
      </x:c>
      <x:c r="B255" s="9" t="str">
        <x:v>148</x:v>
      </x:c>
      <x:c r="C255" s="11" t="n">
        <x:v>46082</x:v>
      </x:c>
      <x:c r="D255" s="13" t="n">
        <x:v>682.37</x:v>
      </x:c>
    </x:row>
    <x:row r="256">
      <x:c r="A256" s="9" t="str">
        <x:v>252</x:v>
      </x:c>
      <x:c r="B256" s="9" t="str">
        <x:v>148</x:v>
      </x:c>
      <x:c r="C256" s="11" t="n">
        <x:v>46191</x:v>
      </x:c>
      <x:c r="D256" s="13" t="n">
        <x:v>2228.66</x:v>
      </x:c>
    </x:row>
    <x:row r="257">
      <x:c r="A257" s="9" t="str">
        <x:v>253</x:v>
      </x:c>
      <x:c r="B257" s="9" t="str">
        <x:v>148</x:v>
      </x:c>
      <x:c r="C257" s="11" t="n">
        <x:v>46197</x:v>
      </x:c>
      <x:c r="D257" s="13" t="n">
        <x:v>180.72</x:v>
      </x:c>
    </x:row>
    <x:row r="258">
      <x:c r="A258" s="9" t="str">
        <x:v>254</x:v>
      </x:c>
      <x:c r="B258" s="9" t="str">
        <x:v>148</x:v>
      </x:c>
      <x:c r="C258" s="11" t="n">
        <x:v>46169</x:v>
      </x:c>
      <x:c r="D258" s="13" t="n">
        <x:v>1830.79</x:v>
      </x:c>
    </x:row>
    <x:row r="259">
      <x:c r="A259" s="9" t="str">
        <x:v>255</x:v>
      </x:c>
      <x:c r="B259" s="9" t="str">
        <x:v>149</x:v>
      </x:c>
      <x:c r="C259" s="11" t="n">
        <x:v>46108</x:v>
      </x:c>
      <x:c r="D259" s="13" t="n">
        <x:v>26.5</x:v>
      </x:c>
    </x:row>
    <x:row r="260">
      <x:c r="A260" s="9" t="str">
        <x:v>256</x:v>
      </x:c>
      <x:c r="B260" s="9" t="str">
        <x:v>149</x:v>
      </x:c>
      <x:c r="C260" s="11" t="n">
        <x:v>46181</x:v>
      </x:c>
      <x:c r="D260" s="13" t="n">
        <x:v>69.24</x:v>
      </x:c>
    </x:row>
    <x:row r="261">
      <x:c r="A261" s="9" t="str">
        <x:v>257</x:v>
      </x:c>
      <x:c r="B261" s="9" t="str">
        <x:v>149</x:v>
      </x:c>
      <x:c r="C261" s="11" t="n">
        <x:v>46072</x:v>
      </x:c>
      <x:c r="D261" s="13" t="n">
        <x:v>52.54</x:v>
      </x:c>
    </x:row>
    <x:row r="262">
      <x:c r="A262" s="9" t="str">
        <x:v>258</x:v>
      </x:c>
      <x:c r="B262" s="9" t="str">
        <x:v>149</x:v>
      </x:c>
      <x:c r="C262" s="11" t="n">
        <x:v>46092</x:v>
      </x:c>
      <x:c r="D262" s="13" t="n">
        <x:v>99.87</x:v>
      </x:c>
    </x:row>
    <x:row r="263">
      <x:c r="A263" s="9" t="str">
        <x:v>259</x:v>
      </x:c>
      <x:c r="B263" s="9" t="str">
        <x:v>150</x:v>
      </x:c>
      <x:c r="C263" s="11" t="n">
        <x:v>46191</x:v>
      </x:c>
      <x:c r="D263" s="13" t="n">
        <x:v>743.03</x:v>
      </x:c>
    </x:row>
    <x:row r="264">
      <x:c r="A264" s="9" t="str">
        <x:v>260</x:v>
      </x:c>
      <x:c r="B264" s="9" t="str">
        <x:v>150</x:v>
      </x:c>
      <x:c r="C264" s="11" t="n">
        <x:v>46109</x:v>
      </x:c>
      <x:c r="D264" s="13" t="n">
        <x:v>481.56</x:v>
      </x:c>
    </x:row>
    <x:row r="265">
      <x:c r="A265" s="9" t="str">
        <x:v>261</x:v>
      </x:c>
      <x:c r="B265" s="9" t="str">
        <x:v>150</x:v>
      </x:c>
      <x:c r="C265" s="11" t="n">
        <x:v>46134</x:v>
      </x:c>
      <x:c r="D265" s="13" t="n">
        <x:v>1519.66</x:v>
      </x:c>
    </x:row>
    <x:row r="266">
      <x:c r="A266" s="9" t="str">
        <x:v>262</x:v>
      </x:c>
      <x:c r="B266" s="9" t="str">
        <x:v>151</x:v>
      </x:c>
      <x:c r="C266" s="11" t="n">
        <x:v>46165</x:v>
      </x:c>
      <x:c r="D266" s="13" t="n">
        <x:v>1249.9</x:v>
      </x:c>
    </x:row>
    <x:row r="267">
      <x:c r="A267" s="9" t="str">
        <x:v>263</x:v>
      </x:c>
      <x:c r="B267" s="9" t="str">
        <x:v>152</x:v>
      </x:c>
      <x:c r="C267" s="11" t="n">
        <x:v>46153</x:v>
      </x:c>
      <x:c r="D267" s="13" t="n">
        <x:v>135.06</x:v>
      </x:c>
    </x:row>
    <x:row r="268">
      <x:c r="A268" s="9" t="str">
        <x:v>264</x:v>
      </x:c>
      <x:c r="B268" s="9" t="str">
        <x:v>152</x:v>
      </x:c>
      <x:c r="C268" s="11" t="n">
        <x:v>46191</x:v>
      </x:c>
      <x:c r="D268" s="13" t="n">
        <x:v>269.45</x:v>
      </x:c>
    </x:row>
    <x:row r="269">
      <x:c r="A269" s="9" t="str">
        <x:v>265</x:v>
      </x:c>
      <x:c r="B269" s="9" t="str">
        <x:v>152</x:v>
      </x:c>
      <x:c r="C269" s="11" t="n">
        <x:v>46110</x:v>
      </x:c>
      <x:c r="D269" s="13" t="n">
        <x:v>438.19</x:v>
      </x:c>
    </x:row>
    <x:row r="270">
      <x:c r="A270" s="9" t="str">
        <x:v>266</x:v>
      </x:c>
      <x:c r="B270" s="9" t="str">
        <x:v>152</x:v>
      </x:c>
      <x:c r="C270" s="11" t="n">
        <x:v>46135</x:v>
      </x:c>
      <x:c r="D270" s="13" t="n">
        <x:v>574.83</x:v>
      </x:c>
    </x:row>
    <x:row r="271">
      <x:c r="A271" s="9" t="str">
        <x:v>267</x:v>
      </x:c>
      <x:c r="B271" s="9" t="str">
        <x:v>153</x:v>
      </x:c>
      <x:c r="C271" s="11" t="n">
        <x:v>46156</x:v>
      </x:c>
      <x:c r="D271" s="13" t="n">
        <x:v>1871.79</x:v>
      </x:c>
    </x:row>
    <x:row r="272">
      <x:c r="A272" s="9" t="str">
        <x:v>268</x:v>
      </x:c>
      <x:c r="B272" s="9" t="str">
        <x:v>153</x:v>
      </x:c>
      <x:c r="C272" s="11" t="n">
        <x:v>46197</x:v>
      </x:c>
      <x:c r="D272" s="13" t="n">
        <x:v>2686.19</x:v>
      </x:c>
    </x:row>
    <x:row r="273">
      <x:c r="A273" s="9" t="str">
        <x:v>269</x:v>
      </x:c>
      <x:c r="B273" s="9" t="str">
        <x:v>154</x:v>
      </x:c>
      <x:c r="C273" s="11" t="n">
        <x:v>46160</x:v>
      </x:c>
      <x:c r="D273" s="13" t="n">
        <x:v>721.06</x:v>
      </x:c>
    </x:row>
    <x:row r="274">
      <x:c r="A274" s="9" t="str">
        <x:v>270</x:v>
      </x:c>
      <x:c r="B274" s="9" t="str">
        <x:v>154</x:v>
      </x:c>
      <x:c r="C274" s="11" t="n">
        <x:v>46199</x:v>
      </x:c>
      <x:c r="D274" s="13" t="n">
        <x:v>962.01</x:v>
      </x:c>
    </x:row>
    <x:row r="275">
      <x:c r="A275" s="9" t="str">
        <x:v>271</x:v>
      </x:c>
      <x:c r="B275" s="9" t="str">
        <x:v>154</x:v>
      </x:c>
      <x:c r="C275" s="11" t="n">
        <x:v>46170</x:v>
      </x:c>
      <x:c r="D275" s="13" t="n">
        <x:v>1548.57</x:v>
      </x:c>
    </x:row>
    <x:row r="276">
      <x:c r="A276" s="9" t="str">
        <x:v>272</x:v>
      </x:c>
      <x:c r="B276" s="9" t="str">
        <x:v>155</x:v>
      </x:c>
      <x:c r="C276" s="11" t="n">
        <x:v>46192</x:v>
      </x:c>
      <x:c r="D276" s="13" t="n">
        <x:v>2757.17</x:v>
      </x:c>
    </x:row>
    <x:row r="277">
      <x:c r="A277" s="9" t="str">
        <x:v>273</x:v>
      </x:c>
      <x:c r="B277" s="9" t="str">
        <x:v>155</x:v>
      </x:c>
      <x:c r="C277" s="11" t="n">
        <x:v>46150</x:v>
      </x:c>
      <x:c r="D277" s="13" t="n">
        <x:v>446.47</x:v>
      </x:c>
    </x:row>
    <x:row r="278">
      <x:c r="A278" s="9" t="str">
        <x:v>274</x:v>
      </x:c>
      <x:c r="B278" s="9" t="str">
        <x:v>155</x:v>
      </x:c>
      <x:c r="C278" s="11" t="n">
        <x:v>46183</x:v>
      </x:c>
      <x:c r="D278" s="13" t="n">
        <x:v>1386</x:v>
      </x:c>
    </x:row>
    <x:row r="279">
      <x:c r="A279" s="9" t="str">
        <x:v>275</x:v>
      </x:c>
      <x:c r="B279" s="9" t="str">
        <x:v>156</x:v>
      </x:c>
      <x:c r="C279" s="11" t="n">
        <x:v>46148</x:v>
      </x:c>
      <x:c r="D279" s="13" t="n">
        <x:v>354.13</x:v>
      </x:c>
    </x:row>
    <x:row r="280">
      <x:c r="A280" s="9" t="str">
        <x:v>276</x:v>
      </x:c>
      <x:c r="B280" s="9" t="str">
        <x:v>157</x:v>
      </x:c>
      <x:c r="C280" s="11" t="n">
        <x:v>46195</x:v>
      </x:c>
      <x:c r="D280" s="13" t="n">
        <x:v>364.19</x:v>
      </x:c>
    </x:row>
    <x:row r="281">
      <x:c r="A281" s="9" t="str">
        <x:v>277</x:v>
      </x:c>
      <x:c r="B281" s="9" t="str">
        <x:v>157</x:v>
      </x:c>
      <x:c r="C281" s="11" t="n">
        <x:v>46128</x:v>
      </x:c>
      <x:c r="D281" s="13" t="n">
        <x:v>1423.71</x:v>
      </x:c>
    </x:row>
    <x:row r="282">
      <x:c r="A282" s="9" t="str">
        <x:v>278</x:v>
      </x:c>
      <x:c r="B282" s="9" t="str">
        <x:v>157</x:v>
      </x:c>
      <x:c r="C282" s="11" t="n">
        <x:v>46182</x:v>
      </x:c>
      <x:c r="D282" s="13" t="n">
        <x:v>1558.82</x:v>
      </x:c>
    </x:row>
    <x:row r="283">
      <x:c r="A283" s="9" t="str">
        <x:v>279</x:v>
      </x:c>
      <x:c r="B283" s="9" t="str">
        <x:v>158</x:v>
      </x:c>
      <x:c r="C283" s="11" t="n">
        <x:v>46135</x:v>
      </x:c>
      <x:c r="D283" s="13" t="n">
        <x:v>911.47</x:v>
      </x:c>
    </x:row>
    <x:row r="284">
      <x:c r="A284" s="9" t="str">
        <x:v>280</x:v>
      </x:c>
      <x:c r="B284" s="9" t="str">
        <x:v>159</x:v>
      </x:c>
      <x:c r="C284" s="11" t="n">
        <x:v>46162</x:v>
      </x:c>
      <x:c r="D284" s="13" t="n">
        <x:v>1001.84</x:v>
      </x:c>
    </x:row>
    <x:row r="285">
      <x:c r="A285" s="9" t="str">
        <x:v>281</x:v>
      </x:c>
      <x:c r="B285" s="9" t="str">
        <x:v>159</x:v>
      </x:c>
      <x:c r="C285" s="11" t="n">
        <x:v>46144</x:v>
      </x:c>
      <x:c r="D285" s="13" t="n">
        <x:v>699.38</x:v>
      </x:c>
    </x:row>
    <x:row r="286">
      <x:c r="A286" s="9" t="str">
        <x:v>282</x:v>
      </x:c>
      <x:c r="B286" s="9" t="str">
        <x:v>159</x:v>
      </x:c>
      <x:c r="C286" s="11" t="n">
        <x:v>46164</x:v>
      </x:c>
      <x:c r="D286" s="13" t="n">
        <x:v>1116.87</x:v>
      </x:c>
    </x:row>
    <x:row r="287">
      <x:c r="A287" s="9" t="str">
        <x:v>283</x:v>
      </x:c>
      <x:c r="B287" s="9" t="str">
        <x:v>161</x:v>
      </x:c>
      <x:c r="C287" s="11" t="n">
        <x:v>46114</x:v>
      </x:c>
      <x:c r="D287" s="13" t="n">
        <x:v>1836.97</x:v>
      </x:c>
    </x:row>
    <x:row r="288">
      <x:c r="A288" s="9" t="str">
        <x:v>284</x:v>
      </x:c>
      <x:c r="B288" s="9" t="str">
        <x:v>161</x:v>
      </x:c>
      <x:c r="C288" s="11" t="n">
        <x:v>46120</x:v>
      </x:c>
      <x:c r="D288" s="13" t="n">
        <x:v>875.72</x:v>
      </x:c>
    </x:row>
    <x:row r="289">
      <x:c r="A289" s="9" t="str">
        <x:v>285</x:v>
      </x:c>
      <x:c r="B289" s="9" t="str">
        <x:v>161</x:v>
      </x:c>
      <x:c r="C289" s="11" t="n">
        <x:v>46128</x:v>
      </x:c>
      <x:c r="D289" s="13" t="n">
        <x:v>2221.3</x:v>
      </x:c>
    </x:row>
    <x:row r="290">
      <x:c r="A290" s="9" t="str">
        <x:v>286</x:v>
      </x:c>
      <x:c r="B290" s="9" t="str">
        <x:v>162</x:v>
      </x:c>
      <x:c r="C290" s="11" t="n">
        <x:v>46195</x:v>
      </x:c>
      <x:c r="D290" s="13" t="n">
        <x:v>665.56</x:v>
      </x:c>
    </x:row>
    <x:row r="291">
      <x:c r="A291" s="9" t="str">
        <x:v>287</x:v>
      </x:c>
      <x:c r="B291" s="9" t="str">
        <x:v>163</x:v>
      </x:c>
      <x:c r="C291" s="11" t="n">
        <x:v>46166</x:v>
      </x:c>
      <x:c r="D291" s="13" t="n">
        <x:v>433.44</x:v>
      </x:c>
    </x:row>
    <x:row r="292">
      <x:c r="A292" s="9" t="str">
        <x:v>288</x:v>
      </x:c>
      <x:c r="B292" s="9" t="str">
        <x:v>163</x:v>
      </x:c>
      <x:c r="C292" s="11" t="n">
        <x:v>46202</x:v>
      </x:c>
      <x:c r="D292" s="13" t="n">
        <x:v>834.65</x:v>
      </x:c>
    </x:row>
    <x:row r="293">
      <x:c r="A293" s="9" t="str">
        <x:v>289</x:v>
      </x:c>
      <x:c r="B293" s="9" t="str">
        <x:v>164</x:v>
      </x:c>
      <x:c r="C293" s="11" t="n">
        <x:v>46186</x:v>
      </x:c>
      <x:c r="D293" s="13" t="n">
        <x:v>1051.88</x:v>
      </x:c>
    </x:row>
    <x:row r="294">
      <x:c r="A294" s="9" t="str">
        <x:v>290</x:v>
      </x:c>
      <x:c r="B294" s="9" t="str">
        <x:v>164</x:v>
      </x:c>
      <x:c r="C294" s="11" t="n">
        <x:v>46176</x:v>
      </x:c>
      <x:c r="D294" s="13" t="n">
        <x:v>283.08</x:v>
      </x:c>
    </x:row>
    <x:row r="295">
      <x:c r="A295" s="9" t="str">
        <x:v>291</x:v>
      </x:c>
      <x:c r="B295" s="9" t="str">
        <x:v>166</x:v>
      </x:c>
      <x:c r="C295" s="11" t="n">
        <x:v>46122</x:v>
      </x:c>
      <x:c r="D295" s="13" t="n">
        <x:v>361.5</x:v>
      </x:c>
    </x:row>
    <x:row r="296">
      <x:c r="A296" s="9" t="str">
        <x:v>292</x:v>
      </x:c>
      <x:c r="B296" s="9" t="str">
        <x:v>167</x:v>
      </x:c>
      <x:c r="C296" s="11" t="n">
        <x:v>46203</x:v>
      </x:c>
      <x:c r="D296" s="13" t="n">
        <x:v>948.91</x:v>
      </x:c>
    </x:row>
    <x:row r="297">
      <x:c r="A297" s="9" t="str">
        <x:v>293</x:v>
      </x:c>
      <x:c r="B297" s="9" t="str">
        <x:v>167</x:v>
      </x:c>
      <x:c r="C297" s="11" t="n">
        <x:v>46143</x:v>
      </x:c>
      <x:c r="D297" s="13" t="n">
        <x:v>363.19</x:v>
      </x:c>
    </x:row>
    <x:row r="298">
      <x:c r="A298" s="9" t="str">
        <x:v>294</x:v>
      </x:c>
      <x:c r="B298" s="9" t="str">
        <x:v>167</x:v>
      </x:c>
      <x:c r="C298" s="11" t="n">
        <x:v>46173</x:v>
      </x:c>
      <x:c r="D298" s="13" t="n">
        <x:v>113.51</x:v>
      </x:c>
    </x:row>
    <x:row r="299">
      <x:c r="A299" s="9" t="str">
        <x:v>295</x:v>
      </x:c>
      <x:c r="B299" s="9" t="str">
        <x:v>168</x:v>
      </x:c>
      <x:c r="C299" s="11" t="n">
        <x:v>46181</x:v>
      </x:c>
      <x:c r="D299" s="13" t="n">
        <x:v>719.89</x:v>
      </x:c>
    </x:row>
    <x:row r="300">
      <x:c r="A300" s="9" t="str">
        <x:v>296</x:v>
      </x:c>
      <x:c r="B300" s="9" t="str">
        <x:v>168</x:v>
      </x:c>
      <x:c r="C300" s="11" t="n">
        <x:v>46158</x:v>
      </x:c>
      <x:c r="D300" s="13" t="n">
        <x:v>605.17</x:v>
      </x:c>
    </x:row>
    <x:row r="301">
      <x:c r="A301" s="9" t="str">
        <x:v>297</x:v>
      </x:c>
      <x:c r="B301" s="9" t="str">
        <x:v>169</x:v>
      </x:c>
      <x:c r="C301" s="11" t="n">
        <x:v>46086</x:v>
      </x:c>
      <x:c r="D301" s="13" t="n">
        <x:v>299.57</x:v>
      </x:c>
    </x:row>
    <x:row r="302">
      <x:c r="A302" s="9" t="str">
        <x:v>298</x:v>
      </x:c>
      <x:c r="B302" s="9" t="str">
        <x:v>169</x:v>
      </x:c>
      <x:c r="C302" s="11" t="n">
        <x:v>46079</x:v>
      </x:c>
      <x:c r="D302" s="13" t="n">
        <x:v>1381.53</x:v>
      </x:c>
    </x:row>
    <x:row r="303">
      <x:c r="A303" s="9" t="str">
        <x:v>299</x:v>
      </x:c>
      <x:c r="B303" s="9" t="str">
        <x:v>170</x:v>
      </x:c>
      <x:c r="C303" s="11" t="n">
        <x:v>46081</x:v>
      </x:c>
      <x:c r="D303" s="13" t="n">
        <x:v>261.15</x:v>
      </x:c>
    </x:row>
    <x:row r="304">
      <x:c r="A304" s="9" t="str">
        <x:v>300</x:v>
      </x:c>
      <x:c r="B304" s="9" t="str">
        <x:v>170</x:v>
      </x:c>
      <x:c r="C304" s="11" t="n">
        <x:v>46202</x:v>
      </x:c>
      <x:c r="D304" s="13" t="n">
        <x:v>51.7</x:v>
      </x:c>
    </x:row>
    <x:row r="305">
      <x:c r="A305" s="9" t="str">
        <x:v>301</x:v>
      </x:c>
      <x:c r="B305" s="9" t="str">
        <x:v>170</x:v>
      </x:c>
      <x:c r="C305" s="11" t="n">
        <x:v>46155</x:v>
      </x:c>
      <x:c r="D305" s="13" t="n">
        <x:v>851.15</x:v>
      </x:c>
    </x:row>
    <x:row r="306">
      <x:c r="A306" s="9" t="str">
        <x:v>302</x:v>
      </x:c>
      <x:c r="B306" s="9" t="str">
        <x:v>171</x:v>
      </x:c>
      <x:c r="C306" s="11" t="n">
        <x:v>46196</x:v>
      </x:c>
      <x:c r="D306" s="13" t="n">
        <x:v>706.81</x:v>
      </x:c>
    </x:row>
    <x:row r="307">
      <x:c r="A307" s="9" t="str">
        <x:v>303</x:v>
      </x:c>
      <x:c r="B307" s="9" t="str">
        <x:v>171</x:v>
      </x:c>
      <x:c r="C307" s="11" t="n">
        <x:v>46138</x:v>
      </x:c>
      <x:c r="D307" s="13" t="n">
        <x:v>116.56</x:v>
      </x:c>
    </x:row>
    <x:row r="308">
      <x:c r="A308" s="9" t="str">
        <x:v>304</x:v>
      </x:c>
      <x:c r="B308" s="9" t="str">
        <x:v>171</x:v>
      </x:c>
      <x:c r="C308" s="11" t="n">
        <x:v>46138</x:v>
      </x:c>
      <x:c r="D308" s="13" t="n">
        <x:v>806.66</x:v>
      </x:c>
    </x:row>
    <x:row r="309">
      <x:c r="A309" s="9" t="str">
        <x:v>305</x:v>
      </x:c>
      <x:c r="B309" s="9" t="str">
        <x:v>171</x:v>
      </x:c>
      <x:c r="C309" s="11" t="n">
        <x:v>46195</x:v>
      </x:c>
      <x:c r="D309" s="13" t="n">
        <x:v>575.96</x:v>
      </x:c>
    </x:row>
    <x:row r="310">
      <x:c r="A310" s="9" t="str">
        <x:v>306</x:v>
      </x:c>
      <x:c r="B310" s="9" t="str">
        <x:v>172</x:v>
      </x:c>
      <x:c r="C310" s="11" t="n">
        <x:v>46199</x:v>
      </x:c>
      <x:c r="D310" s="13" t="n">
        <x:v>1504.29</x:v>
      </x:c>
    </x:row>
    <x:row r="311">
      <x:c r="A311" s="9" t="str">
        <x:v>307</x:v>
      </x:c>
      <x:c r="B311" s="9" t="str">
        <x:v>173</x:v>
      </x:c>
      <x:c r="C311" s="11" t="n">
        <x:v>46180</x:v>
      </x:c>
      <x:c r="D311" s="13" t="n">
        <x:v>282.89</x:v>
      </x:c>
    </x:row>
    <x:row r="312">
      <x:c r="A312" s="9" t="str">
        <x:v>308</x:v>
      </x:c>
      <x:c r="B312" s="9" t="str">
        <x:v>173</x:v>
      </x:c>
      <x:c r="C312" s="11" t="n">
        <x:v>46195</x:v>
      </x:c>
      <x:c r="D312" s="13" t="n">
        <x:v>482.89</x:v>
      </x:c>
    </x:row>
    <x:row r="313">
      <x:c r="A313" s="9" t="str">
        <x:v>309</x:v>
      </x:c>
      <x:c r="B313" s="9" t="str">
        <x:v>173</x:v>
      </x:c>
      <x:c r="C313" s="11" t="n">
        <x:v>46191</x:v>
      </x:c>
      <x:c r="D313" s="13" t="n">
        <x:v>1333.02</x:v>
      </x:c>
    </x:row>
    <x:row r="314">
      <x:c r="A314" s="9" t="str">
        <x:v>310</x:v>
      </x:c>
      <x:c r="B314" s="9" t="str">
        <x:v>174</x:v>
      </x:c>
      <x:c r="C314" s="11" t="n">
        <x:v>46136</x:v>
      </x:c>
      <x:c r="D314" s="13" t="n">
        <x:v>1604.91</x:v>
      </x:c>
    </x:row>
    <x:row r="315">
      <x:c r="A315" s="9" t="str">
        <x:v>311</x:v>
      </x:c>
      <x:c r="B315" s="9" t="str">
        <x:v>174</x:v>
      </x:c>
      <x:c r="C315" s="11" t="n">
        <x:v>46175</x:v>
      </x:c>
      <x:c r="D315" s="13" t="n">
        <x:v>1486.25</x:v>
      </x:c>
    </x:row>
    <x:row r="316">
      <x:c r="A316" s="9" t="str">
        <x:v>312</x:v>
      </x:c>
      <x:c r="B316" s="9" t="str">
        <x:v>175</x:v>
      </x:c>
      <x:c r="C316" s="11" t="n">
        <x:v>46190</x:v>
      </x:c>
      <x:c r="D316" s="13" t="n">
        <x:v>11.33</x:v>
      </x:c>
    </x:row>
    <x:row r="317">
      <x:c r="A317" s="9" t="str">
        <x:v>313</x:v>
      </x:c>
      <x:c r="B317" s="9" t="str">
        <x:v>175</x:v>
      </x:c>
      <x:c r="C317" s="11" t="n">
        <x:v>46162</x:v>
      </x:c>
      <x:c r="D317" s="13" t="n">
        <x:v>21.06</x:v>
      </x:c>
    </x:row>
    <x:row r="318">
      <x:c r="A318" s="9" t="str">
        <x:v>314</x:v>
      </x:c>
      <x:c r="B318" s="9" t="str">
        <x:v>175</x:v>
      </x:c>
      <x:c r="C318" s="11" t="n">
        <x:v>46162</x:v>
      </x:c>
      <x:c r="D318" s="13" t="n">
        <x:v>10.53</x:v>
      </x:c>
    </x:row>
    <x:row r="319">
      <x:c r="A319" s="9" t="str">
        <x:v>315</x:v>
      </x:c>
      <x:c r="B319" s="9" t="str">
        <x:v>175</x:v>
      </x:c>
      <x:c r="C319" s="11" t="n">
        <x:v>46151</x:v>
      </x:c>
      <x:c r="D319" s="13" t="n">
        <x:v>28.17</x:v>
      </x:c>
    </x:row>
    <x:row r="320">
      <x:c r="A320" s="9" t="str">
        <x:v>316</x:v>
      </x:c>
      <x:c r="B320" s="9" t="str">
        <x:v>176</x:v>
      </x:c>
      <x:c r="C320" s="11" t="n">
        <x:v>46121</x:v>
      </x:c>
      <x:c r="D320" s="13" t="n">
        <x:v>337.49</x:v>
      </x:c>
    </x:row>
    <x:row r="321">
      <x:c r="A321" s="9" t="str">
        <x:v>317</x:v>
      </x:c>
      <x:c r="B321" s="9" t="str">
        <x:v>176</x:v>
      </x:c>
      <x:c r="C321" s="11" t="n">
        <x:v>46138</x:v>
      </x:c>
      <x:c r="D321" s="13" t="n">
        <x:v>345.86</x:v>
      </x:c>
    </x:row>
    <x:row r="322">
      <x:c r="A322" s="9" t="str">
        <x:v>318</x:v>
      </x:c>
      <x:c r="B322" s="9" t="str">
        <x:v>176</x:v>
      </x:c>
      <x:c r="C322" s="11" t="n">
        <x:v>46164</x:v>
      </x:c>
      <x:c r="D322" s="13" t="n">
        <x:v>130.46</x:v>
      </x:c>
    </x:row>
    <x:row r="323">
      <x:c r="A323" s="9" t="str">
        <x:v>319</x:v>
      </x:c>
      <x:c r="B323" s="9" t="str">
        <x:v>176</x:v>
      </x:c>
      <x:c r="C323" s="11" t="n">
        <x:v>46117</x:v>
      </x:c>
      <x:c r="D323" s="13" t="n">
        <x:v>755.88</x:v>
      </x:c>
    </x:row>
    <x:row r="324">
      <x:c r="A324" s="9" t="str">
        <x:v>320</x:v>
      </x:c>
      <x:c r="B324" s="9" t="str">
        <x:v>177</x:v>
      </x:c>
      <x:c r="C324" s="11" t="n">
        <x:v>46164</x:v>
      </x:c>
      <x:c r="D324" s="13" t="n">
        <x:v>107.96</x:v>
      </x:c>
    </x:row>
    <x:row r="325">
      <x:c r="A325" s="9" t="str">
        <x:v>321</x:v>
      </x:c>
      <x:c r="B325" s="9" t="str">
        <x:v>177</x:v>
      </x:c>
      <x:c r="C325" s="11" t="n">
        <x:v>46081</x:v>
      </x:c>
      <x:c r="D325" s="13" t="n">
        <x:v>215.72</x:v>
      </x:c>
    </x:row>
    <x:row r="326">
      <x:c r="A326" s="9" t="str">
        <x:v>322</x:v>
      </x:c>
      <x:c r="B326" s="9" t="str">
        <x:v>178</x:v>
      </x:c>
      <x:c r="C326" s="11" t="n">
        <x:v>46161</x:v>
      </x:c>
      <x:c r="D326" s="13" t="n">
        <x:v>108.02</x:v>
      </x:c>
    </x:row>
    <x:row r="327">
      <x:c r="A327" s="9" t="str">
        <x:v>323</x:v>
      </x:c>
      <x:c r="B327" s="9" t="str">
        <x:v>178</x:v>
      </x:c>
      <x:c r="C327" s="11" t="n">
        <x:v>46148</x:v>
      </x:c>
      <x:c r="D327" s="13" t="n">
        <x:v>339.25</x:v>
      </x:c>
    </x:row>
    <x:row r="328">
      <x:c r="A328" s="9" t="str">
        <x:v>324</x:v>
      </x:c>
      <x:c r="B328" s="9" t="str">
        <x:v>178</x:v>
      </x:c>
      <x:c r="C328" s="11" t="n">
        <x:v>46126</x:v>
      </x:c>
      <x:c r="D328" s="13" t="n">
        <x:v>110.39</x:v>
      </x:c>
    </x:row>
    <x:row r="329">
      <x:c r="A329" s="9" t="str">
        <x:v>325</x:v>
      </x:c>
      <x:c r="B329" s="9" t="str">
        <x:v>178</x:v>
      </x:c>
      <x:c r="C329" s="11" t="n">
        <x:v>46177</x:v>
      </x:c>
      <x:c r="D329" s="13" t="n">
        <x:v>267.47</x:v>
      </x:c>
    </x:row>
    <x:row r="330">
      <x:c r="A330" s="9" t="str">
        <x:v>326</x:v>
      </x:c>
      <x:c r="B330" s="9" t="str">
        <x:v>179</x:v>
      </x:c>
      <x:c r="C330" s="11" t="n">
        <x:v>46181</x:v>
      </x:c>
      <x:c r="D330" s="13" t="n">
        <x:v>1038.12</x:v>
      </x:c>
    </x:row>
    <x:row r="331">
      <x:c r="A331" s="9" t="str">
        <x:v>327</x:v>
      </x:c>
      <x:c r="B331" s="9" t="str">
        <x:v>179</x:v>
      </x:c>
      <x:c r="C331" s="11" t="n">
        <x:v>46161</x:v>
      </x:c>
      <x:c r="D331" s="13" t="n">
        <x:v>2758.56</x:v>
      </x:c>
    </x:row>
    <x:row r="332">
      <x:c r="A332" s="9" t="str">
        <x:v>328</x:v>
      </x:c>
      <x:c r="B332" s="9" t="str">
        <x:v>179</x:v>
      </x:c>
      <x:c r="C332" s="11" t="n">
        <x:v>46150</x:v>
      </x:c>
      <x:c r="D332" s="13" t="n">
        <x:v>1280.42</x:v>
      </x:c>
    </x:row>
    <x:row r="333">
      <x:c r="A333" s="9" t="str">
        <x:v>329</x:v>
      </x:c>
      <x:c r="B333" s="9" t="str">
        <x:v>179</x:v>
      </x:c>
      <x:c r="C333" s="11" t="n">
        <x:v>46195</x:v>
      </x:c>
      <x:c r="D333" s="13" t="n">
        <x:v>1405.95</x:v>
      </x:c>
    </x:row>
    <x:row r="334">
      <x:c r="A334" s="9" t="str">
        <x:v>330</x:v>
      </x:c>
      <x:c r="B334" s="9" t="str">
        <x:v>180</x:v>
      </x:c>
      <x:c r="C334" s="11" t="n">
        <x:v>46106</x:v>
      </x:c>
      <x:c r="D334" s="13" t="n">
        <x:v>587.32</x:v>
      </x:c>
    </x:row>
    <x:row r="335">
      <x:c r="A335" s="9" t="str">
        <x:v>331</x:v>
      </x:c>
      <x:c r="B335" s="9" t="str">
        <x:v>181</x:v>
      </x:c>
      <x:c r="C335" s="11" t="n">
        <x:v>46123</x:v>
      </x:c>
      <x:c r="D335" s="13" t="n">
        <x:v>46</x:v>
      </x:c>
    </x:row>
    <x:row r="336">
      <x:c r="A336" s="9" t="str">
        <x:v>332</x:v>
      </x:c>
      <x:c r="B336" s="9" t="str">
        <x:v>181</x:v>
      </x:c>
      <x:c r="C336" s="11" t="n">
        <x:v>46114</x:v>
      </x:c>
      <x:c r="D336" s="13" t="n">
        <x:v>301.7</x:v>
      </x:c>
    </x:row>
    <x:row r="337">
      <x:c r="A337" s="9" t="str">
        <x:v>333</x:v>
      </x:c>
      <x:c r="B337" s="9" t="str">
        <x:v>182</x:v>
      </x:c>
      <x:c r="C337" s="11" t="n">
        <x:v>46201</x:v>
      </x:c>
      <x:c r="D337" s="13" t="n">
        <x:v>75.76</x:v>
      </x:c>
    </x:row>
    <x:row r="338">
      <x:c r="A338" s="9" t="str">
        <x:v>334</x:v>
      </x:c>
      <x:c r="B338" s="9" t="str">
        <x:v>182</x:v>
      </x:c>
      <x:c r="C338" s="11" t="n">
        <x:v>46174</x:v>
      </x:c>
      <x:c r="D338" s="13" t="n">
        <x:v>212.49</x:v>
      </x:c>
    </x:row>
    <x:row r="339">
      <x:c r="A339" s="9" t="str">
        <x:v>335</x:v>
      </x:c>
      <x:c r="B339" s="9" t="str">
        <x:v>183</x:v>
      </x:c>
      <x:c r="C339" s="11" t="n">
        <x:v>46197</x:v>
      </x:c>
      <x:c r="D339" s="13" t="n">
        <x:v>69.01</x:v>
      </x:c>
    </x:row>
    <x:row r="340">
      <x:c r="A340" s="9" t="str">
        <x:v>336</x:v>
      </x:c>
      <x:c r="B340" s="9" t="str">
        <x:v>183</x:v>
      </x:c>
      <x:c r="C340" s="11" t="n">
        <x:v>46143</x:v>
      </x:c>
      <x:c r="D340" s="13" t="n">
        <x:v>27.67</x:v>
      </x:c>
    </x:row>
    <x:row r="341">
      <x:c r="A341" s="9" t="str">
        <x:v>337</x:v>
      </x:c>
      <x:c r="B341" s="9" t="str">
        <x:v>184</x:v>
      </x:c>
      <x:c r="C341" s="11" t="n">
        <x:v>46161</x:v>
      </x:c>
      <x:c r="D341" s="13" t="n">
        <x:v>1322.42</x:v>
      </x:c>
    </x:row>
    <x:row r="342">
      <x:c r="A342" s="9" t="str">
        <x:v>338</x:v>
      </x:c>
      <x:c r="B342" s="9" t="str">
        <x:v>185</x:v>
      </x:c>
      <x:c r="C342" s="11" t="n">
        <x:v>46076</x:v>
      </x:c>
      <x:c r="D342" s="13" t="n">
        <x:v>601.35</x:v>
      </x:c>
    </x:row>
    <x:row r="343">
      <x:c r="A343" s="9" t="str">
        <x:v>339</x:v>
      </x:c>
      <x:c r="B343" s="9" t="str">
        <x:v>185</x:v>
      </x:c>
      <x:c r="C343" s="11" t="n">
        <x:v>46138</x:v>
      </x:c>
      <x:c r="D343" s="13" t="n">
        <x:v>905.97</x:v>
      </x:c>
    </x:row>
    <x:row r="344">
      <x:c r="A344" s="9" t="str">
        <x:v>340</x:v>
      </x:c>
      <x:c r="B344" s="9" t="str">
        <x:v>186</x:v>
      </x:c>
      <x:c r="C344" s="11" t="n">
        <x:v>46123</x:v>
      </x:c>
      <x:c r="D344" s="13" t="n">
        <x:v>1596.93</x:v>
      </x:c>
    </x:row>
    <x:row r="345">
      <x:c r="A345" s="9" t="str">
        <x:v>341</x:v>
      </x:c>
      <x:c r="B345" s="9" t="str">
        <x:v>186</x:v>
      </x:c>
      <x:c r="C345" s="11" t="n">
        <x:v>46150</x:v>
      </x:c>
      <x:c r="D345" s="13" t="n">
        <x:v>1187.47</x:v>
      </x:c>
    </x:row>
    <x:row r="346">
      <x:c r="A346" s="9" t="str">
        <x:v>342</x:v>
      </x:c>
      <x:c r="B346" s="9" t="str">
        <x:v>187</x:v>
      </x:c>
      <x:c r="C346" s="11" t="n">
        <x:v>46114</x:v>
      </x:c>
      <x:c r="D346" s="13" t="n">
        <x:v>750.35</x:v>
      </x:c>
    </x:row>
    <x:row r="347">
      <x:c r="A347" s="9" t="str">
        <x:v>343</x:v>
      </x:c>
      <x:c r="B347" s="9" t="str">
        <x:v>188</x:v>
      </x:c>
      <x:c r="C347" s="11" t="n">
        <x:v>46116</x:v>
      </x:c>
      <x:c r="D347" s="13" t="n">
        <x:v>289.89</x:v>
      </x:c>
    </x:row>
    <x:row r="348">
      <x:c r="A348" s="9" t="str">
        <x:v>344</x:v>
      </x:c>
      <x:c r="B348" s="9" t="str">
        <x:v>190</x:v>
      </x:c>
      <x:c r="C348" s="11" t="n">
        <x:v>46127</x:v>
      </x:c>
      <x:c r="D348" s="13" t="n">
        <x:v>29.67</x:v>
      </x:c>
    </x:row>
    <x:row r="349">
      <x:c r="A349" s="9" t="str">
        <x:v>345</x:v>
      </x:c>
      <x:c r="B349" s="9" t="str">
        <x:v>190</x:v>
      </x:c>
      <x:c r="C349" s="11" t="n">
        <x:v>46114</x:v>
      </x:c>
      <x:c r="D349" s="13" t="n">
        <x:v>551.38</x:v>
      </x:c>
    </x:row>
    <x:row r="350">
      <x:c r="A350" s="9" t="str">
        <x:v>346</x:v>
      </x:c>
      <x:c r="B350" s="9" t="str">
        <x:v>190</x:v>
      </x:c>
      <x:c r="C350" s="11" t="n">
        <x:v>46109</x:v>
      </x:c>
      <x:c r="D350" s="13" t="n">
        <x:v>889.93</x:v>
      </x:c>
    </x:row>
    <x:row r="351">
      <x:c r="A351" s="9" t="str">
        <x:v>347</x:v>
      </x:c>
      <x:c r="B351" s="9" t="str">
        <x:v>192</x:v>
      </x:c>
      <x:c r="C351" s="11" t="n">
        <x:v>46134</x:v>
      </x:c>
      <x:c r="D351" s="13" t="n">
        <x:v>2314.52</x:v>
      </x:c>
    </x:row>
    <x:row r="352">
      <x:c r="A352" s="9" t="str">
        <x:v>348</x:v>
      </x:c>
      <x:c r="B352" s="9" t="str">
        <x:v>192</x:v>
      </x:c>
      <x:c r="C352" s="11" t="n">
        <x:v>46106</x:v>
      </x:c>
      <x:c r="D352" s="13" t="n">
        <x:v>1606.74</x:v>
      </x:c>
    </x:row>
    <x:row r="353">
      <x:c r="A353" s="9" t="str">
        <x:v>349</x:v>
      </x:c>
      <x:c r="B353" s="9" t="str">
        <x:v>193</x:v>
      </x:c>
      <x:c r="C353" s="11" t="n">
        <x:v>46173</x:v>
      </x:c>
      <x:c r="D353" s="13" t="n">
        <x:v>42.65</x:v>
      </x:c>
    </x:row>
    <x:row r="354">
      <x:c r="A354" s="9" t="str">
        <x:v>350</x:v>
      </x:c>
      <x:c r="B354" s="9" t="str">
        <x:v>193</x:v>
      </x:c>
      <x:c r="C354" s="11" t="n">
        <x:v>46199</x:v>
      </x:c>
      <x:c r="D354" s="13" t="n">
        <x:v>604.64</x:v>
      </x:c>
    </x:row>
    <x:row r="355">
      <x:c r="A355" s="9" t="str">
        <x:v>351</x:v>
      </x:c>
      <x:c r="B355" s="9" t="str">
        <x:v>193</x:v>
      </x:c>
      <x:c r="C355" s="11" t="n">
        <x:v>46191</x:v>
      </x:c>
      <x:c r="D355" s="13" t="n">
        <x:v>274.67</x:v>
      </x:c>
    </x:row>
    <x:row r="356">
      <x:c r="A356" s="9" t="str">
        <x:v>352</x:v>
      </x:c>
      <x:c r="B356" s="9" t="str">
        <x:v>194</x:v>
      </x:c>
      <x:c r="C356" s="11" t="n">
        <x:v>46085</x:v>
      </x:c>
      <x:c r="D356" s="13" t="n">
        <x:v>485.71</x:v>
      </x:c>
    </x:row>
    <x:row r="357">
      <x:c r="A357" s="9" t="str">
        <x:v>353</x:v>
      </x:c>
      <x:c r="B357" s="9" t="str">
        <x:v>194</x:v>
      </x:c>
      <x:c r="C357" s="11" t="n">
        <x:v>46162</x:v>
      </x:c>
      <x:c r="D357" s="13" t="n">
        <x:v>696.57</x:v>
      </x:c>
    </x:row>
    <x:row r="358">
      <x:c r="A358" s="9" t="str">
        <x:v>354</x:v>
      </x:c>
      <x:c r="B358" s="9" t="str">
        <x:v>194</x:v>
      </x:c>
      <x:c r="C358" s="11" t="n">
        <x:v>46104</x:v>
      </x:c>
      <x:c r="D358" s="13" t="n">
        <x:v>680.65</x:v>
      </x:c>
    </x:row>
    <x:row r="359">
      <x:c r="A359" s="9" t="str">
        <x:v>355</x:v>
      </x:c>
      <x:c r="B359" s="9" t="str">
        <x:v>195</x:v>
      </x:c>
      <x:c r="C359" s="11" t="n">
        <x:v>46137</x:v>
      </x:c>
      <x:c r="D359" s="13" t="n">
        <x:v>541.76</x:v>
      </x:c>
    </x:row>
    <x:row r="360">
      <x:c r="A360" s="9" t="str">
        <x:v>356</x:v>
      </x:c>
      <x:c r="B360" s="9" t="str">
        <x:v>196</x:v>
      </x:c>
      <x:c r="C360" s="11" t="n">
        <x:v>46144</x:v>
      </x:c>
      <x:c r="D360" s="13" t="n">
        <x:v>1583.13</x:v>
      </x:c>
    </x:row>
    <x:row r="361">
      <x:c r="A361" s="9" t="str">
        <x:v>357</x:v>
      </x:c>
      <x:c r="B361" s="9" t="str">
        <x:v>196</x:v>
      </x:c>
      <x:c r="C361" s="11" t="n">
        <x:v>46200</x:v>
      </x:c>
      <x:c r="D361" s="13" t="n">
        <x:v>651.5</x:v>
      </x:c>
    </x:row>
    <x:row r="362">
      <x:c r="A362" s="9" t="str">
        <x:v>358</x:v>
      </x:c>
      <x:c r="B362" s="9" t="str">
        <x:v>196</x:v>
      </x:c>
      <x:c r="C362" s="11" t="n">
        <x:v>46161</x:v>
      </x:c>
      <x:c r="D362" s="13" t="n">
        <x:v>1444.82</x:v>
      </x:c>
    </x:row>
    <x:row r="363">
      <x:c r="A363" s="9" t="str">
        <x:v>359</x:v>
      </x:c>
      <x:c r="B363" s="9" t="str">
        <x:v>196</x:v>
      </x:c>
      <x:c r="C363" s="11" t="n">
        <x:v>46184</x:v>
      </x:c>
      <x:c r="D363" s="13" t="n">
        <x:v>1634.67</x:v>
      </x:c>
    </x:row>
    <x:row r="364">
      <x:c r="A364" s="9" t="str">
        <x:v>360</x:v>
      </x:c>
      <x:c r="B364" s="9" t="str">
        <x:v>197</x:v>
      </x:c>
      <x:c r="C364" s="11" t="n">
        <x:v>46113</x:v>
      </x:c>
      <x:c r="D364" s="13" t="n">
        <x:v>760.1</x:v>
      </x:c>
    </x:row>
    <x:row r="365">
      <x:c r="A365" s="9" t="str">
        <x:v>361</x:v>
      </x:c>
      <x:c r="B365" s="9" t="str">
        <x:v>197</x:v>
      </x:c>
      <x:c r="C365" s="11" t="n">
        <x:v>46160</x:v>
      </x:c>
      <x:c r="D365" s="13" t="n">
        <x:v>606.82</x:v>
      </x:c>
    </x:row>
    <x:row r="366">
      <x:c r="A366" s="9" t="str">
        <x:v>362</x:v>
      </x:c>
      <x:c r="B366" s="9" t="str">
        <x:v>197</x:v>
      </x:c>
      <x:c r="C366" s="11" t="n">
        <x:v>46091</x:v>
      </x:c>
      <x:c r="D366" s="13" t="n">
        <x:v>56.97</x:v>
      </x:c>
    </x:row>
    <x:row r="367">
      <x:c r="A367" s="9" t="str">
        <x:v>363</x:v>
      </x:c>
      <x:c r="B367" s="9" t="str">
        <x:v>197</x:v>
      </x:c>
      <x:c r="C367" s="11" t="n">
        <x:v>46150</x:v>
      </x:c>
      <x:c r="D367" s="13" t="n">
        <x:v>402.29</x:v>
      </x:c>
    </x:row>
    <x:row r="368">
      <x:c r="A368" s="9" t="str">
        <x:v>364</x:v>
      </x:c>
      <x:c r="B368" s="9" t="str">
        <x:v>199</x:v>
      </x:c>
      <x:c r="C368" s="11" t="n">
        <x:v>46174</x:v>
      </x:c>
      <x:c r="D368" s="13" t="n">
        <x:v>217.41</x:v>
      </x:c>
    </x:row>
    <x:row r="369">
      <x:c r="A369" s="9" t="str">
        <x:v>365</x:v>
      </x:c>
      <x:c r="B369" s="9" t="str">
        <x:v>199</x:v>
      </x:c>
      <x:c r="C369" s="11" t="n">
        <x:v>46194</x:v>
      </x:c>
      <x:c r="D369" s="13" t="n">
        <x:v>354.32</x:v>
      </x:c>
    </x:row>
    <x:row r="370">
      <x:c r="A370" s="9" t="str">
        <x:v>366</x:v>
      </x:c>
      <x:c r="B370" s="9" t="str">
        <x:v>199</x:v>
      </x:c>
      <x:c r="C370" s="11" t="n">
        <x:v>46180</x:v>
      </x:c>
      <x:c r="D370" s="13" t="n">
        <x:v>418.44</x:v>
      </x:c>
    </x:row>
    <x:row r="371">
      <x:c r="A371" s="9" t="str">
        <x:v>367</x:v>
      </x:c>
      <x:c r="B371" s="9" t="str">
        <x:v>199</x:v>
      </x:c>
      <x:c r="C371" s="11" t="n">
        <x:v>46197</x:v>
      </x:c>
      <x:c r="D371" s="13" t="n">
        <x:v>95</x:v>
      </x:c>
    </x:row>
    <x:row r="372">
      <x:c r="A372" s="9" t="str">
        <x:v>368</x:v>
      </x:c>
      <x:c r="B372" s="9" t="str">
        <x:v>200</x:v>
      </x:c>
      <x:c r="C372" s="11" t="n">
        <x:v>46130</x:v>
      </x:c>
      <x:c r="D372" s="13" t="n">
        <x:v>1479.09</x:v>
      </x:c>
    </x:row>
    <x:row r="373">
      <x:c r="A373" s="9" t="str">
        <x:v>369</x:v>
      </x:c>
      <x:c r="B373" s="9" t="str">
        <x:v>200</x:v>
      </x:c>
      <x:c r="C373" s="11" t="n">
        <x:v>46127</x:v>
      </x:c>
      <x:c r="D373" s="13" t="n">
        <x:v>39.61</x:v>
      </x:c>
    </x:row>
    <x:row r="374">
      <x:c r="A374" s="9" t="str">
        <x:v>370</x:v>
      </x:c>
      <x:c r="B374" s="9" t="str">
        <x:v>201</x:v>
      </x:c>
      <x:c r="C374" s="11" t="n">
        <x:v>46152</x:v>
      </x:c>
      <x:c r="D374" s="13" t="n">
        <x:v>518.6</x:v>
      </x:c>
    </x:row>
    <x:row r="375">
      <x:c r="A375" s="9" t="str">
        <x:v>371</x:v>
      </x:c>
      <x:c r="B375" s="9" t="str">
        <x:v>202</x:v>
      </x:c>
      <x:c r="C375" s="11" t="n">
        <x:v>46177</x:v>
      </x:c>
      <x:c r="D375" s="13" t="n">
        <x:v>794.71</x:v>
      </x:c>
    </x:row>
    <x:row r="376">
      <x:c r="A376" s="9" t="str">
        <x:v>372</x:v>
      </x:c>
      <x:c r="B376" s="9" t="str">
        <x:v>202</x:v>
      </x:c>
      <x:c r="C376" s="11" t="n">
        <x:v>46184</x:v>
      </x:c>
      <x:c r="D376" s="13" t="n">
        <x:v>1910.45</x:v>
      </x:c>
    </x:row>
    <x:row r="377">
      <x:c r="A377" s="9" t="str">
        <x:v>373</x:v>
      </x:c>
      <x:c r="B377" s="9" t="str">
        <x:v>202</x:v>
      </x:c>
      <x:c r="C377" s="11" t="n">
        <x:v>46176</x:v>
      </x:c>
      <x:c r="D377" s="13" t="n">
        <x:v>837.07</x:v>
      </x:c>
    </x:row>
    <x:row r="378">
      <x:c r="A378" s="9" t="str">
        <x:v>374</x:v>
      </x:c>
      <x:c r="B378" s="9" t="str">
        <x:v>202</x:v>
      </x:c>
      <x:c r="C378" s="11" t="n">
        <x:v>46142</x:v>
      </x:c>
      <x:c r="D378" s="13" t="n">
        <x:v>1414.79</x:v>
      </x:c>
    </x:row>
    <x:row r="379">
      <x:c r="A379" s="9" t="str">
        <x:v>375</x:v>
      </x:c>
      <x:c r="B379" s="9" t="str">
        <x:v>203</x:v>
      </x:c>
      <x:c r="C379" s="11" t="n">
        <x:v>46160</x:v>
      </x:c>
      <x:c r="D379" s="13" t="n">
        <x:v>445.07</x:v>
      </x:c>
    </x:row>
    <x:row r="380">
      <x:c r="A380" s="9" t="str">
        <x:v>376</x:v>
      </x:c>
      <x:c r="B380" s="9" t="str">
        <x:v>203</x:v>
      </x:c>
      <x:c r="C380" s="11" t="n">
        <x:v>46090</x:v>
      </x:c>
      <x:c r="D380" s="13" t="n">
        <x:v>501.2</x:v>
      </x:c>
    </x:row>
    <x:row r="381">
      <x:c r="A381" s="9" t="str">
        <x:v>377</x:v>
      </x:c>
      <x:c r="B381" s="9" t="str">
        <x:v>203</x:v>
      </x:c>
      <x:c r="C381" s="11" t="n">
        <x:v>46141</x:v>
      </x:c>
      <x:c r="D381" s="13" t="n">
        <x:v>818.14</x:v>
      </x:c>
    </x:row>
    <x:row r="382">
      <x:c r="A382" s="9" t="str">
        <x:v>378</x:v>
      </x:c>
      <x:c r="B382" s="9" t="str">
        <x:v>203</x:v>
      </x:c>
      <x:c r="C382" s="11" t="n">
        <x:v>46130</x:v>
      </x:c>
      <x:c r="D382" s="13" t="n">
        <x:v>92.91</x:v>
      </x:c>
    </x:row>
    <x:row r="383">
      <x:c r="A383" s="9" t="str">
        <x:v>379</x:v>
      </x:c>
      <x:c r="B383" s="9" t="str">
        <x:v>204</x:v>
      </x:c>
      <x:c r="C383" s="11" t="n">
        <x:v>46160</x:v>
      </x:c>
      <x:c r="D383" s="13" t="n">
        <x:v>817.81</x:v>
      </x:c>
    </x:row>
    <x:row r="384">
      <x:c r="A384" s="9" t="str">
        <x:v>380</x:v>
      </x:c>
      <x:c r="B384" s="9" t="str">
        <x:v>204</x:v>
      </x:c>
      <x:c r="C384" s="11" t="n">
        <x:v>46197</x:v>
      </x:c>
      <x:c r="D384" s="13" t="n">
        <x:v>1793.18</x:v>
      </x:c>
    </x:row>
    <x:row r="385">
      <x:c r="A385" s="9" t="str">
        <x:v>381</x:v>
      </x:c>
      <x:c r="B385" s="9" t="str">
        <x:v>204</x:v>
      </x:c>
      <x:c r="C385" s="11" t="n">
        <x:v>46177</x:v>
      </x:c>
      <x:c r="D385" s="13" t="n">
        <x:v>1637.17</x:v>
      </x:c>
    </x:row>
    <x:row r="386">
      <x:c r="A386" s="9" t="str">
        <x:v>382</x:v>
      </x:c>
      <x:c r="B386" s="9" t="str">
        <x:v>204</x:v>
      </x:c>
      <x:c r="C386" s="11" t="n">
        <x:v>46148</x:v>
      </x:c>
      <x:c r="D386" s="13" t="n">
        <x:v>761.27</x:v>
      </x:c>
    </x:row>
    <x:row r="387">
      <x:c r="A387" s="9" t="str">
        <x:v>383</x:v>
      </x:c>
      <x:c r="B387" s="9" t="str">
        <x:v>205</x:v>
      </x:c>
      <x:c r="C387" s="11" t="n">
        <x:v>46157</x:v>
      </x:c>
      <x:c r="D387" s="13" t="n">
        <x:v>1405.32</x:v>
      </x:c>
    </x:row>
    <x:row r="388">
      <x:c r="A388" s="9" t="str">
        <x:v>384</x:v>
      </x:c>
      <x:c r="B388" s="9" t="str">
        <x:v>205</x:v>
      </x:c>
      <x:c r="C388" s="11" t="n">
        <x:v>46106</x:v>
      </x:c>
      <x:c r="D388" s="13" t="n">
        <x:v>1166.35</x:v>
      </x:c>
    </x:row>
    <x:row r="389">
      <x:c r="A389" s="9" t="str">
        <x:v>385</x:v>
      </x:c>
      <x:c r="B389" s="9" t="str">
        <x:v>206</x:v>
      </x:c>
      <x:c r="C389" s="11" t="n">
        <x:v>46101</x:v>
      </x:c>
      <x:c r="D389" s="13" t="n">
        <x:v>234.49</x:v>
      </x:c>
    </x:row>
    <x:row r="390">
      <x:c r="A390" s="9" t="str">
        <x:v>386</x:v>
      </x:c>
      <x:c r="B390" s="9" t="str">
        <x:v>207</x:v>
      </x:c>
      <x:c r="C390" s="11" t="n">
        <x:v>46199</x:v>
      </x:c>
      <x:c r="D390" s="13" t="n">
        <x:v>302.18</x:v>
      </x:c>
    </x:row>
    <x:row r="391">
      <x:c r="A391" s="9" t="str">
        <x:v>387</x:v>
      </x:c>
      <x:c r="B391" s="9" t="str">
        <x:v>208</x:v>
      </x:c>
      <x:c r="C391" s="11" t="n">
        <x:v>46156</x:v>
      </x:c>
      <x:c r="D391" s="13" t="n">
        <x:v>318.37</x:v>
      </x:c>
    </x:row>
    <x:row r="392">
      <x:c r="A392" s="9" t="str">
        <x:v>388</x:v>
      </x:c>
      <x:c r="B392" s="9" t="str">
        <x:v>208</x:v>
      </x:c>
      <x:c r="C392" s="11" t="n">
        <x:v>46151</x:v>
      </x:c>
      <x:c r="D392" s="13" t="n">
        <x:v>156.66</x:v>
      </x:c>
    </x:row>
    <x:row r="393">
      <x:c r="A393" s="9" t="str">
        <x:v>389</x:v>
      </x:c>
      <x:c r="B393" s="9" t="str">
        <x:v>208</x:v>
      </x:c>
      <x:c r="C393" s="11" t="n">
        <x:v>46158</x:v>
      </x:c>
      <x:c r="D393" s="13" t="n">
        <x:v>414.31</x:v>
      </x:c>
    </x:row>
    <x:row r="394">
      <x:c r="A394" s="9" t="str">
        <x:v>390</x:v>
      </x:c>
      <x:c r="B394" s="9" t="str">
        <x:v>209</x:v>
      </x:c>
      <x:c r="C394" s="11" t="n">
        <x:v>46140</x:v>
      </x:c>
      <x:c r="D394" s="13" t="n">
        <x:v>749.92</x:v>
      </x:c>
    </x:row>
    <x:row r="395">
      <x:c r="A395" s="9" t="str">
        <x:v>391</x:v>
      </x:c>
      <x:c r="B395" s="9" t="str">
        <x:v>210</x:v>
      </x:c>
      <x:c r="C395" s="11" t="n">
        <x:v>46102</x:v>
      </x:c>
      <x:c r="D395" s="13" t="n">
        <x:v>1093.81</x:v>
      </x:c>
    </x:row>
    <x:row r="396">
      <x:c r="A396" s="9" t="str">
        <x:v>392</x:v>
      </x:c>
      <x:c r="B396" s="9" t="str">
        <x:v>210</x:v>
      </x:c>
      <x:c r="C396" s="11" t="n">
        <x:v>46103</x:v>
      </x:c>
      <x:c r="D396" s="13" t="n">
        <x:v>1637.58</x:v>
      </x:c>
    </x:row>
    <x:row r="397">
      <x:c r="A397" s="9" t="str">
        <x:v>393</x:v>
      </x:c>
      <x:c r="B397" s="9" t="str">
        <x:v>210</x:v>
      </x:c>
      <x:c r="C397" s="11" t="n">
        <x:v>46081</x:v>
      </x:c>
      <x:c r="D397" s="13" t="n">
        <x:v>1446.41</x:v>
      </x:c>
    </x:row>
    <x:row r="398">
      <x:c r="A398" s="9" t="str">
        <x:v>394</x:v>
      </x:c>
      <x:c r="B398" s="9" t="str">
        <x:v>210</x:v>
      </x:c>
      <x:c r="C398" s="11" t="n">
        <x:v>46139</x:v>
      </x:c>
      <x:c r="D398" s="13" t="n">
        <x:v>1274.51</x:v>
      </x:c>
    </x:row>
    <x:row r="399">
      <x:c r="A399" s="9" t="str">
        <x:v>395</x:v>
      </x:c>
      <x:c r="B399" s="9" t="str">
        <x:v>211</x:v>
      </x:c>
      <x:c r="C399" s="11" t="n">
        <x:v>46142</x:v>
      </x:c>
      <x:c r="D399" s="13" t="n">
        <x:v>463.73</x:v>
      </x:c>
    </x:row>
    <x:row r="400">
      <x:c r="A400" s="9" t="str">
        <x:v>396</x:v>
      </x:c>
      <x:c r="B400" s="9" t="str">
        <x:v>212</x:v>
      </x:c>
      <x:c r="C400" s="11" t="n">
        <x:v>46200</x:v>
      </x:c>
      <x:c r="D400" s="13" t="n">
        <x:v>504.78</x:v>
      </x:c>
    </x:row>
    <x:row r="401">
      <x:c r="A401" s="9" t="str">
        <x:v>397</x:v>
      </x:c>
      <x:c r="B401" s="9" t="str">
        <x:v>212</x:v>
      </x:c>
      <x:c r="C401" s="11" t="n">
        <x:v>46075</x:v>
      </x:c>
      <x:c r="D401" s="13" t="n">
        <x:v>10.12</x:v>
      </x:c>
    </x:row>
    <x:row r="402">
      <x:c r="A402" s="9" t="str">
        <x:v>398</x:v>
      </x:c>
      <x:c r="B402" s="9" t="str">
        <x:v>212</x:v>
      </x:c>
      <x:c r="C402" s="11" t="n">
        <x:v>46076</x:v>
      </x:c>
      <x:c r="D402" s="13" t="n">
        <x:v>443.11</x:v>
      </x:c>
    </x:row>
    <x:row r="403">
      <x:c r="A403" s="9" t="str">
        <x:v>399</x:v>
      </x:c>
      <x:c r="B403" s="9" t="str">
        <x:v>212</x:v>
      </x:c>
      <x:c r="C403" s="11" t="n">
        <x:v>46174</x:v>
      </x:c>
      <x:c r="D403" s="13" t="n">
        <x:v>306.86</x:v>
      </x:c>
    </x:row>
    <x:row r="404">
      <x:c r="A404" s="9" t="str">
        <x:v>400</x:v>
      </x:c>
      <x:c r="B404" s="9" t="str">
        <x:v>213</x:v>
      </x:c>
      <x:c r="C404" s="11" t="n">
        <x:v>46150</x:v>
      </x:c>
      <x:c r="D404" s="13" t="n">
        <x:v>1069.57</x:v>
      </x:c>
    </x:row>
    <x:row r="405">
      <x:c r="A405" s="9" t="str">
        <x:v>401</x:v>
      </x:c>
      <x:c r="B405" s="9" t="str">
        <x:v>213</x:v>
      </x:c>
      <x:c r="C405" s="11" t="n">
        <x:v>46141</x:v>
      </x:c>
      <x:c r="D405" s="13" t="n">
        <x:v>781.18</x:v>
      </x:c>
    </x:row>
    <x:row r="406">
      <x:c r="A406" s="9" t="str">
        <x:v>402</x:v>
      </x:c>
      <x:c r="B406" s="9" t="str">
        <x:v>213</x:v>
      </x:c>
      <x:c r="C406" s="11" t="n">
        <x:v>46140</x:v>
      </x:c>
      <x:c r="D406" s="13" t="n">
        <x:v>977.89</x:v>
      </x:c>
    </x:row>
    <x:row r="407">
      <x:c r="A407" s="9" t="str">
        <x:v>403</x:v>
      </x:c>
      <x:c r="B407" s="9" t="str">
        <x:v>213</x:v>
      </x:c>
      <x:c r="C407" s="11" t="n">
        <x:v>46179</x:v>
      </x:c>
      <x:c r="D407" s="13" t="n">
        <x:v>12.21</x:v>
      </x:c>
    </x:row>
    <x:row r="408">
      <x:c r="A408" s="9" t="str">
        <x:v>404</x:v>
      </x:c>
      <x:c r="B408" s="9" t="str">
        <x:v>214</x:v>
      </x:c>
      <x:c r="C408" s="11" t="n">
        <x:v>46131</x:v>
      </x:c>
      <x:c r="D408" s="13" t="n">
        <x:v>1875.87</x:v>
      </x:c>
    </x:row>
    <x:row r="409">
      <x:c r="A409" s="9" t="str">
        <x:v>405</x:v>
      </x:c>
      <x:c r="B409" s="9" t="str">
        <x:v>214</x:v>
      </x:c>
      <x:c r="C409" s="11" t="n">
        <x:v>46131</x:v>
      </x:c>
      <x:c r="D409" s="13" t="n">
        <x:v>1074.39</x:v>
      </x:c>
    </x:row>
    <x:row r="410">
      <x:c r="A410" s="9" t="str">
        <x:v>406</x:v>
      </x:c>
      <x:c r="B410" s="9" t="str">
        <x:v>216</x:v>
      </x:c>
      <x:c r="C410" s="11" t="n">
        <x:v>46194</x:v>
      </x:c>
      <x:c r="D410" s="13" t="n">
        <x:v>1201.16</x:v>
      </x:c>
    </x:row>
    <x:row r="411">
      <x:c r="A411" s="9" t="str">
        <x:v>407</x:v>
      </x:c>
      <x:c r="B411" s="9" t="str">
        <x:v>217</x:v>
      </x:c>
      <x:c r="C411" s="11" t="n">
        <x:v>46185</x:v>
      </x:c>
      <x:c r="D411" s="13" t="n">
        <x:v>2543.71</x:v>
      </x:c>
    </x:row>
    <x:row r="412">
      <x:c r="A412" s="9" t="str">
        <x:v>408</x:v>
      </x:c>
      <x:c r="B412" s="9" t="str">
        <x:v>217</x:v>
      </x:c>
      <x:c r="C412" s="11" t="n">
        <x:v>46199</x:v>
      </x:c>
      <x:c r="D412" s="13" t="n">
        <x:v>603.3</x:v>
      </x:c>
    </x:row>
    <x:row r="413">
      <x:c r="A413" s="9" t="str">
        <x:v>409</x:v>
      </x:c>
      <x:c r="B413" s="9" t="str">
        <x:v>217</x:v>
      </x:c>
      <x:c r="C413" s="11" t="n">
        <x:v>46167</x:v>
      </x:c>
      <x:c r="D413" s="13" t="n">
        <x:v>2534.61</x:v>
      </x:c>
    </x:row>
    <x:row r="414">
      <x:c r="A414" s="9" t="str">
        <x:v>410</x:v>
      </x:c>
      <x:c r="B414" s="9" t="str">
        <x:v>217</x:v>
      </x:c>
      <x:c r="C414" s="11" t="n">
        <x:v>46195</x:v>
      </x:c>
      <x:c r="D414" s="13" t="n">
        <x:v>754.94</x:v>
      </x:c>
    </x:row>
    <x:row r="415">
      <x:c r="A415" s="9" t="str">
        <x:v>411</x:v>
      </x:c>
      <x:c r="B415" s="9" t="str">
        <x:v>219</x:v>
      </x:c>
      <x:c r="C415" s="11" t="n">
        <x:v>46075</x:v>
      </x:c>
      <x:c r="D415" s="13" t="n">
        <x:v>1525.56</x:v>
      </x:c>
    </x:row>
    <x:row r="416">
      <x:c r="A416" s="9" t="str">
        <x:v>412</x:v>
      </x:c>
      <x:c r="B416" s="9" t="str">
        <x:v>219</x:v>
      </x:c>
      <x:c r="C416" s="11" t="n">
        <x:v>46045</x:v>
      </x:c>
      <x:c r="D416" s="13" t="n">
        <x:v>1511.71</x:v>
      </x:c>
    </x:row>
    <x:row r="417">
      <x:c r="A417" s="9" t="str">
        <x:v>413</x:v>
      </x:c>
      <x:c r="B417" s="9" t="str">
        <x:v>219</x:v>
      </x:c>
      <x:c r="C417" s="11" t="n">
        <x:v>46191</x:v>
      </x:c>
      <x:c r="D417" s="13" t="n">
        <x:v>774.81</x:v>
      </x:c>
    </x:row>
    <x:row r="418">
      <x:c r="A418" s="9" t="str">
        <x:v>414</x:v>
      </x:c>
      <x:c r="B418" s="9" t="str">
        <x:v>221</x:v>
      </x:c>
      <x:c r="C418" s="11" t="n">
        <x:v>46107</x:v>
      </x:c>
      <x:c r="D418" s="13" t="n">
        <x:v>1281.18</x:v>
      </x:c>
    </x:row>
    <x:row r="419">
      <x:c r="A419" s="9" t="str">
        <x:v>415</x:v>
      </x:c>
      <x:c r="B419" s="9" t="str">
        <x:v>222</x:v>
      </x:c>
      <x:c r="C419" s="11" t="n">
        <x:v>46173</x:v>
      </x:c>
      <x:c r="D419" s="13" t="n">
        <x:v>207.5</x:v>
      </x:c>
    </x:row>
    <x:row r="420">
      <x:c r="A420" s="9" t="str">
        <x:v>416</x:v>
      </x:c>
      <x:c r="B420" s="9" t="str">
        <x:v>222</x:v>
      </x:c>
      <x:c r="C420" s="11" t="n">
        <x:v>46149</x:v>
      </x:c>
      <x:c r="D420" s="13" t="n">
        <x:v>163.13</x:v>
      </x:c>
    </x:row>
    <x:row r="421">
      <x:c r="A421" s="9" t="str">
        <x:v>417</x:v>
      </x:c>
      <x:c r="B421" s="9" t="str">
        <x:v>222</x:v>
      </x:c>
      <x:c r="C421" s="11" t="n">
        <x:v>46173</x:v>
      </x:c>
      <x:c r="D421" s="13" t="n">
        <x:v>265.63</x:v>
      </x:c>
    </x:row>
    <x:row r="422">
      <x:c r="A422" s="9" t="str">
        <x:v>418</x:v>
      </x:c>
      <x:c r="B422" s="9" t="str">
        <x:v>223</x:v>
      </x:c>
      <x:c r="C422" s="11" t="n">
        <x:v>46199</x:v>
      </x:c>
      <x:c r="D422" s="13" t="n">
        <x:v>410.08</x:v>
      </x:c>
    </x:row>
    <x:row r="423">
      <x:c r="A423" s="9" t="str">
        <x:v>419</x:v>
      </x:c>
      <x:c r="B423" s="9" t="str">
        <x:v>223</x:v>
      </x:c>
      <x:c r="C423" s="11" t="n">
        <x:v>46102</x:v>
      </x:c>
      <x:c r="D423" s="13" t="n">
        <x:v>572.53</x:v>
      </x:c>
    </x:row>
    <x:row r="424">
      <x:c r="A424" s="9" t="str">
        <x:v>420</x:v>
      </x:c>
      <x:c r="B424" s="9" t="str">
        <x:v>223</x:v>
      </x:c>
      <x:c r="C424" s="11" t="n">
        <x:v>46102</x:v>
      </x:c>
      <x:c r="D424" s="13" t="n">
        <x:v>229.52</x:v>
      </x:c>
    </x:row>
    <x:row r="425">
      <x:c r="A425" s="9" t="str">
        <x:v>421</x:v>
      </x:c>
      <x:c r="B425" s="9" t="str">
        <x:v>224</x:v>
      </x:c>
      <x:c r="C425" s="11" t="n">
        <x:v>46199</x:v>
      </x:c>
      <x:c r="D425" s="13" t="n">
        <x:v>37.72</x:v>
      </x:c>
    </x:row>
    <x:row r="426">
      <x:c r="A426" s="9" t="str">
        <x:v>422</x:v>
      </x:c>
      <x:c r="B426" s="9" t="str">
        <x:v>224</x:v>
      </x:c>
      <x:c r="C426" s="11" t="n">
        <x:v>46160</x:v>
      </x:c>
      <x:c r="D426" s="13" t="n">
        <x:v>32.21</x:v>
      </x:c>
    </x:row>
    <x:row r="427">
      <x:c r="A427" s="9" t="str">
        <x:v>423</x:v>
      </x:c>
      <x:c r="B427" s="9" t="str">
        <x:v>224</x:v>
      </x:c>
      <x:c r="C427" s="11" t="n">
        <x:v>46182</x:v>
      </x:c>
      <x:c r="D427" s="13" t="n">
        <x:v>41.35</x:v>
      </x:c>
    </x:row>
    <x:row r="428">
      <x:c r="A428" s="9" t="str">
        <x:v>424</x:v>
      </x:c>
      <x:c r="B428" s="9" t="str">
        <x:v>224</x:v>
      </x:c>
      <x:c r="C428" s="11" t="n">
        <x:v>46189</x:v>
      </x:c>
      <x:c r="D428" s="13" t="n">
        <x:v>266.11</x:v>
      </x:c>
    </x:row>
    <x:row r="429">
      <x:c r="A429" s="9" t="str">
        <x:v>425</x:v>
      </x:c>
      <x:c r="B429" s="9" t="str">
        <x:v>226</x:v>
      </x:c>
      <x:c r="C429" s="11" t="n">
        <x:v>46126</x:v>
      </x:c>
      <x:c r="D429" s="13" t="n">
        <x:v>180.27</x:v>
      </x:c>
    </x:row>
    <x:row r="430">
      <x:c r="A430" s="9" t="str">
        <x:v>426</x:v>
      </x:c>
      <x:c r="B430" s="9" t="str">
        <x:v>226</x:v>
      </x:c>
      <x:c r="C430" s="11" t="n">
        <x:v>46192</x:v>
      </x:c>
      <x:c r="D430" s="13" t="n">
        <x:v>252.17</x:v>
      </x:c>
    </x:row>
    <x:row r="431">
      <x:c r="A431" s="9" t="str">
        <x:v>427</x:v>
      </x:c>
      <x:c r="B431" s="9" t="str">
        <x:v>226</x:v>
      </x:c>
      <x:c r="C431" s="11" t="n">
        <x:v>46167</x:v>
      </x:c>
      <x:c r="D431" s="13" t="n">
        <x:v>155.28</x:v>
      </x:c>
    </x:row>
    <x:row r="432">
      <x:c r="A432" s="9" t="str">
        <x:v>428</x:v>
      </x:c>
      <x:c r="B432" s="9" t="str">
        <x:v>226</x:v>
      </x:c>
      <x:c r="C432" s="11" t="n">
        <x:v>46110</x:v>
      </x:c>
      <x:c r="D432" s="13" t="n">
        <x:v>251.51</x:v>
      </x:c>
    </x:row>
    <x:row r="433">
      <x:c r="A433" s="9" t="str">
        <x:v>429</x:v>
      </x:c>
      <x:c r="B433" s="9" t="str">
        <x:v>228</x:v>
      </x:c>
      <x:c r="C433" s="11" t="n">
        <x:v>46163</x:v>
      </x:c>
      <x:c r="D433" s="13" t="n">
        <x:v>149.26</x:v>
      </x:c>
    </x:row>
    <x:row r="434">
      <x:c r="A434" s="9" t="str">
        <x:v>430</x:v>
      </x:c>
      <x:c r="B434" s="9" t="str">
        <x:v>228</x:v>
      </x:c>
      <x:c r="C434" s="11" t="n">
        <x:v>46076</x:v>
      </x:c>
      <x:c r="D434" s="13" t="n">
        <x:v>349.47</x:v>
      </x:c>
    </x:row>
    <x:row r="435">
      <x:c r="A435" s="9" t="str">
        <x:v>431</x:v>
      </x:c>
      <x:c r="B435" s="9" t="str">
        <x:v>228</x:v>
      </x:c>
      <x:c r="C435" s="11" t="n">
        <x:v>46068</x:v>
      </x:c>
      <x:c r="D435" s="13" t="n">
        <x:v>55.69</x:v>
      </x:c>
    </x:row>
    <x:row r="436">
      <x:c r="A436" s="9" t="str">
        <x:v>432</x:v>
      </x:c>
      <x:c r="B436" s="9" t="str">
        <x:v>228</x:v>
      </x:c>
      <x:c r="C436" s="11" t="n">
        <x:v>46196</x:v>
      </x:c>
      <x:c r="D436" s="13" t="n">
        <x:v>102.29</x:v>
      </x:c>
    </x:row>
    <x:row r="437">
      <x:c r="A437" s="9" t="str">
        <x:v>433</x:v>
      </x:c>
      <x:c r="B437" s="9" t="str">
        <x:v>229</x:v>
      </x:c>
      <x:c r="C437" s="11" t="n">
        <x:v>46162</x:v>
      </x:c>
      <x:c r="D437" s="13" t="n">
        <x:v>1263.41</x:v>
      </x:c>
    </x:row>
    <x:row r="438">
      <x:c r="A438" s="9" t="str">
        <x:v>434</x:v>
      </x:c>
      <x:c r="B438" s="9" t="str">
        <x:v>229</x:v>
      </x:c>
      <x:c r="C438" s="11" t="n">
        <x:v>46200</x:v>
      </x:c>
      <x:c r="D438" s="13" t="n">
        <x:v>1068.83</x:v>
      </x:c>
    </x:row>
    <x:row r="439">
      <x:c r="A439" s="9" t="str">
        <x:v>435</x:v>
      </x:c>
      <x:c r="B439" s="9" t="str">
        <x:v>229</x:v>
      </x:c>
      <x:c r="C439" s="11" t="n">
        <x:v>46115</x:v>
      </x:c>
      <x:c r="D439" s="13" t="n">
        <x:v>2057.17</x:v>
      </x:c>
    </x:row>
    <x:row r="440">
      <x:c r="A440" s="9" t="str">
        <x:v>436</x:v>
      </x:c>
      <x:c r="B440" s="9" t="str">
        <x:v>230</x:v>
      </x:c>
      <x:c r="C440" s="11" t="n">
        <x:v>46171</x:v>
      </x:c>
      <x:c r="D440" s="13" t="n">
        <x:v>1708.14</x:v>
      </x:c>
    </x:row>
    <x:row r="441">
      <x:c r="A441" s="9" t="str">
        <x:v>437</x:v>
      </x:c>
      <x:c r="B441" s="9" t="str">
        <x:v>230</x:v>
      </x:c>
      <x:c r="C441" s="11" t="n">
        <x:v>46194</x:v>
      </x:c>
      <x:c r="D441" s="13" t="n">
        <x:v>472.99</x:v>
      </x:c>
    </x:row>
    <x:row r="442">
      <x:c r="A442" s="9" t="str">
        <x:v>438</x:v>
      </x:c>
      <x:c r="B442" s="9" t="str">
        <x:v>232</x:v>
      </x:c>
      <x:c r="C442" s="11" t="n">
        <x:v>46124</x:v>
      </x:c>
      <x:c r="D442" s="13" t="n">
        <x:v>304.45</x:v>
      </x:c>
    </x:row>
    <x:row r="443">
      <x:c r="A443" s="9" t="str">
        <x:v>439</x:v>
      </x:c>
      <x:c r="B443" s="9" t="str">
        <x:v>232</x:v>
      </x:c>
      <x:c r="C443" s="11" t="n">
        <x:v>46165</x:v>
      </x:c>
      <x:c r="D443" s="13" t="n">
        <x:v>34.27</x:v>
      </x:c>
    </x:row>
    <x:row r="444">
      <x:c r="A444" s="9" t="str">
        <x:v>440</x:v>
      </x:c>
      <x:c r="B444" s="9" t="str">
        <x:v>232</x:v>
      </x:c>
      <x:c r="C444" s="11" t="n">
        <x:v>46165</x:v>
      </x:c>
      <x:c r="D444" s="13" t="n">
        <x:v>46.73</x:v>
      </x:c>
    </x:row>
    <x:row r="445">
      <x:c r="A445" s="9" t="str">
        <x:v>441</x:v>
      </x:c>
      <x:c r="B445" s="9" t="str">
        <x:v>232</x:v>
      </x:c>
      <x:c r="C445" s="11" t="n">
        <x:v>46173</x:v>
      </x:c>
      <x:c r="D445" s="13" t="n">
        <x:v>38.05</x:v>
      </x:c>
    </x:row>
    <x:row r="446">
      <x:c r="A446" s="9" t="str">
        <x:v>442</x:v>
      </x:c>
      <x:c r="B446" s="9" t="str">
        <x:v>233</x:v>
      </x:c>
      <x:c r="C446" s="11" t="n">
        <x:v>46160</x:v>
      </x:c>
      <x:c r="D446" s="13" t="n">
        <x:v>620.75</x:v>
      </x:c>
    </x:row>
    <x:row r="447">
      <x:c r="A447" s="9" t="str">
        <x:v>443</x:v>
      </x:c>
      <x:c r="B447" s="9" t="str">
        <x:v>233</x:v>
      </x:c>
      <x:c r="C447" s="11" t="n">
        <x:v>46203</x:v>
      </x:c>
      <x:c r="D447" s="13" t="n">
        <x:v>106.67</x:v>
      </x:c>
    </x:row>
    <x:row r="448">
      <x:c r="A448" s="9" t="str">
        <x:v>444</x:v>
      </x:c>
      <x:c r="B448" s="9" t="str">
        <x:v>233</x:v>
      </x:c>
      <x:c r="C448" s="11" t="n">
        <x:v>46187</x:v>
      </x:c>
      <x:c r="D448" s="13" t="n">
        <x:v>381.17</x:v>
      </x:c>
    </x:row>
    <x:row r="449">
      <x:c r="A449" s="9" t="str">
        <x:v>445</x:v>
      </x:c>
      <x:c r="B449" s="9" t="str">
        <x:v>233</x:v>
      </x:c>
      <x:c r="C449" s="11" t="n">
        <x:v>46157</x:v>
      </x:c>
      <x:c r="D449" s="13" t="n">
        <x:v>1723.98</x:v>
      </x:c>
    </x:row>
    <x:row r="450">
      <x:c r="A450" s="9" t="str">
        <x:v>446</x:v>
      </x:c>
      <x:c r="B450" s="9" t="str">
        <x:v>234</x:v>
      </x:c>
      <x:c r="C450" s="11" t="n">
        <x:v>46136</x:v>
      </x:c>
      <x:c r="D450" s="13" t="n">
        <x:v>289.32</x:v>
      </x:c>
    </x:row>
    <x:row r="451">
      <x:c r="A451" s="9" t="str">
        <x:v>447</x:v>
      </x:c>
      <x:c r="B451" s="9" t="str">
        <x:v>235</x:v>
      </x:c>
      <x:c r="C451" s="11" t="n">
        <x:v>46121</x:v>
      </x:c>
      <x:c r="D451" s="13" t="n">
        <x:v>1159.92</x:v>
      </x:c>
    </x:row>
    <x:row r="452">
      <x:c r="A452" s="9" t="str">
        <x:v>448</x:v>
      </x:c>
      <x:c r="B452" s="9" t="str">
        <x:v>236</x:v>
      </x:c>
      <x:c r="C452" s="11" t="n">
        <x:v>46181</x:v>
      </x:c>
      <x:c r="D452" s="13" t="n">
        <x:v>20.24</x:v>
      </x:c>
    </x:row>
    <x:row r="453">
      <x:c r="A453" s="9" t="str">
        <x:v>449</x:v>
      </x:c>
      <x:c r="B453" s="9" t="str">
        <x:v>237</x:v>
      </x:c>
      <x:c r="C453" s="11" t="n">
        <x:v>46081</x:v>
      </x:c>
      <x:c r="D453" s="13" t="n">
        <x:v>550.43</x:v>
      </x:c>
    </x:row>
    <x:row r="454">
      <x:c r="A454" s="9" t="str">
        <x:v>450</x:v>
      </x:c>
      <x:c r="B454" s="9" t="str">
        <x:v>238</x:v>
      </x:c>
      <x:c r="C454" s="11" t="n">
        <x:v>46185</x:v>
      </x:c>
      <x:c r="D454" s="13" t="n">
        <x:v>12.99</x:v>
      </x:c>
    </x:row>
    <x:row r="455">
      <x:c r="A455" s="9" t="str">
        <x:v>451</x:v>
      </x:c>
      <x:c r="B455" s="9" t="str">
        <x:v>238</x:v>
      </x:c>
      <x:c r="C455" s="11" t="n">
        <x:v>46162</x:v>
      </x:c>
      <x:c r="D455" s="13" t="n">
        <x:v>164.42</x:v>
      </x:c>
    </x:row>
    <x:row r="456">
      <x:c r="A456" s="9" t="str">
        <x:v>452</x:v>
      </x:c>
      <x:c r="B456" s="9" t="str">
        <x:v>238</x:v>
      </x:c>
      <x:c r="C456" s="11" t="n">
        <x:v>46183</x:v>
      </x:c>
      <x:c r="D456" s="13" t="n">
        <x:v>87</x:v>
      </x:c>
    </x:row>
    <x:row r="457">
      <x:c r="A457" s="9" t="str">
        <x:v>453</x:v>
      </x:c>
      <x:c r="B457" s="9" t="str">
        <x:v>239</x:v>
      </x:c>
      <x:c r="C457" s="11" t="n">
        <x:v>46164</x:v>
      </x:c>
      <x:c r="D457" s="13" t="n">
        <x:v>1459.27</x:v>
      </x:c>
    </x:row>
    <x:row r="458">
      <x:c r="A458" s="9" t="str">
        <x:v>454</x:v>
      </x:c>
      <x:c r="B458" s="9" t="str">
        <x:v>240</x:v>
      </x:c>
      <x:c r="C458" s="11" t="n">
        <x:v>46098</x:v>
      </x:c>
      <x:c r="D458" s="13" t="n">
        <x:v>294.86</x:v>
      </x:c>
    </x:row>
    <x:row r="459">
      <x:c r="A459" s="9" t="str">
        <x:v>455</x:v>
      </x:c>
      <x:c r="B459" s="9" t="str">
        <x:v>241</x:v>
      </x:c>
      <x:c r="C459" s="11" t="n">
        <x:v>46159</x:v>
      </x:c>
      <x:c r="D459" s="13" t="n">
        <x:v>223.62</x:v>
      </x:c>
    </x:row>
    <x:row r="460">
      <x:c r="A460" s="9" t="str">
        <x:v>456</x:v>
      </x:c>
      <x:c r="B460" s="9" t="str">
        <x:v>241</x:v>
      </x:c>
      <x:c r="C460" s="11" t="n">
        <x:v>46135</x:v>
      </x:c>
      <x:c r="D460" s="13" t="n">
        <x:v>140.25</x:v>
      </x:c>
    </x:row>
    <x:row r="461">
      <x:c r="A461" s="9" t="str">
        <x:v>457</x:v>
      </x:c>
      <x:c r="B461" s="9" t="str">
        <x:v>241</x:v>
      </x:c>
      <x:c r="C461" s="11" t="n">
        <x:v>46080</x:v>
      </x:c>
      <x:c r="D461" s="13" t="n">
        <x:v>160.77</x:v>
      </x:c>
    </x:row>
    <x:row r="462">
      <x:c r="A462" s="9" t="str">
        <x:v>458</x:v>
      </x:c>
      <x:c r="B462" s="9" t="str">
        <x:v>241</x:v>
      </x:c>
      <x:c r="C462" s="11" t="n">
        <x:v>46110</x:v>
      </x:c>
      <x:c r="D462" s="13" t="n">
        <x:v>223.73</x:v>
      </x:c>
    </x:row>
    <x:row r="463">
      <x:c r="A463" s="9" t="str">
        <x:v>459</x:v>
      </x:c>
      <x:c r="B463" s="9" t="str">
        <x:v>242</x:v>
      </x:c>
      <x:c r="C463" s="11" t="n">
        <x:v>46087</x:v>
      </x:c>
      <x:c r="D463" s="13" t="n">
        <x:v>1279.84</x:v>
      </x:c>
    </x:row>
    <x:row r="464">
      <x:c r="A464" s="9" t="str">
        <x:v>460</x:v>
      </x:c>
      <x:c r="B464" s="9" t="str">
        <x:v>242</x:v>
      </x:c>
      <x:c r="C464" s="11" t="n">
        <x:v>46111</x:v>
      </x:c>
      <x:c r="D464" s="13" t="n">
        <x:v>1152.59</x:v>
      </x:c>
    </x:row>
    <x:row r="465">
      <x:c r="A465" s="9" t="str">
        <x:v>461</x:v>
      </x:c>
      <x:c r="B465" s="9" t="str">
        <x:v>242</x:v>
      </x:c>
      <x:c r="C465" s="11" t="n">
        <x:v>46190</x:v>
      </x:c>
      <x:c r="D465" s="13" t="n">
        <x:v>576.66</x:v>
      </x:c>
    </x:row>
    <x:row r="466">
      <x:c r="A466" s="9" t="str">
        <x:v>462</x:v>
      </x:c>
      <x:c r="B466" s="9" t="str">
        <x:v>242</x:v>
      </x:c>
      <x:c r="C466" s="11" t="n">
        <x:v>46173</x:v>
      </x:c>
      <x:c r="D466" s="13" t="n">
        <x:v>476.77</x:v>
      </x:c>
    </x:row>
    <x:row r="467">
      <x:c r="A467" s="9" t="str">
        <x:v>463</x:v>
      </x:c>
      <x:c r="B467" s="9" t="str">
        <x:v>243</x:v>
      </x:c>
      <x:c r="C467" s="11" t="n">
        <x:v>46126</x:v>
      </x:c>
      <x:c r="D467" s="13" t="n">
        <x:v>586.33</x:v>
      </x:c>
    </x:row>
    <x:row r="468">
      <x:c r="A468" s="9" t="str">
        <x:v>464</x:v>
      </x:c>
      <x:c r="B468" s="9" t="str">
        <x:v>243</x:v>
      </x:c>
      <x:c r="C468" s="11" t="n">
        <x:v>46091</x:v>
      </x:c>
      <x:c r="D468" s="13" t="n">
        <x:v>1592.39</x:v>
      </x:c>
    </x:row>
    <x:row r="469">
      <x:c r="A469" s="9" t="str">
        <x:v>465</x:v>
      </x:c>
      <x:c r="B469" s="9" t="str">
        <x:v>244</x:v>
      </x:c>
      <x:c r="C469" s="11" t="n">
        <x:v>46156</x:v>
      </x:c>
      <x:c r="D469" s="13" t="n">
        <x:v>741.82</x:v>
      </x:c>
    </x:row>
    <x:row r="470">
      <x:c r="A470" s="9" t="str">
        <x:v>466</x:v>
      </x:c>
      <x:c r="B470" s="9" t="str">
        <x:v>244</x:v>
      </x:c>
      <x:c r="C470" s="11" t="n">
        <x:v>46183</x:v>
      </x:c>
      <x:c r="D470" s="13" t="n">
        <x:v>1923.69</x:v>
      </x:c>
    </x:row>
    <x:row r="471">
      <x:c r="A471" s="9" t="str">
        <x:v>467</x:v>
      </x:c>
      <x:c r="B471" s="9" t="str">
        <x:v>244</x:v>
      </x:c>
      <x:c r="C471" s="11" t="n">
        <x:v>46171</x:v>
      </x:c>
      <x:c r="D471" s="13" t="n">
        <x:v>1939.84</x:v>
      </x:c>
    </x:row>
    <x:row r="472">
      <x:c r="A472" s="9" t="str">
        <x:v>468</x:v>
      </x:c>
      <x:c r="B472" s="9" t="str">
        <x:v>245</x:v>
      </x:c>
      <x:c r="C472" s="11" t="n">
        <x:v>46201</x:v>
      </x:c>
      <x:c r="D472" s="13" t="n">
        <x:v>70.08</x:v>
      </x:c>
    </x:row>
    <x:row r="473">
      <x:c r="A473" s="9" t="str">
        <x:v>469</x:v>
      </x:c>
      <x:c r="B473" s="9" t="str">
        <x:v>245</x:v>
      </x:c>
      <x:c r="C473" s="11" t="n">
        <x:v>46196</x:v>
      </x:c>
      <x:c r="D473" s="13" t="n">
        <x:v>12.75</x:v>
      </x:c>
    </x:row>
    <x:row r="474">
      <x:c r="A474" s="9" t="str">
        <x:v>470</x:v>
      </x:c>
      <x:c r="B474" s="9" t="str">
        <x:v>245</x:v>
      </x:c>
      <x:c r="C474" s="11" t="n">
        <x:v>46194</x:v>
      </x:c>
      <x:c r="D474" s="13" t="n">
        <x:v>53.5</x:v>
      </x:c>
    </x:row>
    <x:row r="475">
      <x:c r="A475" s="9" t="str">
        <x:v>471</x:v>
      </x:c>
      <x:c r="B475" s="9" t="str">
        <x:v>246</x:v>
      </x:c>
      <x:c r="C475" s="11" t="n">
        <x:v>46104</x:v>
      </x:c>
      <x:c r="D475" s="13" t="n">
        <x:v>775.01</x:v>
      </x:c>
    </x:row>
    <x:row r="476">
      <x:c r="A476" s="9" t="str">
        <x:v>472</x:v>
      </x:c>
      <x:c r="B476" s="9" t="str">
        <x:v>246</x:v>
      </x:c>
      <x:c r="C476" s="11" t="n">
        <x:v>46160</x:v>
      </x:c>
      <x:c r="D476" s="13" t="n">
        <x:v>606.16</x:v>
      </x:c>
    </x:row>
    <x:row r="477">
      <x:c r="A477" s="9" t="str">
        <x:v>473</x:v>
      </x:c>
      <x:c r="B477" s="9" t="str">
        <x:v>246</x:v>
      </x:c>
      <x:c r="C477" s="11" t="n">
        <x:v>46191</x:v>
      </x:c>
      <x:c r="D477" s="13" t="n">
        <x:v>191.69</x:v>
      </x:c>
    </x:row>
    <x:row r="478">
      <x:c r="A478" s="9" t="str">
        <x:v>474</x:v>
      </x:c>
      <x:c r="B478" s="9" t="str">
        <x:v>246</x:v>
      </x:c>
      <x:c r="C478" s="11" t="n">
        <x:v>46124</x:v>
      </x:c>
      <x:c r="D478" s="13" t="n">
        <x:v>541.31</x:v>
      </x:c>
    </x:row>
    <x:row r="479">
      <x:c r="A479" s="9" t="str">
        <x:v>475</x:v>
      </x:c>
      <x:c r="B479" s="9" t="str">
        <x:v>248</x:v>
      </x:c>
      <x:c r="C479" s="11" t="n">
        <x:v>46050</x:v>
      </x:c>
      <x:c r="D479" s="13" t="n">
        <x:v>1857.78</x:v>
      </x:c>
    </x:row>
    <x:row r="480">
      <x:c r="A480" s="9" t="str">
        <x:v>476</x:v>
      </x:c>
      <x:c r="B480" s="9" t="str">
        <x:v>248</x:v>
      </x:c>
      <x:c r="C480" s="11" t="n">
        <x:v>46085</x:v>
      </x:c>
      <x:c r="D480" s="13" t="n">
        <x:v>1479.99</x:v>
      </x:c>
    </x:row>
    <x:row r="481">
      <x:c r="A481" s="9" t="str">
        <x:v>477</x:v>
      </x:c>
      <x:c r="B481" s="9" t="str">
        <x:v>248</x:v>
      </x:c>
      <x:c r="C481" s="11" t="n">
        <x:v>46118</x:v>
      </x:c>
      <x:c r="D481" s="13" t="n">
        <x:v>372.82</x:v>
      </x:c>
    </x:row>
    <x:row r="482">
      <x:c r="A482" s="9" t="str">
        <x:v>478</x:v>
      </x:c>
      <x:c r="B482" s="9" t="str">
        <x:v>248</x:v>
      </x:c>
      <x:c r="C482" s="11" t="n">
        <x:v>46171</x:v>
      </x:c>
      <x:c r="D482" s="13" t="n">
        <x:v>635.56</x:v>
      </x:c>
    </x:row>
    <x:row r="483">
      <x:c r="A483" s="9" t="str">
        <x:v>479</x:v>
      </x:c>
      <x:c r="B483" s="9" t="str">
        <x:v>249</x:v>
      </x:c>
      <x:c r="C483" s="11" t="n">
        <x:v>46203</x:v>
      </x:c>
      <x:c r="D483" s="13" t="n">
        <x:v>360.43</x:v>
      </x:c>
    </x:row>
    <x:row r="484">
      <x:c r="A484" s="9" t="str">
        <x:v>480</x:v>
      </x:c>
      <x:c r="B484" s="9" t="str">
        <x:v>249</x:v>
      </x:c>
      <x:c r="C484" s="11" t="n">
        <x:v>46198</x:v>
      </x:c>
      <x:c r="D484" s="13" t="n">
        <x:v>901.58</x:v>
      </x:c>
    </x:row>
    <x:row r="485">
      <x:c r="A485" s="9" t="str">
        <x:v>481</x:v>
      </x:c>
      <x:c r="B485" s="9" t="str">
        <x:v>250</x:v>
      </x:c>
      <x:c r="C485" s="11" t="n">
        <x:v>46171</x:v>
      </x:c>
      <x:c r="D485" s="13" t="n">
        <x:v>354.07</x:v>
      </x:c>
    </x:row>
    <x:row r="486">
      <x:c r="A486" s="9" t="str">
        <x:v>482</x:v>
      </x:c>
      <x:c r="B486" s="9" t="str">
        <x:v>250</x:v>
      </x:c>
      <x:c r="C486" s="11" t="n">
        <x:v>46164</x:v>
      </x:c>
      <x:c r="D486" s="13" t="n">
        <x:v>2410.57</x:v>
      </x:c>
    </x:row>
    <x:row r="487">
      <x:c r="A487" s="9" t="str">
        <x:v>483</x:v>
      </x:c>
      <x:c r="B487" s="9" t="str">
        <x:v>252</x:v>
      </x:c>
      <x:c r="C487" s="11" t="n">
        <x:v>46141</x:v>
      </x:c>
      <x:c r="D487" s="13" t="n">
        <x:v>1111.34</x:v>
      </x:c>
    </x:row>
    <x:row r="488">
      <x:c r="A488" s="9" t="str">
        <x:v>484</x:v>
      </x:c>
      <x:c r="B488" s="9" t="str">
        <x:v>252</x:v>
      </x:c>
      <x:c r="C488" s="11" t="n">
        <x:v>46102</x:v>
      </x:c>
      <x:c r="D488" s="13" t="n">
        <x:v>66.31</x:v>
      </x:c>
    </x:row>
    <x:row r="489">
      <x:c r="A489" s="9" t="str">
        <x:v>485</x:v>
      </x:c>
      <x:c r="B489" s="9" t="str">
        <x:v>253</x:v>
      </x:c>
      <x:c r="C489" s="11" t="n">
        <x:v>46198</x:v>
      </x:c>
      <x:c r="D489" s="13" t="n">
        <x:v>2789.59</x:v>
      </x:c>
    </x:row>
    <x:row r="490">
      <x:c r="A490" s="9" t="str">
        <x:v>486</x:v>
      </x:c>
      <x:c r="B490" s="9" t="str">
        <x:v>253</x:v>
      </x:c>
      <x:c r="C490" s="11" t="n">
        <x:v>46186</x:v>
      </x:c>
      <x:c r="D490" s="13" t="n">
        <x:v>2344.42</x:v>
      </x:c>
    </x:row>
    <x:row r="491">
      <x:c r="A491" s="9" t="str">
        <x:v>487</x:v>
      </x:c>
      <x:c r="B491" s="9" t="str">
        <x:v>253</x:v>
      </x:c>
      <x:c r="C491" s="11" t="n">
        <x:v>46200</x:v>
      </x:c>
      <x:c r="D491" s="13" t="n">
        <x:v>1604.26</x:v>
      </x:c>
    </x:row>
    <x:row r="492">
      <x:c r="A492" s="9" t="str">
        <x:v>488</x:v>
      </x:c>
      <x:c r="B492" s="9" t="str">
        <x:v>253</x:v>
      </x:c>
      <x:c r="C492" s="11" t="n">
        <x:v>46167</x:v>
      </x:c>
      <x:c r="D492" s="13" t="n">
        <x:v>701.82</x:v>
      </x:c>
    </x:row>
    <x:row r="493">
      <x:c r="A493" s="9" t="str">
        <x:v>489</x:v>
      </x:c>
      <x:c r="B493" s="9" t="str">
        <x:v>254</x:v>
      </x:c>
      <x:c r="C493" s="11" t="n">
        <x:v>46076</x:v>
      </x:c>
      <x:c r="D493" s="13" t="n">
        <x:v>820.85</x:v>
      </x:c>
    </x:row>
    <x:row r="494">
      <x:c r="A494" s="9" t="str">
        <x:v>490</x:v>
      </x:c>
      <x:c r="B494" s="9" t="str">
        <x:v>255</x:v>
      </x:c>
      <x:c r="C494" s="11" t="n">
        <x:v>46149</x:v>
      </x:c>
      <x:c r="D494" s="13" t="n">
        <x:v>709.45</x:v>
      </x:c>
    </x:row>
    <x:row r="495">
      <x:c r="A495" s="9" t="str">
        <x:v>491</x:v>
      </x:c>
      <x:c r="B495" s="9" t="str">
        <x:v>258</x:v>
      </x:c>
      <x:c r="C495" s="11" t="n">
        <x:v>46169</x:v>
      </x:c>
      <x:c r="D495" s="13" t="n">
        <x:v>1029.47</x:v>
      </x:c>
    </x:row>
    <x:row r="496">
      <x:c r="A496" s="9" t="str">
        <x:v>492</x:v>
      </x:c>
      <x:c r="B496" s="9" t="str">
        <x:v>258</x:v>
      </x:c>
      <x:c r="C496" s="11" t="n">
        <x:v>46198</x:v>
      </x:c>
      <x:c r="D496" s="13" t="n">
        <x:v>1675.96</x:v>
      </x:c>
    </x:row>
    <x:row r="497">
      <x:c r="A497" s="9" t="str">
        <x:v>493</x:v>
      </x:c>
      <x:c r="B497" s="9" t="str">
        <x:v>258</x:v>
      </x:c>
      <x:c r="C497" s="11" t="n">
        <x:v>46058</x:v>
      </x:c>
      <x:c r="D497" s="13" t="n">
        <x:v>2692.02</x:v>
      </x:c>
    </x:row>
    <x:row r="498">
      <x:c r="A498" s="9" t="str">
        <x:v>494</x:v>
      </x:c>
      <x:c r="B498" s="9" t="str">
        <x:v>259</x:v>
      </x:c>
      <x:c r="C498" s="11" t="n">
        <x:v>46158</x:v>
      </x:c>
      <x:c r="D498" s="13" t="n">
        <x:v>1063.4</x:v>
      </x:c>
    </x:row>
    <x:row r="499">
      <x:c r="A499" s="9" t="str">
        <x:v>495</x:v>
      </x:c>
      <x:c r="B499" s="9" t="str">
        <x:v>259</x:v>
      </x:c>
      <x:c r="C499" s="11" t="n">
        <x:v>46086</x:v>
      </x:c>
      <x:c r="D499" s="13" t="n">
        <x:v>388.31</x:v>
      </x:c>
    </x:row>
    <x:row r="500">
      <x:c r="A500" s="9" t="str">
        <x:v>496</x:v>
      </x:c>
      <x:c r="B500" s="9" t="str">
        <x:v>259</x:v>
      </x:c>
      <x:c r="C500" s="11" t="n">
        <x:v>46153</x:v>
      </x:c>
      <x:c r="D500" s="13" t="n">
        <x:v>1066.01</x:v>
      </x:c>
    </x:row>
    <x:row r="501">
      <x:c r="A501" s="9" t="str">
        <x:v>497</x:v>
      </x:c>
      <x:c r="B501" s="9" t="str">
        <x:v>260</x:v>
      </x:c>
      <x:c r="C501" s="11" t="n">
        <x:v>46190</x:v>
      </x:c>
      <x:c r="D501" s="13" t="n">
        <x:v>85.71</x:v>
      </x:c>
    </x:row>
    <x:row r="502">
      <x:c r="A502" s="9" t="str">
        <x:v>498</x:v>
      </x:c>
      <x:c r="B502" s="9" t="str">
        <x:v>261</x:v>
      </x:c>
      <x:c r="C502" s="11" t="n">
        <x:v>46177</x:v>
      </x:c>
      <x:c r="D502" s="13" t="n">
        <x:v>252.43</x:v>
      </x:c>
    </x:row>
    <x:row r="503">
      <x:c r="A503" s="9" t="str">
        <x:v>499</x:v>
      </x:c>
      <x:c r="B503" s="9" t="str">
        <x:v>261</x:v>
      </x:c>
      <x:c r="C503" s="11" t="n">
        <x:v>46149</x:v>
      </x:c>
      <x:c r="D503" s="13" t="n">
        <x:v>83.57</x:v>
      </x:c>
    </x:row>
    <x:row r="504">
      <x:c r="A504" s="9" t="str">
        <x:v>500</x:v>
      </x:c>
      <x:c r="B504" s="9" t="str">
        <x:v>261</x:v>
      </x:c>
      <x:c r="C504" s="11" t="n">
        <x:v>46148</x:v>
      </x:c>
      <x:c r="D504" s="13" t="n">
        <x:v>269.26</x:v>
      </x:c>
    </x:row>
    <x:row r="505">
      <x:c r="A505" s="9" t="str">
        <x:v>501</x:v>
      </x:c>
      <x:c r="B505" s="9" t="str">
        <x:v>261</x:v>
      </x:c>
      <x:c r="C505" s="11" t="n">
        <x:v>46164</x:v>
      </x:c>
      <x:c r="D505" s="13" t="n">
        <x:v>60.47</x:v>
      </x:c>
    </x:row>
    <x:row r="506">
      <x:c r="A506" s="9" t="str">
        <x:v>502</x:v>
      </x:c>
      <x:c r="B506" s="9" t="str">
        <x:v>264</x:v>
      </x:c>
      <x:c r="C506" s="11" t="n">
        <x:v>46110</x:v>
      </x:c>
      <x:c r="D506" s="13" t="n">
        <x:v>137.7</x:v>
      </x:c>
    </x:row>
    <x:row r="507">
      <x:c r="A507" s="9" t="str">
        <x:v>503</x:v>
      </x:c>
      <x:c r="B507" s="9" t="str">
        <x:v>264</x:v>
      </x:c>
      <x:c r="C507" s="11" t="n">
        <x:v>46171</x:v>
      </x:c>
      <x:c r="D507" s="13" t="n">
        <x:v>774.57</x:v>
      </x:c>
    </x:row>
    <x:row r="508">
      <x:c r="A508" s="9" t="str">
        <x:v>504</x:v>
      </x:c>
      <x:c r="B508" s="9" t="str">
        <x:v>265</x:v>
      </x:c>
      <x:c r="C508" s="11" t="n">
        <x:v>46146</x:v>
      </x:c>
      <x:c r="D508" s="13" t="n">
        <x:v>217.23</x:v>
      </x:c>
    </x:row>
    <x:row r="509">
      <x:c r="A509" s="9" t="str">
        <x:v>505</x:v>
      </x:c>
      <x:c r="B509" s="9" t="str">
        <x:v>265</x:v>
      </x:c>
      <x:c r="C509" s="11" t="n">
        <x:v>46161</x:v>
      </x:c>
      <x:c r="D509" s="13" t="n">
        <x:v>187.9</x:v>
      </x:c>
    </x:row>
    <x:row r="510">
      <x:c r="A510" s="9" t="str">
        <x:v>506</x:v>
      </x:c>
      <x:c r="B510" s="9" t="str">
        <x:v>266</x:v>
      </x:c>
      <x:c r="C510" s="11" t="n">
        <x:v>46113</x:v>
      </x:c>
      <x:c r="D510" s="13" t="n">
        <x:v>550</x:v>
      </x:c>
    </x:row>
    <x:row r="511">
      <x:c r="A511" s="9" t="str">
        <x:v>507</x:v>
      </x:c>
      <x:c r="B511" s="9" t="str">
        <x:v>266</x:v>
      </x:c>
      <x:c r="C511" s="11" t="n">
        <x:v>46052</x:v>
      </x:c>
      <x:c r="D511" s="13" t="n">
        <x:v>223.68</x:v>
      </x:c>
    </x:row>
    <x:row r="512">
      <x:c r="A512" s="9" t="str">
        <x:v>508</x:v>
      </x:c>
      <x:c r="B512" s="9" t="str">
        <x:v>266</x:v>
      </x:c>
      <x:c r="C512" s="11" t="n">
        <x:v>46065</x:v>
      </x:c>
      <x:c r="D512" s="13" t="n">
        <x:v>295.57</x:v>
      </x:c>
    </x:row>
    <x:row r="513">
      <x:c r="A513" s="9" t="str">
        <x:v>509</x:v>
      </x:c>
      <x:c r="B513" s="9" t="str">
        <x:v>267</x:v>
      </x:c>
      <x:c r="C513" s="11" t="n">
        <x:v>46130</x:v>
      </x:c>
      <x:c r="D513" s="13" t="n">
        <x:v>47.69</x:v>
      </x:c>
    </x:row>
    <x:row r="514">
      <x:c r="A514" s="9" t="str">
        <x:v>510</x:v>
      </x:c>
      <x:c r="B514" s="9" t="str">
        <x:v>267</x:v>
      </x:c>
      <x:c r="C514" s="11" t="n">
        <x:v>46131</x:v>
      </x:c>
      <x:c r="D514" s="13" t="n">
        <x:v>301.44</x:v>
      </x:c>
    </x:row>
    <x:row r="515">
      <x:c r="A515" s="9" t="str">
        <x:v>511</x:v>
      </x:c>
      <x:c r="B515" s="9" t="str">
        <x:v>270</x:v>
      </x:c>
      <x:c r="C515" s="11" t="n">
        <x:v>46184</x:v>
      </x:c>
      <x:c r="D515" s="13" t="n">
        <x:v>46.65</x:v>
      </x:c>
    </x:row>
    <x:row r="516">
      <x:c r="A516" s="9" t="str">
        <x:v>512</x:v>
      </x:c>
      <x:c r="B516" s="9" t="str">
        <x:v>270</x:v>
      </x:c>
      <x:c r="C516" s="11" t="n">
        <x:v>46196</x:v>
      </x:c>
      <x:c r="D516" s="13" t="n">
        <x:v>578.84</x:v>
      </x:c>
    </x:row>
    <x:row r="517">
      <x:c r="A517" s="9" t="str">
        <x:v>513</x:v>
      </x:c>
      <x:c r="B517" s="9" t="str">
        <x:v>270</x:v>
      </x:c>
      <x:c r="C517" s="11" t="n">
        <x:v>46169</x:v>
      </x:c>
      <x:c r="D517" s="13" t="n">
        <x:v>512.13</x:v>
      </x:c>
    </x:row>
    <x:row r="518">
      <x:c r="A518" s="9" t="str">
        <x:v>514</x:v>
      </x:c>
      <x:c r="B518" s="9" t="str">
        <x:v>270</x:v>
      </x:c>
      <x:c r="C518" s="11" t="n">
        <x:v>46199</x:v>
      </x:c>
      <x:c r="D518" s="13" t="n">
        <x:v>460.29</x:v>
      </x:c>
    </x:row>
    <x:row r="519">
      <x:c r="A519" s="9" t="str">
        <x:v>515</x:v>
      </x:c>
      <x:c r="B519" s="9" t="str">
        <x:v>271</x:v>
      </x:c>
      <x:c r="C519" s="11" t="n">
        <x:v>46183</x:v>
      </x:c>
      <x:c r="D519" s="13" t="n">
        <x:v>172.02</x:v>
      </x:c>
    </x:row>
    <x:row r="520">
      <x:c r="A520" s="9" t="str">
        <x:v>516</x:v>
      </x:c>
      <x:c r="B520" s="9" t="str">
        <x:v>271</x:v>
      </x:c>
      <x:c r="C520" s="11" t="n">
        <x:v>46187</x:v>
      </x:c>
      <x:c r="D520" s="13" t="n">
        <x:v>154.59</x:v>
      </x:c>
    </x:row>
    <x:row r="521">
      <x:c r="A521" s="9" t="str">
        <x:v>517</x:v>
      </x:c>
      <x:c r="B521" s="9" t="str">
        <x:v>272</x:v>
      </x:c>
      <x:c r="C521" s="11" t="n">
        <x:v>46149</x:v>
      </x:c>
      <x:c r="D521" s="13" t="n">
        <x:v>195.86</x:v>
      </x:c>
    </x:row>
    <x:row r="522">
      <x:c r="A522" s="9" t="str">
        <x:v>518</x:v>
      </x:c>
      <x:c r="B522" s="9" t="str">
        <x:v>272</x:v>
      </x:c>
      <x:c r="C522" s="11" t="n">
        <x:v>46112</x:v>
      </x:c>
      <x:c r="D522" s="13" t="n">
        <x:v>403.47</x:v>
      </x:c>
    </x:row>
    <x:row r="523">
      <x:c r="A523" s="9" t="str">
        <x:v>519</x:v>
      </x:c>
      <x:c r="B523" s="9" t="str">
        <x:v>272</x:v>
      </x:c>
      <x:c r="C523" s="11" t="n">
        <x:v>46146</x:v>
      </x:c>
      <x:c r="D523" s="13" t="n">
        <x:v>460.26</x:v>
      </x:c>
    </x:row>
    <x:row r="524">
      <x:c r="A524" s="9" t="str">
        <x:v>520</x:v>
      </x:c>
      <x:c r="B524" s="9" t="str">
        <x:v>273</x:v>
      </x:c>
      <x:c r="C524" s="11" t="n">
        <x:v>46150</x:v>
      </x:c>
      <x:c r="D524" s="13" t="n">
        <x:v>1771.85</x:v>
      </x:c>
    </x:row>
    <x:row r="525">
      <x:c r="A525" s="9" t="str">
        <x:v>521</x:v>
      </x:c>
      <x:c r="B525" s="9" t="str">
        <x:v>273</x:v>
      </x:c>
      <x:c r="C525" s="11" t="n">
        <x:v>46172</x:v>
      </x:c>
      <x:c r="D525" s="13" t="n">
        <x:v>1049.05</x:v>
      </x:c>
    </x:row>
    <x:row r="526">
      <x:c r="A526" s="9" t="str">
        <x:v>522</x:v>
      </x:c>
      <x:c r="B526" s="9" t="str">
        <x:v>273</x:v>
      </x:c>
      <x:c r="C526" s="11" t="n">
        <x:v>46186</x:v>
      </x:c>
      <x:c r="D526" s="13" t="n">
        <x:v>1380.12</x:v>
      </x:c>
    </x:row>
    <x:row r="527">
      <x:c r="A527" s="9" t="str">
        <x:v>523</x:v>
      </x:c>
      <x:c r="B527" s="9" t="str">
        <x:v>274</x:v>
      </x:c>
      <x:c r="C527" s="11" t="n">
        <x:v>46168</x:v>
      </x:c>
      <x:c r="D527" s="13" t="n">
        <x:v>140.47</x:v>
      </x:c>
    </x:row>
    <x:row r="528">
      <x:c r="A528" s="9" t="str">
        <x:v>524</x:v>
      </x:c>
      <x:c r="B528" s="9" t="str">
        <x:v>274</x:v>
      </x:c>
      <x:c r="C528" s="11" t="n">
        <x:v>46201</x:v>
      </x:c>
      <x:c r="D528" s="13" t="n">
        <x:v>141.24</x:v>
      </x:c>
    </x:row>
    <x:row r="529">
      <x:c r="A529" s="9" t="str">
        <x:v>525</x:v>
      </x:c>
      <x:c r="B529" s="9" t="str">
        <x:v>275</x:v>
      </x:c>
      <x:c r="C529" s="11" t="n">
        <x:v>46154</x:v>
      </x:c>
      <x:c r="D529" s="13" t="n">
        <x:v>576.42</x:v>
      </x:c>
    </x:row>
    <x:row r="530">
      <x:c r="A530" s="9" t="str">
        <x:v>526</x:v>
      </x:c>
      <x:c r="B530" s="9" t="str">
        <x:v>275</x:v>
      </x:c>
      <x:c r="C530" s="11" t="n">
        <x:v>46178</x:v>
      </x:c>
      <x:c r="D530" s="13" t="n">
        <x:v>1324.33</x:v>
      </x:c>
    </x:row>
    <x:row r="531">
      <x:c r="A531" s="9" t="str">
        <x:v>527</x:v>
      </x:c>
      <x:c r="B531" s="9" t="str">
        <x:v>275</x:v>
      </x:c>
      <x:c r="C531" s="11" t="n">
        <x:v>46161</x:v>
      </x:c>
      <x:c r="D531" s="13" t="n">
        <x:v>2617.14</x:v>
      </x:c>
    </x:row>
    <x:row r="532">
      <x:c r="A532" s="9" t="str">
        <x:v>528</x:v>
      </x:c>
      <x:c r="B532" s="9" t="str">
        <x:v>276</x:v>
      </x:c>
      <x:c r="C532" s="11" t="n">
        <x:v>46169</x:v>
      </x:c>
      <x:c r="D532" s="13" t="n">
        <x:v>60.04</x:v>
      </x:c>
    </x:row>
    <x:row r="533">
      <x:c r="A533" s="9" t="str">
        <x:v>529</x:v>
      </x:c>
      <x:c r="B533" s="9" t="str">
        <x:v>276</x:v>
      </x:c>
      <x:c r="C533" s="11" t="n">
        <x:v>46198</x:v>
      </x:c>
      <x:c r="D533" s="13" t="n">
        <x:v>41.56</x:v>
      </x:c>
    </x:row>
    <x:row r="534">
      <x:c r="A534" s="9" t="str">
        <x:v>530</x:v>
      </x:c>
      <x:c r="B534" s="9" t="str">
        <x:v>277</x:v>
      </x:c>
      <x:c r="C534" s="11" t="n">
        <x:v>46181</x:v>
      </x:c>
      <x:c r="D534" s="13" t="n">
        <x:v>1295.16</x:v>
      </x:c>
    </x:row>
    <x:row r="535">
      <x:c r="A535" s="9" t="str">
        <x:v>531</x:v>
      </x:c>
      <x:c r="B535" s="9" t="str">
        <x:v>277</x:v>
      </x:c>
      <x:c r="C535" s="11" t="n">
        <x:v>46183</x:v>
      </x:c>
      <x:c r="D535" s="13" t="n">
        <x:v>695.93</x:v>
      </x:c>
    </x:row>
    <x:row r="536">
      <x:c r="A536" s="9" t="str">
        <x:v>532</x:v>
      </x:c>
      <x:c r="B536" s="9" t="str">
        <x:v>277</x:v>
      </x:c>
      <x:c r="C536" s="11" t="n">
        <x:v>46200</x:v>
      </x:c>
      <x:c r="D536" s="13" t="n">
        <x:v>910.76</x:v>
      </x:c>
    </x:row>
    <x:row r="537">
      <x:c r="A537" s="9" t="str">
        <x:v>533</x:v>
      </x:c>
      <x:c r="B537" s="9" t="str">
        <x:v>278</x:v>
      </x:c>
      <x:c r="C537" s="11" t="n">
        <x:v>46162</x:v>
      </x:c>
      <x:c r="D537" s="13" t="n">
        <x:v>519.97</x:v>
      </x:c>
    </x:row>
    <x:row r="538">
      <x:c r="A538" s="9" t="str">
        <x:v>534</x:v>
      </x:c>
      <x:c r="B538" s="9" t="str">
        <x:v>278</x:v>
      </x:c>
      <x:c r="C538" s="11" t="n">
        <x:v>46172</x:v>
      </x:c>
      <x:c r="D538" s="13" t="n">
        <x:v>153.36</x:v>
      </x:c>
    </x:row>
    <x:row r="539">
      <x:c r="A539" s="9" t="str">
        <x:v>535</x:v>
      </x:c>
      <x:c r="B539" s="9" t="str">
        <x:v>280</x:v>
      </x:c>
      <x:c r="C539" s="11" t="n">
        <x:v>46134</x:v>
      </x:c>
      <x:c r="D539" s="13" t="n">
        <x:v>946.81</x:v>
      </x:c>
    </x:row>
    <x:row r="540">
      <x:c r="A540" s="9" t="str">
        <x:v>536</x:v>
      </x:c>
      <x:c r="B540" s="9" t="str">
        <x:v>280</x:v>
      </x:c>
      <x:c r="C540" s="11" t="n">
        <x:v>46043</x:v>
      </x:c>
      <x:c r="D540" s="13" t="n">
        <x:v>930.83</x:v>
      </x:c>
    </x:row>
    <x:row r="541">
      <x:c r="A541" s="9" t="str">
        <x:v>537</x:v>
      </x:c>
      <x:c r="B541" s="9" t="str">
        <x:v>281</x:v>
      </x:c>
      <x:c r="C541" s="11" t="n">
        <x:v>46169</x:v>
      </x:c>
      <x:c r="D541" s="13" t="n">
        <x:v>107.98</x:v>
      </x:c>
    </x:row>
    <x:row r="542">
      <x:c r="A542" s="9" t="str">
        <x:v>538</x:v>
      </x:c>
      <x:c r="B542" s="9" t="str">
        <x:v>281</x:v>
      </x:c>
      <x:c r="C542" s="11" t="n">
        <x:v>46160</x:v>
      </x:c>
      <x:c r="D542" s="13" t="n">
        <x:v>1734.29</x:v>
      </x:c>
    </x:row>
    <x:row r="543">
      <x:c r="A543" s="9" t="str">
        <x:v>539</x:v>
      </x:c>
      <x:c r="B543" s="9" t="str">
        <x:v>282</x:v>
      </x:c>
      <x:c r="C543" s="11" t="n">
        <x:v>46172</x:v>
      </x:c>
      <x:c r="D543" s="13" t="n">
        <x:v>274.44</x:v>
      </x:c>
    </x:row>
    <x:row r="544">
      <x:c r="A544" s="9" t="str">
        <x:v>540</x:v>
      </x:c>
      <x:c r="B544" s="9" t="str">
        <x:v>282</x:v>
      </x:c>
      <x:c r="C544" s="11" t="n">
        <x:v>46118</x:v>
      </x:c>
      <x:c r="D544" s="13" t="n">
        <x:v>842.88</x:v>
      </x:c>
    </x:row>
    <x:row r="545">
      <x:c r="A545" s="9" t="str">
        <x:v>541</x:v>
      </x:c>
      <x:c r="B545" s="9" t="str">
        <x:v>282</x:v>
      </x:c>
      <x:c r="C545" s="11" t="n">
        <x:v>46136</x:v>
      </x:c>
      <x:c r="D545" s="13" t="n">
        <x:v>712.32</x:v>
      </x:c>
    </x:row>
    <x:row r="546">
      <x:c r="A546" s="9" t="str">
        <x:v>542</x:v>
      </x:c>
      <x:c r="B546" s="9" t="str">
        <x:v>284</x:v>
      </x:c>
      <x:c r="C546" s="11" t="n">
        <x:v>46195</x:v>
      </x:c>
      <x:c r="D546" s="13" t="n">
        <x:v>361.18</x:v>
      </x:c>
    </x:row>
    <x:row r="547">
      <x:c r="A547" s="9" t="str">
        <x:v>543</x:v>
      </x:c>
      <x:c r="B547" s="9" t="str">
        <x:v>284</x:v>
      </x:c>
      <x:c r="C547" s="11" t="n">
        <x:v>46194</x:v>
      </x:c>
      <x:c r="D547" s="13" t="n">
        <x:v>708.24</x:v>
      </x:c>
    </x:row>
    <x:row r="548">
      <x:c r="A548" s="9" t="str">
        <x:v>544</x:v>
      </x:c>
      <x:c r="B548" s="9" t="str">
        <x:v>284</x:v>
      </x:c>
      <x:c r="C548" s="11" t="n">
        <x:v>46182</x:v>
      </x:c>
      <x:c r="D548" s="13" t="n">
        <x:v>1018.09</x:v>
      </x:c>
    </x:row>
    <x:row r="549">
      <x:c r="A549" s="9" t="str">
        <x:v>545</x:v>
      </x:c>
      <x:c r="B549" s="9" t="str">
        <x:v>285</x:v>
      </x:c>
      <x:c r="C549" s="11" t="n">
        <x:v>46203</x:v>
      </x:c>
      <x:c r="D549" s="13" t="n">
        <x:v>207.22</x:v>
      </x:c>
    </x:row>
    <x:row r="550">
      <x:c r="A550" s="9" t="str">
        <x:v>546</x:v>
      </x:c>
      <x:c r="B550" s="9" t="str">
        <x:v>286</x:v>
      </x:c>
      <x:c r="C550" s="11" t="n">
        <x:v>46091</x:v>
      </x:c>
      <x:c r="D550" s="13" t="n">
        <x:v>261.54</x:v>
      </x:c>
    </x:row>
    <x:row r="551">
      <x:c r="A551" s="9" t="str">
        <x:v>547</x:v>
      </x:c>
      <x:c r="B551" s="9" t="str">
        <x:v>289</x:v>
      </x:c>
      <x:c r="C551" s="11" t="n">
        <x:v>46177</x:v>
      </x:c>
      <x:c r="D551" s="13" t="n">
        <x:v>330.54</x:v>
      </x:c>
    </x:row>
    <x:row r="552">
      <x:c r="A552" s="9" t="str">
        <x:v>548</x:v>
      </x:c>
      <x:c r="B552" s="9" t="str">
        <x:v>289</x:v>
      </x:c>
      <x:c r="C552" s="11" t="n">
        <x:v>46194</x:v>
      </x:c>
      <x:c r="D552" s="13" t="n">
        <x:v>873.2</x:v>
      </x:c>
    </x:row>
    <x:row r="553">
      <x:c r="A553" s="9" t="str">
        <x:v>549</x:v>
      </x:c>
      <x:c r="B553" s="9" t="str">
        <x:v>289</x:v>
      </x:c>
      <x:c r="C553" s="11" t="n">
        <x:v>46172</x:v>
      </x:c>
      <x:c r="D553" s="13" t="n">
        <x:v>1032.23</x:v>
      </x:c>
    </x:row>
    <x:row r="554">
      <x:c r="A554" s="9" t="str">
        <x:v>550</x:v>
      </x:c>
      <x:c r="B554" s="9" t="str">
        <x:v>289</x:v>
      </x:c>
      <x:c r="C554" s="11" t="n">
        <x:v>46170</x:v>
      </x:c>
      <x:c r="D554" s="13" t="n">
        <x:v>1118.52</x:v>
      </x:c>
    </x:row>
    <x:row r="555">
      <x:c r="A555" s="9" t="str">
        <x:v>551</x:v>
      </x:c>
      <x:c r="B555" s="9" t="str">
        <x:v>293</x:v>
      </x:c>
      <x:c r="C555" s="11" t="n">
        <x:v>46175</x:v>
      </x:c>
      <x:c r="D555" s="13" t="n">
        <x:v>1890.58</x:v>
      </x:c>
    </x:row>
    <x:row r="556">
      <x:c r="A556" s="9" t="str">
        <x:v>552</x:v>
      </x:c>
      <x:c r="B556" s="9" t="str">
        <x:v>293</x:v>
      </x:c>
      <x:c r="C556" s="11" t="n">
        <x:v>46200</x:v>
      </x:c>
      <x:c r="D556" s="13" t="n">
        <x:v>2308.37</x:v>
      </x:c>
    </x:row>
    <x:row r="557">
      <x:c r="A557" s="9" t="str">
        <x:v>553</x:v>
      </x:c>
      <x:c r="B557" s="9" t="str">
        <x:v>294</x:v>
      </x:c>
      <x:c r="C557" s="11" t="n">
        <x:v>46147</x:v>
      </x:c>
      <x:c r="D557" s="13" t="n">
        <x:v>1723.2</x:v>
      </x:c>
    </x:row>
    <x:row r="558">
      <x:c r="A558" s="9" t="str">
        <x:v>554</x:v>
      </x:c>
      <x:c r="B558" s="9" t="str">
        <x:v>294</x:v>
      </x:c>
      <x:c r="C558" s="11" t="n">
        <x:v>46186</x:v>
      </x:c>
      <x:c r="D558" s="13" t="n">
        <x:v>153.39</x:v>
      </x:c>
    </x:row>
    <x:row r="559">
      <x:c r="A559" s="9" t="str">
        <x:v>555</x:v>
      </x:c>
      <x:c r="B559" s="9" t="str">
        <x:v>294</x:v>
      </x:c>
      <x:c r="C559" s="11" t="n">
        <x:v>46171</x:v>
      </x:c>
      <x:c r="D559" s="13" t="n">
        <x:v>283.14</x:v>
      </x:c>
    </x:row>
    <x:row r="560">
      <x:c r="A560" s="9" t="str">
        <x:v>556</x:v>
      </x:c>
      <x:c r="B560" s="9" t="str">
        <x:v>294</x:v>
      </x:c>
      <x:c r="C560" s="11" t="n">
        <x:v>46169</x:v>
      </x:c>
      <x:c r="D560" s="13" t="n">
        <x:v>973.32</x:v>
      </x:c>
    </x:row>
    <x:row r="561">
      <x:c r="A561" s="9" t="str">
        <x:v>557</x:v>
      </x:c>
      <x:c r="B561" s="9" t="str">
        <x:v>295</x:v>
      </x:c>
      <x:c r="C561" s="11" t="n">
        <x:v>46100</x:v>
      </x:c>
      <x:c r="D561" s="13" t="n">
        <x:v>693.35</x:v>
      </x:c>
    </x:row>
    <x:row r="562">
      <x:c r="A562" s="9" t="str">
        <x:v>558</x:v>
      </x:c>
      <x:c r="B562" s="9" t="str">
        <x:v>296</x:v>
      </x:c>
      <x:c r="C562" s="11" t="n">
        <x:v>46132</x:v>
      </x:c>
      <x:c r="D562" s="13" t="n">
        <x:v>42.62</x:v>
      </x:c>
    </x:row>
    <x:row r="563">
      <x:c r="A563" s="9" t="str">
        <x:v>559</x:v>
      </x:c>
      <x:c r="B563" s="9" t="str">
        <x:v>297</x:v>
      </x:c>
      <x:c r="C563" s="11" t="n">
        <x:v>46196</x:v>
      </x:c>
      <x:c r="D563" s="13" t="n">
        <x:v>387.43</x:v>
      </x:c>
    </x:row>
    <x:row r="564">
      <x:c r="A564" s="9" t="str">
        <x:v>560</x:v>
      </x:c>
      <x:c r="B564" s="9" t="str">
        <x:v>297</x:v>
      </x:c>
      <x:c r="C564" s="11" t="n">
        <x:v>46173</x:v>
      </x:c>
      <x:c r="D564" s="13" t="n">
        <x:v>657.71</x:v>
      </x:c>
    </x:row>
    <x:row r="565">
      <x:c r="A565" s="9" t="str">
        <x:v>561</x:v>
      </x:c>
      <x:c r="B565" s="9" t="str">
        <x:v>298</x:v>
      </x:c>
      <x:c r="C565" s="11" t="n">
        <x:v>46132</x:v>
      </x:c>
      <x:c r="D565" s="13" t="n">
        <x:v>47.71</x:v>
      </x:c>
    </x:row>
    <x:row r="566">
      <x:c r="A566" s="9" t="str">
        <x:v>562</x:v>
      </x:c>
      <x:c r="B566" s="9" t="str">
        <x:v>299</x:v>
      </x:c>
      <x:c r="C566" s="11" t="n">
        <x:v>46165</x:v>
      </x:c>
      <x:c r="D566" s="13" t="n">
        <x:v>1015.31</x:v>
      </x:c>
    </x:row>
    <x:row r="567">
      <x:c r="A567" s="9" t="str">
        <x:v>563</x:v>
      </x:c>
      <x:c r="B567" s="9" t="str">
        <x:v>300</x:v>
      </x:c>
      <x:c r="C567" s="11" t="n">
        <x:v>46128</x:v>
      </x:c>
      <x:c r="D567" s="13" t="n">
        <x:v>64.98</x:v>
      </x:c>
    </x:row>
    <x:row r="568">
      <x:c r="A568" s="9" t="str">
        <x:v>564</x:v>
      </x:c>
      <x:c r="B568" s="9" t="str">
        <x:v>300</x:v>
      </x:c>
      <x:c r="C568" s="11" t="n">
        <x:v>46177</x:v>
      </x:c>
      <x:c r="D568" s="13" t="n">
        <x:v>20.83</x:v>
      </x:c>
    </x:row>
    <x:row r="569">
      <x:c r="A569" s="9" t="str">
        <x:v>565</x:v>
      </x:c>
      <x:c r="B569" s="9" t="str">
        <x:v>300</x:v>
      </x:c>
      <x:c r="C569" s="11" t="n">
        <x:v>46182</x:v>
      </x:c>
      <x:c r="D569" s="13" t="n">
        <x:v>13.36</x:v>
      </x:c>
    </x:row>
    <x:row r="570">
      <x:c r="A570" s="9" t="str">
        <x:v>566</x:v>
      </x:c>
      <x:c r="B570" s="9" t="str">
        <x:v>301</x:v>
      </x:c>
      <x:c r="C570" s="11" t="n">
        <x:v>46151</x:v>
      </x:c>
      <x:c r="D570" s="13" t="n">
        <x:v>577.44</x:v>
      </x:c>
    </x:row>
    <x:row r="571">
      <x:c r="A571" s="9" t="str">
        <x:v>567</x:v>
      </x:c>
      <x:c r="B571" s="9" t="str">
        <x:v>301</x:v>
      </x:c>
      <x:c r="C571" s="11" t="n">
        <x:v>46149</x:v>
      </x:c>
      <x:c r="D571" s="13" t="n">
        <x:v>351.31</x:v>
      </x:c>
    </x:row>
    <x:row r="572">
      <x:c r="A572" s="9" t="str">
        <x:v>568</x:v>
      </x:c>
      <x:c r="B572" s="9" t="str">
        <x:v>301</x:v>
      </x:c>
      <x:c r="C572" s="11" t="n">
        <x:v>46144</x:v>
      </x:c>
      <x:c r="D572" s="13" t="n">
        <x:v>420.6</x:v>
      </x:c>
    </x:row>
    <x:row r="573">
      <x:c r="A573" s="9" t="str">
        <x:v>569</x:v>
      </x:c>
      <x:c r="B573" s="9" t="str">
        <x:v>301</x:v>
      </x:c>
      <x:c r="C573" s="11" t="n">
        <x:v>46173</x:v>
      </x:c>
      <x:c r="D573" s="13" t="n">
        <x:v>177.6</x:v>
      </x:c>
    </x:row>
    <x:row r="574">
      <x:c r="A574" s="9" t="str">
        <x:v>570</x:v>
      </x:c>
      <x:c r="B574" s="9" t="str">
        <x:v>302</x:v>
      </x:c>
      <x:c r="C574" s="11" t="n">
        <x:v>46184</x:v>
      </x:c>
      <x:c r="D574" s="13" t="n">
        <x:v>1664.35</x:v>
      </x:c>
    </x:row>
    <x:row r="575">
      <x:c r="A575" s="9" t="str">
        <x:v>571</x:v>
      </x:c>
      <x:c r="B575" s="9" t="str">
        <x:v>303</x:v>
      </x:c>
      <x:c r="C575" s="11" t="n">
        <x:v>46187</x:v>
      </x:c>
      <x:c r="D575" s="13" t="n">
        <x:v>944.59</x:v>
      </x:c>
    </x:row>
    <x:row r="576">
      <x:c r="A576" s="9" t="str">
        <x:v>572</x:v>
      </x:c>
      <x:c r="B576" s="9" t="str">
        <x:v>303</x:v>
      </x:c>
      <x:c r="C576" s="11" t="n">
        <x:v>46173</x:v>
      </x:c>
      <x:c r="D576" s="13" t="n">
        <x:v>1480.24</x:v>
      </x:c>
    </x:row>
    <x:row r="577">
      <x:c r="A577" s="9" t="str">
        <x:v>573</x:v>
      </x:c>
      <x:c r="B577" s="9" t="str">
        <x:v>303</x:v>
      </x:c>
      <x:c r="C577" s="11" t="n">
        <x:v>46173</x:v>
      </x:c>
      <x:c r="D577" s="13" t="n">
        <x:v>1209.98</x:v>
      </x:c>
    </x:row>
    <x:row r="578">
      <x:c r="A578" s="9" t="str">
        <x:v>574</x:v>
      </x:c>
      <x:c r="B578" s="9" t="str">
        <x:v>304</x:v>
      </x:c>
      <x:c r="C578" s="11" t="n">
        <x:v>46103</x:v>
      </x:c>
      <x:c r="D578" s="13" t="n">
        <x:v>246.78</x:v>
      </x:c>
    </x:row>
    <x:row r="579">
      <x:c r="A579" s="9" t="str">
        <x:v>575</x:v>
      </x:c>
      <x:c r="B579" s="9" t="str">
        <x:v>304</x:v>
      </x:c>
      <x:c r="C579" s="11" t="n">
        <x:v>46129</x:v>
      </x:c>
      <x:c r="D579" s="13" t="n">
        <x:v>676.81</x:v>
      </x:c>
    </x:row>
    <x:row r="580">
      <x:c r="A580" s="9" t="str">
        <x:v>576</x:v>
      </x:c>
      <x:c r="B580" s="9" t="str">
        <x:v>306</x:v>
      </x:c>
      <x:c r="C580" s="11" t="n">
        <x:v>46078</x:v>
      </x:c>
      <x:c r="D580" s="13" t="n">
        <x:v>349</x:v>
      </x:c>
    </x:row>
    <x:row r="581">
      <x:c r="A581" s="9" t="str">
        <x:v>577</x:v>
      </x:c>
      <x:c r="B581" s="9" t="str">
        <x:v>306</x:v>
      </x:c>
      <x:c r="C581" s="11" t="n">
        <x:v>46188</x:v>
      </x:c>
      <x:c r="D581" s="13" t="n">
        <x:v>137.61</x:v>
      </x:c>
    </x:row>
    <x:row r="582">
      <x:c r="A582" s="9" t="str">
        <x:v>578</x:v>
      </x:c>
      <x:c r="B582" s="9" t="str">
        <x:v>306</x:v>
      </x:c>
      <x:c r="C582" s="11" t="n">
        <x:v>46106</x:v>
      </x:c>
      <x:c r="D582" s="13" t="n">
        <x:v>751.74</x:v>
      </x:c>
    </x:row>
    <x:row r="583">
      <x:c r="A583" s="9" t="str">
        <x:v>579</x:v>
      </x:c>
      <x:c r="B583" s="9" t="str">
        <x:v>306</x:v>
      </x:c>
      <x:c r="C583" s="11" t="n">
        <x:v>46042</x:v>
      </x:c>
      <x:c r="D583" s="13" t="n">
        <x:v>155.58</x:v>
      </x:c>
    </x:row>
    <x:row r="584">
      <x:c r="A584" s="9" t="str">
        <x:v>580</x:v>
      </x:c>
      <x:c r="B584" s="9" t="str">
        <x:v>311</x:v>
      </x:c>
      <x:c r="C584" s="11" t="n">
        <x:v>46172</x:v>
      </x:c>
      <x:c r="D584" s="13" t="n">
        <x:v>704.87</x:v>
      </x:c>
    </x:row>
    <x:row r="585">
      <x:c r="A585" s="9" t="str">
        <x:v>581</x:v>
      </x:c>
      <x:c r="B585" s="9" t="str">
        <x:v>311</x:v>
      </x:c>
      <x:c r="C585" s="11" t="n">
        <x:v>46156</x:v>
      </x:c>
      <x:c r="D585" s="13" t="n">
        <x:v>500.71</x:v>
      </x:c>
    </x:row>
    <x:row r="586">
      <x:c r="A586" s="9" t="str">
        <x:v>582</x:v>
      </x:c>
      <x:c r="B586" s="9" t="str">
        <x:v>311</x:v>
      </x:c>
      <x:c r="C586" s="11" t="n">
        <x:v>46139</x:v>
      </x:c>
      <x:c r="D586" s="13" t="n">
        <x:v>495.19</x:v>
      </x:c>
    </x:row>
    <x:row r="587">
      <x:c r="A587" s="9" t="str">
        <x:v>583</x:v>
      </x:c>
      <x:c r="B587" s="9" t="str">
        <x:v>312</x:v>
      </x:c>
      <x:c r="C587" s="11" t="n">
        <x:v>46164</x:v>
      </x:c>
      <x:c r="D587" s="13" t="n">
        <x:v>2119.31</x:v>
      </x:c>
    </x:row>
    <x:row r="588">
      <x:c r="A588" s="9" t="str">
        <x:v>584</x:v>
      </x:c>
      <x:c r="B588" s="9" t="str">
        <x:v>312</x:v>
      </x:c>
      <x:c r="C588" s="11" t="n">
        <x:v>46142</x:v>
      </x:c>
      <x:c r="D588" s="13" t="n">
        <x:v>239.73</x:v>
      </x:c>
    </x:row>
    <x:row r="589">
      <x:c r="A589" s="9" t="str">
        <x:v>585</x:v>
      </x:c>
      <x:c r="B589" s="9" t="str">
        <x:v>312</x:v>
      </x:c>
      <x:c r="C589" s="11" t="n">
        <x:v>46127</x:v>
      </x:c>
      <x:c r="D589" s="13" t="n">
        <x:v>364.19</x:v>
      </x:c>
    </x:row>
    <x:row r="590">
      <x:c r="A590" s="9" t="str">
        <x:v>586</x:v>
      </x:c>
      <x:c r="B590" s="9" t="str">
        <x:v>313</x:v>
      </x:c>
      <x:c r="C590" s="11" t="n">
        <x:v>46097</x:v>
      </x:c>
      <x:c r="D590" s="13" t="n">
        <x:v>1224.84</x:v>
      </x:c>
    </x:row>
    <x:row r="591">
      <x:c r="A591" s="9" t="str">
        <x:v>587</x:v>
      </x:c>
      <x:c r="B591" s="9" t="str">
        <x:v>313</x:v>
      </x:c>
      <x:c r="C591" s="11" t="n">
        <x:v>46168</x:v>
      </x:c>
      <x:c r="D591" s="13" t="n">
        <x:v>1252.53</x:v>
      </x:c>
    </x:row>
    <x:row r="592">
      <x:c r="A592" s="9" t="str">
        <x:v>588</x:v>
      </x:c>
      <x:c r="B592" s="9" t="str">
        <x:v>314</x:v>
      </x:c>
      <x:c r="C592" s="11" t="n">
        <x:v>46167</x:v>
      </x:c>
      <x:c r="D592" s="13" t="n">
        <x:v>35.72</x:v>
      </x:c>
    </x:row>
    <x:row r="593">
      <x:c r="A593" s="9" t="str">
        <x:v>589</x:v>
      </x:c>
      <x:c r="B593" s="9" t="str">
        <x:v>314</x:v>
      </x:c>
      <x:c r="C593" s="11" t="n">
        <x:v>46114</x:v>
      </x:c>
      <x:c r="D593" s="13" t="n">
        <x:v>777.06</x:v>
      </x:c>
    </x:row>
    <x:row r="594">
      <x:c r="A594" s="9" t="str">
        <x:v>590</x:v>
      </x:c>
      <x:c r="B594" s="9" t="str">
        <x:v>314</x:v>
      </x:c>
      <x:c r="C594" s="11" t="n">
        <x:v>46127</x:v>
      </x:c>
      <x:c r="D594" s="13" t="n">
        <x:v>273.89</x:v>
      </x:c>
    </x:row>
    <x:row r="595">
      <x:c r="A595" s="9" t="str">
        <x:v>591</x:v>
      </x:c>
      <x:c r="B595" s="9" t="str">
        <x:v>316</x:v>
      </x:c>
      <x:c r="C595" s="11" t="n">
        <x:v>46158</x:v>
      </x:c>
      <x:c r="D595" s="13" t="n">
        <x:v>585.93</x:v>
      </x:c>
    </x:row>
    <x:row r="596">
      <x:c r="A596" s="9" t="str">
        <x:v>592</x:v>
      </x:c>
      <x:c r="B596" s="9" t="str">
        <x:v>316</x:v>
      </x:c>
      <x:c r="C596" s="11" t="n">
        <x:v>46191</x:v>
      </x:c>
      <x:c r="D596" s="13" t="n">
        <x:v>2426.27</x:v>
      </x:c>
    </x:row>
    <x:row r="597">
      <x:c r="A597" s="9" t="str">
        <x:v>593</x:v>
      </x:c>
      <x:c r="B597" s="9" t="str">
        <x:v>316</x:v>
      </x:c>
      <x:c r="C597" s="11" t="n">
        <x:v>46147</x:v>
      </x:c>
      <x:c r="D597" s="13" t="n">
        <x:v>353.82</x:v>
      </x:c>
    </x:row>
    <x:row r="598">
      <x:c r="A598" s="9" t="str">
        <x:v>594</x:v>
      </x:c>
      <x:c r="B598" s="9" t="str">
        <x:v>316</x:v>
      </x:c>
      <x:c r="C598" s="11" t="n">
        <x:v>46171</x:v>
      </x:c>
      <x:c r="D598" s="13" t="n">
        <x:v>1905.28</x:v>
      </x:c>
    </x:row>
    <x:row r="599">
      <x:c r="A599" s="9" t="str">
        <x:v>595</x:v>
      </x:c>
      <x:c r="B599" s="9" t="str">
        <x:v>317</x:v>
      </x:c>
      <x:c r="C599" s="11" t="n">
        <x:v>46060</x:v>
      </x:c>
      <x:c r="D599" s="13" t="n">
        <x:v>1469.69</x:v>
      </x:c>
    </x:row>
    <x:row r="600">
      <x:c r="A600" s="9" t="str">
        <x:v>596</x:v>
      </x:c>
      <x:c r="B600" s="9" t="str">
        <x:v>318</x:v>
      </x:c>
      <x:c r="C600" s="11" t="n">
        <x:v>46122</x:v>
      </x:c>
      <x:c r="D600" s="13" t="n">
        <x:v>93.8</x:v>
      </x:c>
    </x:row>
    <x:row r="601">
      <x:c r="A601" s="9" t="str">
        <x:v>597</x:v>
      </x:c>
      <x:c r="B601" s="9" t="str">
        <x:v>318</x:v>
      </x:c>
      <x:c r="C601" s="11" t="n">
        <x:v>46169</x:v>
      </x:c>
      <x:c r="D601" s="13" t="n">
        <x:v>895.35</x:v>
      </x:c>
    </x:row>
    <x:row r="602">
      <x:c r="A602" s="9" t="str">
        <x:v>598</x:v>
      </x:c>
      <x:c r="B602" s="9" t="str">
        <x:v>318</x:v>
      </x:c>
      <x:c r="C602" s="11" t="n">
        <x:v>46193</x:v>
      </x:c>
      <x:c r="D602" s="13" t="n">
        <x:v>308.76</x:v>
      </x:c>
    </x:row>
    <x:row r="603">
      <x:c r="A603" s="9" t="str">
        <x:v>599</x:v>
      </x:c>
      <x:c r="B603" s="9" t="str">
        <x:v>318</x:v>
      </x:c>
      <x:c r="C603" s="11" t="n">
        <x:v>46129</x:v>
      </x:c>
      <x:c r="D603" s="13" t="n">
        <x:v>604.25</x:v>
      </x:c>
    </x:row>
    <x:row r="604">
      <x:c r="A604" s="9" t="str">
        <x:v>600</x:v>
      </x:c>
      <x:c r="B604" s="9" t="str">
        <x:v>319</x:v>
      </x:c>
      <x:c r="C604" s="11" t="n">
        <x:v>46180</x:v>
      </x:c>
      <x:c r="D604" s="13" t="n">
        <x:v>37.5</x:v>
      </x:c>
    </x:row>
    <x:row r="605">
      <x:c r="A605" s="9" t="str">
        <x:v>601</x:v>
      </x:c>
      <x:c r="B605" s="9" t="str">
        <x:v>319</x:v>
      </x:c>
      <x:c r="C605" s="11" t="n">
        <x:v>46093</x:v>
      </x:c>
      <x:c r="D605" s="13" t="n">
        <x:v>79.08</x:v>
      </x:c>
    </x:row>
    <x:row r="606">
      <x:c r="A606" s="9" t="str">
        <x:v>602</x:v>
      </x:c>
      <x:c r="B606" s="9" t="str">
        <x:v>319</x:v>
      </x:c>
      <x:c r="C606" s="11" t="n">
        <x:v>46081</x:v>
      </x:c>
      <x:c r="D606" s="13" t="n">
        <x:v>422.82</x:v>
      </x:c>
    </x:row>
    <x:row r="607">
      <x:c r="A607" s="9" t="str">
        <x:v>603</x:v>
      </x:c>
      <x:c r="B607" s="9" t="str">
        <x:v>319</x:v>
      </x:c>
      <x:c r="C607" s="11" t="n">
        <x:v>46103</x:v>
      </x:c>
      <x:c r="D607" s="13" t="n">
        <x:v>580.73</x:v>
      </x:c>
    </x:row>
    <x:row r="608">
      <x:c r="A608" s="9" t="str">
        <x:v>604</x:v>
      </x:c>
      <x:c r="B608" s="9" t="str">
        <x:v>321</x:v>
      </x:c>
      <x:c r="C608" s="11" t="n">
        <x:v>46158</x:v>
      </x:c>
      <x:c r="D608" s="13" t="n">
        <x:v>1115.51</x:v>
      </x:c>
    </x:row>
    <x:row r="609">
      <x:c r="A609" s="9" t="str">
        <x:v>605</x:v>
      </x:c>
      <x:c r="B609" s="9" t="str">
        <x:v>321</x:v>
      </x:c>
      <x:c r="C609" s="11" t="n">
        <x:v>46183</x:v>
      </x:c>
      <x:c r="D609" s="13" t="n">
        <x:v>371.74</x:v>
      </x:c>
    </x:row>
    <x:row r="610">
      <x:c r="A610" s="9" t="str">
        <x:v>606</x:v>
      </x:c>
      <x:c r="B610" s="9" t="str">
        <x:v>321</x:v>
      </x:c>
      <x:c r="C610" s="11" t="n">
        <x:v>46181</x:v>
      </x:c>
      <x:c r="D610" s="13" t="n">
        <x:v>1093.72</x:v>
      </x:c>
    </x:row>
    <x:row r="611">
      <x:c r="A611" s="9" t="str">
        <x:v>607</x:v>
      </x:c>
      <x:c r="B611" s="9" t="str">
        <x:v>321</x:v>
      </x:c>
      <x:c r="C611" s="11" t="n">
        <x:v>46195</x:v>
      </x:c>
      <x:c r="D611" s="13" t="n">
        <x:v>1212.59</x:v>
      </x:c>
    </x:row>
    <x:row r="612">
      <x:c r="A612" s="9" t="str">
        <x:v>608</x:v>
      </x:c>
      <x:c r="B612" s="9" t="str">
        <x:v>323</x:v>
      </x:c>
      <x:c r="C612" s="11" t="n">
        <x:v>46131</x:v>
      </x:c>
      <x:c r="D612" s="13" t="n">
        <x:v>912.18</x:v>
      </x:c>
    </x:row>
    <x:row r="613">
      <x:c r="A613" s="9" t="str">
        <x:v>609</x:v>
      </x:c>
      <x:c r="B613" s="9" t="str">
        <x:v>323</x:v>
      </x:c>
      <x:c r="C613" s="11" t="n">
        <x:v>46197</x:v>
      </x:c>
      <x:c r="D613" s="13" t="n">
        <x:v>743.42</x:v>
      </x:c>
    </x:row>
    <x:row r="614">
      <x:c r="A614" s="9" t="str">
        <x:v>610</x:v>
      </x:c>
      <x:c r="B614" s="9" t="str">
        <x:v>324</x:v>
      </x:c>
      <x:c r="C614" s="11" t="n">
        <x:v>46146</x:v>
      </x:c>
      <x:c r="D614" s="13" t="n">
        <x:v>800.44</x:v>
      </x:c>
    </x:row>
    <x:row r="615">
      <x:c r="A615" s="9" t="str">
        <x:v>611</x:v>
      </x:c>
      <x:c r="B615" s="9" t="str">
        <x:v>325</x:v>
      </x:c>
      <x:c r="C615" s="11" t="n">
        <x:v>46173</x:v>
      </x:c>
      <x:c r="D615" s="13" t="n">
        <x:v>754.29</x:v>
      </x:c>
    </x:row>
    <x:row r="616">
      <x:c r="A616" s="9" t="str">
        <x:v>612</x:v>
      </x:c>
      <x:c r="B616" s="9" t="str">
        <x:v>325</x:v>
      </x:c>
      <x:c r="C616" s="11" t="n">
        <x:v>46192</x:v>
      </x:c>
      <x:c r="D616" s="13" t="n">
        <x:v>253.32</x:v>
      </x:c>
    </x:row>
    <x:row r="617">
      <x:c r="A617" s="9" t="str">
        <x:v>613</x:v>
      </x:c>
      <x:c r="B617" s="9" t="str">
        <x:v>325</x:v>
      </x:c>
      <x:c r="C617" s="11" t="n">
        <x:v>46179</x:v>
      </x:c>
      <x:c r="D617" s="13" t="n">
        <x:v>1456.47</x:v>
      </x:c>
    </x:row>
    <x:row r="618">
      <x:c r="A618" s="9" t="str">
        <x:v>614</x:v>
      </x:c>
      <x:c r="B618" s="9" t="str">
        <x:v>325</x:v>
      </x:c>
      <x:c r="C618" s="11" t="n">
        <x:v>46181</x:v>
      </x:c>
      <x:c r="D618" s="13" t="n">
        <x:v>1376.65</x:v>
      </x:c>
    </x:row>
    <x:row r="619">
      <x:c r="A619" s="9" t="str">
        <x:v>615</x:v>
      </x:c>
      <x:c r="B619" s="9" t="str">
        <x:v>328</x:v>
      </x:c>
      <x:c r="C619" s="11" t="n">
        <x:v>46184</x:v>
      </x:c>
      <x:c r="D619" s="13" t="n">
        <x:v>1492.67</x:v>
      </x:c>
    </x:row>
    <x:row r="620">
      <x:c r="A620" s="9" t="str">
        <x:v>616</x:v>
      </x:c>
      <x:c r="B620" s="9" t="str">
        <x:v>328</x:v>
      </x:c>
      <x:c r="C620" s="11" t="n">
        <x:v>46160</x:v>
      </x:c>
      <x:c r="D620" s="13" t="n">
        <x:v>1754.62</x:v>
      </x:c>
    </x:row>
    <x:row r="621">
      <x:c r="A621" s="9" t="str">
        <x:v>617</x:v>
      </x:c>
      <x:c r="B621" s="9" t="str">
        <x:v>328</x:v>
      </x:c>
      <x:c r="C621" s="11" t="n">
        <x:v>46176</x:v>
      </x:c>
      <x:c r="D621" s="13" t="n">
        <x:v>2223.79</x:v>
      </x:c>
    </x:row>
    <x:row r="622">
      <x:c r="A622" s="9" t="str">
        <x:v>618</x:v>
      </x:c>
      <x:c r="B622" s="9" t="str">
        <x:v>328</x:v>
      </x:c>
      <x:c r="C622" s="11" t="n">
        <x:v>46113</x:v>
      </x:c>
      <x:c r="D622" s="13" t="n">
        <x:v>622.99</x:v>
      </x:c>
    </x:row>
    <x:row r="623">
      <x:c r="A623" s="9" t="str">
        <x:v>619</x:v>
      </x:c>
      <x:c r="B623" s="9" t="str">
        <x:v>330</x:v>
      </x:c>
      <x:c r="C623" s="11" t="n">
        <x:v>46132</x:v>
      </x:c>
      <x:c r="D623" s="13" t="n">
        <x:v>214.66</x:v>
      </x:c>
    </x:row>
    <x:row r="624">
      <x:c r="A624" s="9" t="str">
        <x:v>620</x:v>
      </x:c>
      <x:c r="B624" s="9" t="str">
        <x:v>330</x:v>
      </x:c>
      <x:c r="C624" s="11" t="n">
        <x:v>46172</x:v>
      </x:c>
      <x:c r="D624" s="13" t="n">
        <x:v>1784.24</x:v>
      </x:c>
    </x:row>
    <x:row r="625">
      <x:c r="A625" s="9" t="str">
        <x:v>621</x:v>
      </x:c>
      <x:c r="B625" s="9" t="str">
        <x:v>330</x:v>
      </x:c>
      <x:c r="C625" s="11" t="n">
        <x:v>46188</x:v>
      </x:c>
      <x:c r="D625" s="13" t="n">
        <x:v>1065.79</x:v>
      </x:c>
    </x:row>
    <x:row r="626">
      <x:c r="A626" s="9" t="str">
        <x:v>622</x:v>
      </x:c>
      <x:c r="B626" s="9" t="str">
        <x:v>331</x:v>
      </x:c>
      <x:c r="C626" s="11" t="n">
        <x:v>46177</x:v>
      </x:c>
      <x:c r="D626" s="13" t="n">
        <x:v>2397.77</x:v>
      </x:c>
    </x:row>
    <x:row r="627">
      <x:c r="A627" s="9" t="str">
        <x:v>623</x:v>
      </x:c>
      <x:c r="B627" s="9" t="str">
        <x:v>332</x:v>
      </x:c>
      <x:c r="C627" s="11" t="n">
        <x:v>46093</x:v>
      </x:c>
      <x:c r="D627" s="13" t="n">
        <x:v>588.47</x:v>
      </x:c>
    </x:row>
    <x:row r="628">
      <x:c r="A628" s="9" t="str">
        <x:v>624</x:v>
      </x:c>
      <x:c r="B628" s="9" t="str">
        <x:v>332</x:v>
      </x:c>
      <x:c r="C628" s="11" t="n">
        <x:v>46137</x:v>
      </x:c>
      <x:c r="D628" s="13" t="n">
        <x:v>1947.69</x:v>
      </x:c>
    </x:row>
    <x:row r="629">
      <x:c r="A629" s="9" t="str">
        <x:v>625</x:v>
      </x:c>
      <x:c r="B629" s="9" t="str">
        <x:v>332</x:v>
      </x:c>
      <x:c r="C629" s="11" t="n">
        <x:v>46196</x:v>
      </x:c>
      <x:c r="D629" s="13" t="n">
        <x:v>221.19</x:v>
      </x:c>
    </x:row>
    <x:row r="630">
      <x:c r="A630" s="9" t="str">
        <x:v>626</x:v>
      </x:c>
      <x:c r="B630" s="9" t="str">
        <x:v>333</x:v>
      </x:c>
      <x:c r="C630" s="11" t="n">
        <x:v>46150</x:v>
      </x:c>
      <x:c r="D630" s="13" t="n">
        <x:v>148.2</x:v>
      </x:c>
    </x:row>
    <x:row r="631">
      <x:c r="A631" s="9" t="str">
        <x:v>627</x:v>
      </x:c>
      <x:c r="B631" s="9" t="str">
        <x:v>333</x:v>
      </x:c>
      <x:c r="C631" s="11" t="n">
        <x:v>46203</x:v>
      </x:c>
      <x:c r="D631" s="13" t="n">
        <x:v>109.99</x:v>
      </x:c>
    </x:row>
    <x:row r="632">
      <x:c r="A632" s="9" t="str">
        <x:v>628</x:v>
      </x:c>
      <x:c r="B632" s="9" t="str">
        <x:v>333</x:v>
      </x:c>
      <x:c r="C632" s="11" t="n">
        <x:v>46160</x:v>
      </x:c>
      <x:c r="D632" s="13" t="n">
        <x:v>102.89</x:v>
      </x:c>
    </x:row>
    <x:row r="633">
      <x:c r="A633" s="9" t="str">
        <x:v>629</x:v>
      </x:c>
      <x:c r="B633" s="9" t="str">
        <x:v>333</x:v>
      </x:c>
      <x:c r="C633" s="11" t="n">
        <x:v>46199</x:v>
      </x:c>
      <x:c r="D633" s="13" t="n">
        <x:v>69.99</x:v>
      </x:c>
    </x:row>
    <x:row r="634">
      <x:c r="A634" s="9" t="str">
        <x:v>630</x:v>
      </x:c>
      <x:c r="B634" s="9" t="str">
        <x:v>334</x:v>
      </x:c>
      <x:c r="C634" s="11" t="n">
        <x:v>46094</x:v>
      </x:c>
      <x:c r="D634" s="13" t="n">
        <x:v>598.61</x:v>
      </x:c>
    </x:row>
    <x:row r="635">
      <x:c r="A635" s="9" t="str">
        <x:v>631</x:v>
      </x:c>
      <x:c r="B635" s="9" t="str">
        <x:v>334</x:v>
      </x:c>
      <x:c r="C635" s="11" t="n">
        <x:v>46078</x:v>
      </x:c>
      <x:c r="D635" s="13" t="n">
        <x:v>436.26</x:v>
      </x:c>
    </x:row>
    <x:row r="636">
      <x:c r="A636" s="9" t="str">
        <x:v>632</x:v>
      </x:c>
      <x:c r="B636" s="9" t="str">
        <x:v>334</x:v>
      </x:c>
      <x:c r="C636" s="11" t="n">
        <x:v>46155</x:v>
      </x:c>
      <x:c r="D636" s="13" t="n">
        <x:v>546.9</x:v>
      </x:c>
    </x:row>
    <x:row r="637">
      <x:c r="A637" s="9" t="str">
        <x:v>633</x:v>
      </x:c>
      <x:c r="B637" s="9" t="str">
        <x:v>335</x:v>
      </x:c>
      <x:c r="C637" s="11" t="n">
        <x:v>46076</x:v>
      </x:c>
      <x:c r="D637" s="13" t="n">
        <x:v>745.37</x:v>
      </x:c>
    </x:row>
    <x:row r="638">
      <x:c r="A638" s="9" t="str">
        <x:v>634</x:v>
      </x:c>
      <x:c r="B638" s="9" t="str">
        <x:v>335</x:v>
      </x:c>
      <x:c r="C638" s="11" t="n">
        <x:v>46188</x:v>
      </x:c>
      <x:c r="D638" s="13" t="n">
        <x:v>853.99</x:v>
      </x:c>
    </x:row>
    <x:row r="639">
      <x:c r="A639" s="9" t="str">
        <x:v>635</x:v>
      </x:c>
      <x:c r="B639" s="9" t="str">
        <x:v>336</x:v>
      </x:c>
      <x:c r="C639" s="11" t="n">
        <x:v>46162</x:v>
      </x:c>
      <x:c r="D639" s="13" t="n">
        <x:v>2645.27</x:v>
      </x:c>
    </x:row>
    <x:row r="640">
      <x:c r="A640" s="9" t="str">
        <x:v>636</x:v>
      </x:c>
      <x:c r="B640" s="9" t="str">
        <x:v>336</x:v>
      </x:c>
      <x:c r="C640" s="11" t="n">
        <x:v>46203</x:v>
      </x:c>
      <x:c r="D640" s="13" t="n">
        <x:v>640.63</x:v>
      </x:c>
    </x:row>
    <x:row r="641">
      <x:c r="A641" s="9" t="str">
        <x:v>637</x:v>
      </x:c>
      <x:c r="B641" s="9" t="str">
        <x:v>336</x:v>
      </x:c>
      <x:c r="C641" s="11" t="n">
        <x:v>46172</x:v>
      </x:c>
      <x:c r="D641" s="13" t="n">
        <x:v>2798.47</x:v>
      </x:c>
    </x:row>
    <x:row r="642">
      <x:c r="A642" s="9" t="str">
        <x:v>638</x:v>
      </x:c>
      <x:c r="B642" s="9" t="str">
        <x:v>337</x:v>
      </x:c>
      <x:c r="C642" s="11" t="n">
        <x:v>46134</x:v>
      </x:c>
      <x:c r="D642" s="13" t="n">
        <x:v>805.41</x:v>
      </x:c>
    </x:row>
    <x:row r="643">
      <x:c r="A643" s="9" t="str">
        <x:v>639</x:v>
      </x:c>
      <x:c r="B643" s="9" t="str">
        <x:v>337</x:v>
      </x:c>
      <x:c r="C643" s="11" t="n">
        <x:v>46168</x:v>
      </x:c>
      <x:c r="D643" s="13" t="n">
        <x:v>536.64</x:v>
      </x:c>
    </x:row>
    <x:row r="644">
      <x:c r="A644" s="9" t="str">
        <x:v>640</x:v>
      </x:c>
      <x:c r="B644" s="9" t="str">
        <x:v>337</x:v>
      </x:c>
      <x:c r="C644" s="11" t="n">
        <x:v>46155</x:v>
      </x:c>
      <x:c r="D644" s="13" t="n">
        <x:v>68.96</x:v>
      </x:c>
    </x:row>
    <x:row r="645">
      <x:c r="A645" s="9" t="str">
        <x:v>641</x:v>
      </x:c>
      <x:c r="B645" s="9" t="str">
        <x:v>337</x:v>
      </x:c>
      <x:c r="C645" s="11" t="n">
        <x:v>46095</x:v>
      </x:c>
      <x:c r="D645" s="13" t="n">
        <x:v>1139.8</x:v>
      </x:c>
    </x:row>
    <x:row r="646">
      <x:c r="A646" s="9" t="str">
        <x:v>642</x:v>
      </x:c>
      <x:c r="B646" s="9" t="str">
        <x:v>339</x:v>
      </x:c>
      <x:c r="C646" s="11" t="n">
        <x:v>46146</x:v>
      </x:c>
      <x:c r="D646" s="13" t="n">
        <x:v>139.42</x:v>
      </x:c>
    </x:row>
    <x:row r="647">
      <x:c r="A647" s="9" t="str">
        <x:v>643</x:v>
      </x:c>
      <x:c r="B647" s="9" t="str">
        <x:v>339</x:v>
      </x:c>
      <x:c r="C647" s="11" t="n">
        <x:v>46158</x:v>
      </x:c>
      <x:c r="D647" s="13" t="n">
        <x:v>196.72</x:v>
      </x:c>
    </x:row>
    <x:row r="648">
      <x:c r="A648" s="9" t="str">
        <x:v>644</x:v>
      </x:c>
      <x:c r="B648" s="9" t="str">
        <x:v>339</x:v>
      </x:c>
      <x:c r="C648" s="11" t="n">
        <x:v>46139</x:v>
      </x:c>
      <x:c r="D648" s="13" t="n">
        <x:v>434.95</x:v>
      </x:c>
    </x:row>
    <x:row r="649">
      <x:c r="A649" s="9" t="str">
        <x:v>645</x:v>
      </x:c>
      <x:c r="B649" s="9" t="str">
        <x:v>341</x:v>
      </x:c>
      <x:c r="C649" s="11" t="n">
        <x:v>46177</x:v>
      </x:c>
      <x:c r="D649" s="13" t="n">
        <x:v>543.35</x:v>
      </x:c>
    </x:row>
    <x:row r="650">
      <x:c r="A650" s="9" t="str">
        <x:v>646</x:v>
      </x:c>
      <x:c r="B650" s="9" t="str">
        <x:v>341</x:v>
      </x:c>
      <x:c r="C650" s="11" t="n">
        <x:v>46202</x:v>
      </x:c>
      <x:c r="D650" s="13" t="n">
        <x:v>988.59</x:v>
      </x:c>
    </x:row>
    <x:row r="651">
      <x:c r="A651" s="9" t="str">
        <x:v>647</x:v>
      </x:c>
      <x:c r="B651" s="9" t="str">
        <x:v>341</x:v>
      </x:c>
      <x:c r="C651" s="11" t="n">
        <x:v>46183</x:v>
      </x:c>
      <x:c r="D651" s="13" t="n">
        <x:v>450.89</x:v>
      </x:c>
    </x:row>
    <x:row r="652">
      <x:c r="A652" s="9" t="str">
        <x:v>648</x:v>
      </x:c>
      <x:c r="B652" s="9" t="str">
        <x:v>341</x:v>
      </x:c>
      <x:c r="C652" s="11" t="n">
        <x:v>46195</x:v>
      </x:c>
      <x:c r="D652" s="13" t="n">
        <x:v>1419.11</x:v>
      </x:c>
    </x:row>
    <x:row r="653">
      <x:c r="A653" s="9" t="str">
        <x:v>649</x:v>
      </x:c>
      <x:c r="B653" s="9" t="str">
        <x:v>342</x:v>
      </x:c>
      <x:c r="C653" s="11" t="n">
        <x:v>46157</x:v>
      </x:c>
      <x:c r="D653" s="13" t="n">
        <x:v>1486.08</x:v>
      </x:c>
    </x:row>
    <x:row r="654">
      <x:c r="A654" s="9" t="str">
        <x:v>650</x:v>
      </x:c>
      <x:c r="B654" s="9" t="str">
        <x:v>342</x:v>
      </x:c>
      <x:c r="C654" s="11" t="n">
        <x:v>46158</x:v>
      </x:c>
      <x:c r="D654" s="13" t="n">
        <x:v>798.1</x:v>
      </x:c>
    </x:row>
    <x:row r="655">
      <x:c r="A655" s="9" t="str">
        <x:v>651</x:v>
      </x:c>
      <x:c r="B655" s="9" t="str">
        <x:v>342</x:v>
      </x:c>
      <x:c r="C655" s="11" t="n">
        <x:v>46197</x:v>
      </x:c>
      <x:c r="D655" s="13" t="n">
        <x:v>1046.26</x:v>
      </x:c>
    </x:row>
    <x:row r="656">
      <x:c r="A656" s="9" t="str">
        <x:v>652</x:v>
      </x:c>
      <x:c r="B656" s="9" t="str">
        <x:v>342</x:v>
      </x:c>
      <x:c r="C656" s="11" t="n">
        <x:v>46161</x:v>
      </x:c>
      <x:c r="D656" s="13" t="n">
        <x:v>332.37</x:v>
      </x:c>
    </x:row>
    <x:row r="657">
      <x:c r="A657" s="9" t="str">
        <x:v>653</x:v>
      </x:c>
      <x:c r="B657" s="9" t="str">
        <x:v>344</x:v>
      </x:c>
      <x:c r="C657" s="11" t="n">
        <x:v>46185</x:v>
      </x:c>
      <x:c r="D657" s="13" t="n">
        <x:v>479.19</x:v>
      </x:c>
    </x:row>
    <x:row r="658">
      <x:c r="A658" s="9" t="str">
        <x:v>654</x:v>
      </x:c>
      <x:c r="B658" s="9" t="str">
        <x:v>344</x:v>
      </x:c>
      <x:c r="C658" s="11" t="n">
        <x:v>46137</x:v>
      </x:c>
      <x:c r="D658" s="13" t="n">
        <x:v>242.24</x:v>
      </x:c>
    </x:row>
    <x:row r="659">
      <x:c r="A659" s="9" t="str">
        <x:v>655</x:v>
      </x:c>
      <x:c r="B659" s="9" t="str">
        <x:v>344</x:v>
      </x:c>
      <x:c r="C659" s="11" t="n">
        <x:v>46195</x:v>
      </x:c>
      <x:c r="D659" s="13" t="n">
        <x:v>173.53</x:v>
      </x:c>
    </x:row>
    <x:row r="660">
      <x:c r="A660" s="9" t="str">
        <x:v>656</x:v>
      </x:c>
      <x:c r="B660" s="9" t="str">
        <x:v>344</x:v>
      </x:c>
      <x:c r="C660" s="11" t="n">
        <x:v>46160</x:v>
      </x:c>
      <x:c r="D660" s="13" t="n">
        <x:v>495.59</x:v>
      </x:c>
    </x:row>
    <x:row r="661">
      <x:c r="A661" s="9" t="str">
        <x:v>657</x:v>
      </x:c>
      <x:c r="B661" s="9" t="str">
        <x:v>345</x:v>
      </x:c>
      <x:c r="C661" s="11" t="n">
        <x:v>46202</x:v>
      </x:c>
      <x:c r="D661" s="13" t="n">
        <x:v>91.97</x:v>
      </x:c>
    </x:row>
    <x:row r="662">
      <x:c r="A662" s="9" t="str">
        <x:v>658</x:v>
      </x:c>
      <x:c r="B662" s="9" t="str">
        <x:v>345</x:v>
      </x:c>
      <x:c r="C662" s="11" t="n">
        <x:v>46125</x:v>
      </x:c>
      <x:c r="D662" s="13" t="n">
        <x:v>37.93</x:v>
      </x:c>
    </x:row>
    <x:row r="663">
      <x:c r="A663" s="9" t="str">
        <x:v>659</x:v>
      </x:c>
      <x:c r="B663" s="9" t="str">
        <x:v>347</x:v>
      </x:c>
      <x:c r="C663" s="11" t="n">
        <x:v>46148</x:v>
      </x:c>
      <x:c r="D663" s="13" t="n">
        <x:v>707.84</x:v>
      </x:c>
    </x:row>
    <x:row r="664">
      <x:c r="A664" s="9" t="str">
        <x:v>660</x:v>
      </x:c>
      <x:c r="B664" s="9" t="str">
        <x:v>347</x:v>
      </x:c>
      <x:c r="C664" s="11" t="n">
        <x:v>46035</x:v>
      </x:c>
      <x:c r="D664" s="13" t="n">
        <x:v>424.5</x:v>
      </x:c>
    </x:row>
    <x:row r="665">
      <x:c r="A665" s="9" t="str">
        <x:v>661</x:v>
      </x:c>
      <x:c r="B665" s="9" t="str">
        <x:v>347</x:v>
      </x:c>
      <x:c r="C665" s="11" t="n">
        <x:v>46083</x:v>
      </x:c>
      <x:c r="D665" s="13" t="n">
        <x:v>523.61</x:v>
      </x:c>
    </x:row>
    <x:row r="666">
      <x:c r="A666" s="9" t="str">
        <x:v>662</x:v>
      </x:c>
      <x:c r="B666" s="9" t="str">
        <x:v>348</x:v>
      </x:c>
      <x:c r="C666" s="11" t="n">
        <x:v>46110</x:v>
      </x:c>
      <x:c r="D666" s="13" t="n">
        <x:v>1142.32</x:v>
      </x:c>
    </x:row>
    <x:row r="667">
      <x:c r="A667" s="9" t="str">
        <x:v>663</x:v>
      </x:c>
      <x:c r="B667" s="9" t="str">
        <x:v>348</x:v>
      </x:c>
      <x:c r="C667" s="11" t="n">
        <x:v>46187</x:v>
      </x:c>
      <x:c r="D667" s="13" t="n">
        <x:v>1563.28</x:v>
      </x:c>
    </x:row>
    <x:row r="668">
      <x:c r="A668" s="9" t="str">
        <x:v>664</x:v>
      </x:c>
      <x:c r="B668" s="9" t="str">
        <x:v>348</x:v>
      </x:c>
      <x:c r="C668" s="11" t="n">
        <x:v>46139</x:v>
      </x:c>
      <x:c r="D668" s="13" t="n">
        <x:v>886.35</x:v>
      </x:c>
    </x:row>
    <x:row r="669">
      <x:c r="A669" s="9" t="str">
        <x:v>665</x:v>
      </x:c>
      <x:c r="B669" s="9" t="str">
        <x:v>351</x:v>
      </x:c>
      <x:c r="C669" s="11" t="n">
        <x:v>46198</x:v>
      </x:c>
      <x:c r="D669" s="13" t="n">
        <x:v>870.34</x:v>
      </x:c>
    </x:row>
    <x:row r="670">
      <x:c r="A670" s="9" t="str">
        <x:v>666</x:v>
      </x:c>
      <x:c r="B670" s="9" t="str">
        <x:v>351</x:v>
      </x:c>
      <x:c r="C670" s="11" t="n">
        <x:v>46075</x:v>
      </x:c>
      <x:c r="D670" s="13" t="n">
        <x:v>514.57</x:v>
      </x:c>
    </x:row>
    <x:row r="671">
      <x:c r="A671" s="9" t="str">
        <x:v>667</x:v>
      </x:c>
      <x:c r="B671" s="9" t="str">
        <x:v>351</x:v>
      </x:c>
      <x:c r="C671" s="11" t="n">
        <x:v>46051</x:v>
      </x:c>
      <x:c r="D671" s="13" t="n">
        <x:v>279.19</x:v>
      </x:c>
    </x:row>
    <x:row r="672">
      <x:c r="A672" s="9" t="str">
        <x:v>668</x:v>
      </x:c>
      <x:c r="B672" s="9" t="str">
        <x:v>351</x:v>
      </x:c>
      <x:c r="C672" s="11" t="n">
        <x:v>46065</x:v>
      </x:c>
      <x:c r="D672" s="13" t="n">
        <x:v>1570.21</x:v>
      </x:c>
    </x:row>
    <x:row r="673">
      <x:c r="A673" s="9" t="str">
        <x:v>669</x:v>
      </x:c>
      <x:c r="B673" s="9" t="str">
        <x:v>353</x:v>
      </x:c>
      <x:c r="C673" s="11" t="n">
        <x:v>46193</x:v>
      </x:c>
      <x:c r="D673" s="13" t="n">
        <x:v>825.76</x:v>
      </x:c>
    </x:row>
    <x:row r="674">
      <x:c r="A674" s="9" t="str">
        <x:v>670</x:v>
      </x:c>
      <x:c r="B674" s="9" t="str">
        <x:v>353</x:v>
      </x:c>
      <x:c r="C674" s="11" t="n">
        <x:v>46092</x:v>
      </x:c>
      <x:c r="D674" s="13" t="n">
        <x:v>391.74</x:v>
      </x:c>
    </x:row>
    <x:row r="675">
      <x:c r="A675" s="9" t="str">
        <x:v>671</x:v>
      </x:c>
      <x:c r="B675" s="9" t="str">
        <x:v>354</x:v>
      </x:c>
      <x:c r="C675" s="11" t="n">
        <x:v>46193</x:v>
      </x:c>
      <x:c r="D675" s="13" t="n">
        <x:v>920.66</x:v>
      </x:c>
    </x:row>
    <x:row r="676">
      <x:c r="A676" s="9" t="str">
        <x:v>672</x:v>
      </x:c>
      <x:c r="B676" s="9" t="str">
        <x:v>354</x:v>
      </x:c>
      <x:c r="C676" s="11" t="n">
        <x:v>46158</x:v>
      </x:c>
      <x:c r="D676" s="13" t="n">
        <x:v>796.12</x:v>
      </x:c>
    </x:row>
    <x:row r="677">
      <x:c r="A677" s="9" t="str">
        <x:v>673</x:v>
      </x:c>
      <x:c r="B677" s="9" t="str">
        <x:v>354</x:v>
      </x:c>
      <x:c r="C677" s="11" t="n">
        <x:v>46159</x:v>
      </x:c>
      <x:c r="D677" s="13" t="n">
        <x:v>768.13</x:v>
      </x:c>
    </x:row>
    <x:row r="678">
      <x:c r="A678" s="9" t="str">
        <x:v>674</x:v>
      </x:c>
      <x:c r="B678" s="9" t="str">
        <x:v>355</x:v>
      </x:c>
      <x:c r="C678" s="11" t="n">
        <x:v>46179</x:v>
      </x:c>
      <x:c r="D678" s="13" t="n">
        <x:v>1935.67</x:v>
      </x:c>
    </x:row>
    <x:row r="679">
      <x:c r="A679" s="9" t="str">
        <x:v>675</x:v>
      </x:c>
      <x:c r="B679" s="9" t="str">
        <x:v>355</x:v>
      </x:c>
      <x:c r="C679" s="11" t="n">
        <x:v>46185</x:v>
      </x:c>
      <x:c r="D679" s="13" t="n">
        <x:v>2507.15</x:v>
      </x:c>
    </x:row>
    <x:row r="680">
      <x:c r="A680" s="9" t="str">
        <x:v>676</x:v>
      </x:c>
      <x:c r="B680" s="9" t="str">
        <x:v>355</x:v>
      </x:c>
      <x:c r="C680" s="11" t="n">
        <x:v>46184</x:v>
      </x:c>
      <x:c r="D680" s="13" t="n">
        <x:v>879.04</x:v>
      </x:c>
    </x:row>
    <x:row r="681">
      <x:c r="A681" s="9" t="str">
        <x:v>677</x:v>
      </x:c>
      <x:c r="B681" s="9" t="str">
        <x:v>356</x:v>
      </x:c>
      <x:c r="C681" s="11" t="n">
        <x:v>46183</x:v>
      </x:c>
      <x:c r="D681" s="13" t="n">
        <x:v>754.75</x:v>
      </x:c>
    </x:row>
    <x:row r="682">
      <x:c r="A682" s="9" t="str">
        <x:v>678</x:v>
      </x:c>
      <x:c r="B682" s="9" t="str">
        <x:v>357</x:v>
      </x:c>
      <x:c r="C682" s="11" t="n">
        <x:v>46195</x:v>
      </x:c>
      <x:c r="D682" s="13" t="n">
        <x:v>506.66</x:v>
      </x:c>
    </x:row>
    <x:row r="683">
      <x:c r="A683" s="9" t="str">
        <x:v>679</x:v>
      </x:c>
      <x:c r="B683" s="9" t="str">
        <x:v>358</x:v>
      </x:c>
      <x:c r="C683" s="11" t="n">
        <x:v>46122</x:v>
      </x:c>
      <x:c r="D683" s="13" t="n">
        <x:v>1742.53</x:v>
      </x:c>
    </x:row>
    <x:row r="684">
      <x:c r="A684" s="9" t="str">
        <x:v>680</x:v>
      </x:c>
      <x:c r="B684" s="9" t="str">
        <x:v>358</x:v>
      </x:c>
      <x:c r="C684" s="11" t="n">
        <x:v>46203</x:v>
      </x:c>
      <x:c r="D684" s="13" t="n">
        <x:v>1391.3</x:v>
      </x:c>
    </x:row>
    <x:row r="685">
      <x:c r="A685" s="9" t="str">
        <x:v>681</x:v>
      </x:c>
      <x:c r="B685" s="9" t="str">
        <x:v>359</x:v>
      </x:c>
      <x:c r="C685" s="11" t="n">
        <x:v>46186</x:v>
      </x:c>
      <x:c r="D685" s="13" t="n">
        <x:v>106.39</x:v>
      </x:c>
    </x:row>
    <x:row r="686">
      <x:c r="A686" s="9" t="str">
        <x:v>682</x:v>
      </x:c>
      <x:c r="B686" s="9" t="str">
        <x:v>359</x:v>
      </x:c>
      <x:c r="C686" s="11" t="n">
        <x:v>46126</x:v>
      </x:c>
      <x:c r="D686" s="13" t="n">
        <x:v>58.68</x:v>
      </x:c>
    </x:row>
    <x:row r="687">
      <x:c r="A687" s="9" t="str">
        <x:v>683</x:v>
      </x:c>
      <x:c r="B687" s="9" t="str">
        <x:v>359</x:v>
      </x:c>
      <x:c r="C687" s="11" t="n">
        <x:v>46091</x:v>
      </x:c>
      <x:c r="D687" s="13" t="n">
        <x:v>90.99</x:v>
      </x:c>
    </x:row>
    <x:row r="688">
      <x:c r="A688" s="9" t="str">
        <x:v>684</x:v>
      </x:c>
      <x:c r="B688" s="9" t="str">
        <x:v>359</x:v>
      </x:c>
      <x:c r="C688" s="11" t="n">
        <x:v>46186</x:v>
      </x:c>
      <x:c r="D688" s="13" t="n">
        <x:v>216.26</x:v>
      </x:c>
    </x:row>
    <x:row r="689">
      <x:c r="A689" s="9" t="str">
        <x:v>685</x:v>
      </x:c>
      <x:c r="B689" s="9" t="str">
        <x:v>360</x:v>
      </x:c>
      <x:c r="C689" s="11" t="n">
        <x:v>46174</x:v>
      </x:c>
      <x:c r="D689" s="13" t="n">
        <x:v>255.27</x:v>
      </x:c>
    </x:row>
    <x:row r="690">
      <x:c r="A690" s="9" t="str">
        <x:v>686</x:v>
      </x:c>
      <x:c r="B690" s="9" t="str">
        <x:v>360</x:v>
      </x:c>
      <x:c r="C690" s="11" t="n">
        <x:v>46172</x:v>
      </x:c>
      <x:c r="D690" s="13" t="n">
        <x:v>350.06</x:v>
      </x:c>
    </x:row>
    <x:row r="691">
      <x:c r="A691" s="9" t="str">
        <x:v>687</x:v>
      </x:c>
      <x:c r="B691" s="9" t="str">
        <x:v>360</x:v>
      </x:c>
      <x:c r="C691" s="11" t="n">
        <x:v>46163</x:v>
      </x:c>
      <x:c r="D691" s="13" t="n">
        <x:v>127.3</x:v>
      </x:c>
    </x:row>
    <x:row r="692">
      <x:c r="A692" s="9" t="str">
        <x:v>688</x:v>
      </x:c>
      <x:c r="B692" s="9" t="str">
        <x:v>360</x:v>
      </x:c>
      <x:c r="C692" s="11" t="n">
        <x:v>46176</x:v>
      </x:c>
      <x:c r="D692" s="13" t="n">
        <x:v>255.02</x:v>
      </x:c>
    </x:row>
    <x:row r="693">
      <x:c r="A693" s="9" t="str">
        <x:v>689</x:v>
      </x:c>
      <x:c r="B693" s="9" t="str">
        <x:v>361</x:v>
      </x:c>
      <x:c r="C693" s="11" t="n">
        <x:v>46110</x:v>
      </x:c>
      <x:c r="D693" s="13" t="n">
        <x:v>990.69</x:v>
      </x:c>
    </x:row>
    <x:row r="694">
      <x:c r="A694" s="9" t="str">
        <x:v>690</x:v>
      </x:c>
      <x:c r="B694" s="9" t="str">
        <x:v>362</x:v>
      </x:c>
      <x:c r="C694" s="11" t="n">
        <x:v>46174</x:v>
      </x:c>
      <x:c r="D694" s="13" t="n">
        <x:v>706.31</x:v>
      </x:c>
    </x:row>
    <x:row r="695">
      <x:c r="A695" s="9" t="str">
        <x:v>691</x:v>
      </x:c>
      <x:c r="B695" s="9" t="str">
        <x:v>363</x:v>
      </x:c>
      <x:c r="C695" s="11" t="n">
        <x:v>46110</x:v>
      </x:c>
      <x:c r="D695" s="13" t="n">
        <x:v>1204.02</x:v>
      </x:c>
    </x:row>
    <x:row r="696">
      <x:c r="A696" s="9" t="str">
        <x:v>692</x:v>
      </x:c>
      <x:c r="B696" s="9" t="str">
        <x:v>363</x:v>
      </x:c>
      <x:c r="C696" s="11" t="n">
        <x:v>46107</x:v>
      </x:c>
      <x:c r="D696" s="13" t="n">
        <x:v>631.74</x:v>
      </x:c>
    </x:row>
    <x:row r="697">
      <x:c r="A697" s="9" t="str">
        <x:v>693</x:v>
      </x:c>
      <x:c r="B697" s="9" t="str">
        <x:v>364</x:v>
      </x:c>
      <x:c r="C697" s="11" t="n">
        <x:v>46159</x:v>
      </x:c>
      <x:c r="D697" s="13" t="n">
        <x:v>379.42</x:v>
      </x:c>
    </x:row>
    <x:row r="698">
      <x:c r="A698" s="9" t="str">
        <x:v>694</x:v>
      </x:c>
      <x:c r="B698" s="9" t="str">
        <x:v>364</x:v>
      </x:c>
      <x:c r="C698" s="11" t="n">
        <x:v>46174</x:v>
      </x:c>
      <x:c r="D698" s="13" t="n">
        <x:v>539.28</x:v>
      </x:c>
    </x:row>
    <x:row r="699">
      <x:c r="A699" s="9" t="str">
        <x:v>695</x:v>
      </x:c>
      <x:c r="B699" s="9" t="str">
        <x:v>365</x:v>
      </x:c>
      <x:c r="C699" s="11" t="n">
        <x:v>46173</x:v>
      </x:c>
      <x:c r="D699" s="13" t="n">
        <x:v>1110.34</x:v>
      </x:c>
    </x:row>
    <x:row r="700">
      <x:c r="A700" s="9" t="str">
        <x:v>696</x:v>
      </x:c>
      <x:c r="B700" s="9" t="str">
        <x:v>366</x:v>
      </x:c>
      <x:c r="C700" s="11" t="n">
        <x:v>46166</x:v>
      </x:c>
      <x:c r="D700" s="13" t="n">
        <x:v>147.35</x:v>
      </x:c>
    </x:row>
    <x:row r="701">
      <x:c r="A701" s="9" t="str">
        <x:v>697</x:v>
      </x:c>
      <x:c r="B701" s="9" t="str">
        <x:v>366</x:v>
      </x:c>
      <x:c r="C701" s="11" t="n">
        <x:v>46181</x:v>
      </x:c>
      <x:c r="D701" s="13" t="n">
        <x:v>304.89</x:v>
      </x:c>
    </x:row>
    <x:row r="702">
      <x:c r="A702" s="9" t="str">
        <x:v>698</x:v>
      </x:c>
      <x:c r="B702" s="9" t="str">
        <x:v>366</x:v>
      </x:c>
      <x:c r="C702" s="11" t="n">
        <x:v>46157</x:v>
      </x:c>
      <x:c r="D702" s="13" t="n">
        <x:v>29.72</x:v>
      </x:c>
    </x:row>
    <x:row r="703">
      <x:c r="A703" s="9" t="str">
        <x:v>699</x:v>
      </x:c>
      <x:c r="B703" s="9" t="str">
        <x:v>367</x:v>
      </x:c>
      <x:c r="C703" s="11" t="n">
        <x:v>46133</x:v>
      </x:c>
      <x:c r="D703" s="13" t="n">
        <x:v>2207.53</x:v>
      </x:c>
    </x:row>
    <x:row r="704">
      <x:c r="A704" s="9" t="str">
        <x:v>700</x:v>
      </x:c>
      <x:c r="B704" s="9" t="str">
        <x:v>369</x:v>
      </x:c>
      <x:c r="C704" s="11" t="n">
        <x:v>46179</x:v>
      </x:c>
      <x:c r="D704" s="13" t="n">
        <x:v>193.44</x:v>
      </x:c>
    </x:row>
    <x:row r="705">
      <x:c r="A705" s="9" t="str">
        <x:v>701</x:v>
      </x:c>
      <x:c r="B705" s="9" t="str">
        <x:v>369</x:v>
      </x:c>
      <x:c r="C705" s="11" t="n">
        <x:v>46168</x:v>
      </x:c>
      <x:c r="D705" s="13" t="n">
        <x:v>160.61</x:v>
      </x:c>
    </x:row>
    <x:row r="706">
      <x:c r="A706" s="9" t="str">
        <x:v>702</x:v>
      </x:c>
      <x:c r="B706" s="9" t="str">
        <x:v>369</x:v>
      </x:c>
      <x:c r="C706" s="11" t="n">
        <x:v>46122</x:v>
      </x:c>
      <x:c r="D706" s="13" t="n">
        <x:v>1369.29</x:v>
      </x:c>
    </x:row>
    <x:row r="707">
      <x:c r="A707" s="9" t="str">
        <x:v>703</x:v>
      </x:c>
      <x:c r="B707" s="9" t="str">
        <x:v>369</x:v>
      </x:c>
      <x:c r="C707" s="11" t="n">
        <x:v>46162</x:v>
      </x:c>
      <x:c r="D707" s="13" t="n">
        <x:v>460.43</x:v>
      </x:c>
    </x:row>
    <x:row r="708">
      <x:c r="A708" s="9" t="str">
        <x:v>704</x:v>
      </x:c>
      <x:c r="B708" s="9" t="str">
        <x:v>370</x:v>
      </x:c>
      <x:c r="C708" s="11" t="n">
        <x:v>46189</x:v>
      </x:c>
      <x:c r="D708" s="13" t="n">
        <x:v>668.6</x:v>
      </x:c>
    </x:row>
    <x:row r="709">
      <x:c r="A709" s="9" t="str">
        <x:v>705</x:v>
      </x:c>
      <x:c r="B709" s="9" t="str">
        <x:v>371</x:v>
      </x:c>
      <x:c r="C709" s="11" t="n">
        <x:v>46202</x:v>
      </x:c>
      <x:c r="D709" s="13" t="n">
        <x:v>1035.21</x:v>
      </x:c>
    </x:row>
    <x:row r="710">
      <x:c r="A710" s="9" t="str">
        <x:v>706</x:v>
      </x:c>
      <x:c r="B710" s="9" t="str">
        <x:v>371</x:v>
      </x:c>
      <x:c r="C710" s="11" t="n">
        <x:v>46152</x:v>
      </x:c>
      <x:c r="D710" s="13" t="n">
        <x:v>469.08</x:v>
      </x:c>
    </x:row>
    <x:row r="711">
      <x:c r="A711" s="9" t="str">
        <x:v>707</x:v>
      </x:c>
      <x:c r="B711" s="9" t="str">
        <x:v>372</x:v>
      </x:c>
      <x:c r="C711" s="11" t="n">
        <x:v>46184</x:v>
      </x:c>
      <x:c r="D711" s="13" t="n">
        <x:v>727.68</x:v>
      </x:c>
    </x:row>
    <x:row r="712">
      <x:c r="A712" s="9" t="str">
        <x:v>708</x:v>
      </x:c>
      <x:c r="B712" s="9" t="str">
        <x:v>373</x:v>
      </x:c>
      <x:c r="C712" s="11" t="n">
        <x:v>46149</x:v>
      </x:c>
      <x:c r="D712" s="13" t="n">
        <x:v>118.02</x:v>
      </x:c>
    </x:row>
    <x:row r="713">
      <x:c r="A713" s="9" t="str">
        <x:v>709</x:v>
      </x:c>
      <x:c r="B713" s="9" t="str">
        <x:v>373</x:v>
      </x:c>
      <x:c r="C713" s="11" t="n">
        <x:v>46181</x:v>
      </x:c>
      <x:c r="D713" s="13" t="n">
        <x:v>145.9</x:v>
      </x:c>
    </x:row>
    <x:row r="714">
      <x:c r="A714" s="9" t="str">
        <x:v>710</x:v>
      </x:c>
      <x:c r="B714" s="9" t="str">
        <x:v>373</x:v>
      </x:c>
      <x:c r="C714" s="11" t="n">
        <x:v>46176</x:v>
      </x:c>
      <x:c r="D714" s="13" t="n">
        <x:v>39.25</x:v>
      </x:c>
    </x:row>
    <x:row r="715">
      <x:c r="A715" s="9" t="str">
        <x:v>711</x:v>
      </x:c>
      <x:c r="B715" s="9" t="str">
        <x:v>374</x:v>
      </x:c>
      <x:c r="C715" s="11" t="n">
        <x:v>46090</x:v>
      </x:c>
      <x:c r="D715" s="13" t="n">
        <x:v>2253.35</x:v>
      </x:c>
    </x:row>
    <x:row r="716">
      <x:c r="A716" s="9" t="str">
        <x:v>712</x:v>
      </x:c>
      <x:c r="B716" s="9" t="str">
        <x:v>374</x:v>
      </x:c>
      <x:c r="C716" s="11" t="n">
        <x:v>46050</x:v>
      </x:c>
      <x:c r="D716" s="13" t="n">
        <x:v>1049.85</x:v>
      </x:c>
    </x:row>
    <x:row r="717">
      <x:c r="A717" s="9" t="str">
        <x:v>713</x:v>
      </x:c>
      <x:c r="B717" s="9" t="str">
        <x:v>374</x:v>
      </x:c>
      <x:c r="C717" s="11" t="n">
        <x:v>46105</x:v>
      </x:c>
      <x:c r="D717" s="13" t="n">
        <x:v>38.14</x:v>
      </x:c>
    </x:row>
    <x:row r="718">
      <x:c r="A718" s="9" t="str">
        <x:v>714</x:v>
      </x:c>
      <x:c r="B718" s="9" t="str">
        <x:v>375</x:v>
      </x:c>
      <x:c r="C718" s="11" t="n">
        <x:v>46156</x:v>
      </x:c>
      <x:c r="D718" s="13" t="n">
        <x:v>1732.34</x:v>
      </x:c>
    </x:row>
    <x:row r="719">
      <x:c r="A719" s="9" t="str">
        <x:v>715</x:v>
      </x:c>
      <x:c r="B719" s="9" t="str">
        <x:v>375</x:v>
      </x:c>
      <x:c r="C719" s="11" t="n">
        <x:v>46201</x:v>
      </x:c>
      <x:c r="D719" s="13" t="n">
        <x:v>1880.61</x:v>
      </x:c>
    </x:row>
    <x:row r="720">
      <x:c r="A720" s="9" t="str">
        <x:v>716</x:v>
      </x:c>
      <x:c r="B720" s="9" t="str">
        <x:v>375</x:v>
      </x:c>
      <x:c r="C720" s="11" t="n">
        <x:v>46149</x:v>
      </x:c>
      <x:c r="D720" s="13" t="n">
        <x:v>1157.46</x:v>
      </x:c>
    </x:row>
    <x:row r="721">
      <x:c r="A721" s="9" t="str">
        <x:v>717</x:v>
      </x:c>
      <x:c r="B721" s="9" t="str">
        <x:v>375</x:v>
      </x:c>
      <x:c r="C721" s="11" t="n">
        <x:v>46193</x:v>
      </x:c>
      <x:c r="D721" s="13" t="n">
        <x:v>1244.14</x:v>
      </x:c>
    </x:row>
    <x:row r="722">
      <x:c r="A722" s="9" t="str">
        <x:v>718</x:v>
      </x:c>
      <x:c r="B722" s="9" t="str">
        <x:v>376</x:v>
      </x:c>
      <x:c r="C722" s="11" t="n">
        <x:v>46179</x:v>
      </x:c>
      <x:c r="D722" s="13" t="n">
        <x:v>211.19</x:v>
      </x:c>
    </x:row>
    <x:row r="723">
      <x:c r="A723" s="9" t="str">
        <x:v>719</x:v>
      </x:c>
      <x:c r="B723" s="9" t="str">
        <x:v>376</x:v>
      </x:c>
      <x:c r="C723" s="11" t="n">
        <x:v>46145</x:v>
      </x:c>
      <x:c r="D723" s="13" t="n">
        <x:v>479.35</x:v>
      </x:c>
    </x:row>
    <x:row r="724">
      <x:c r="A724" s="9" t="str">
        <x:v>720</x:v>
      </x:c>
      <x:c r="B724" s="9" t="str">
        <x:v>378</x:v>
      </x:c>
      <x:c r="C724" s="11" t="n">
        <x:v>46058</x:v>
      </x:c>
      <x:c r="D724" s="13" t="n">
        <x:v>534.25</x:v>
      </x:c>
    </x:row>
    <x:row r="725">
      <x:c r="A725" s="9" t="str">
        <x:v>721</x:v>
      </x:c>
      <x:c r="B725" s="9" t="str">
        <x:v>379</x:v>
      </x:c>
      <x:c r="C725" s="11" t="n">
        <x:v>46158</x:v>
      </x:c>
      <x:c r="D725" s="13" t="n">
        <x:v>30.7</x:v>
      </x:c>
    </x:row>
    <x:row r="726">
      <x:c r="A726" s="9" t="str">
        <x:v>722</x:v>
      </x:c>
      <x:c r="B726" s="9" t="str">
        <x:v>380</x:v>
      </x:c>
      <x:c r="C726" s="11" t="n">
        <x:v>46177</x:v>
      </x:c>
      <x:c r="D726" s="13" t="n">
        <x:v>855.88</x:v>
      </x:c>
    </x:row>
    <x:row r="727">
      <x:c r="A727" s="9" t="str">
        <x:v>723</x:v>
      </x:c>
      <x:c r="B727" s="9" t="str">
        <x:v>380</x:v>
      </x:c>
      <x:c r="C727" s="11" t="n">
        <x:v>46082</x:v>
      </x:c>
      <x:c r="D727" s="13" t="n">
        <x:v>1653.08</x:v>
      </x:c>
    </x:row>
    <x:row r="728">
      <x:c r="A728" s="9" t="str">
        <x:v>724</x:v>
      </x:c>
      <x:c r="B728" s="9" t="str">
        <x:v>381</x:v>
      </x:c>
      <x:c r="C728" s="11" t="n">
        <x:v>46154</x:v>
      </x:c>
      <x:c r="D728" s="13" t="n">
        <x:v>25.7</x:v>
      </x:c>
    </x:row>
    <x:row r="729">
      <x:c r="A729" s="9" t="str">
        <x:v>725</x:v>
      </x:c>
      <x:c r="B729" s="9" t="str">
        <x:v>381</x:v>
      </x:c>
      <x:c r="C729" s="11" t="n">
        <x:v>46163</x:v>
      </x:c>
      <x:c r="D729" s="13" t="n">
        <x:v>288.87</x:v>
      </x:c>
    </x:row>
    <x:row r="730">
      <x:c r="A730" s="9" t="str">
        <x:v>726</x:v>
      </x:c>
      <x:c r="B730" s="9" t="str">
        <x:v>382</x:v>
      </x:c>
      <x:c r="C730" s="11" t="n">
        <x:v>46196</x:v>
      </x:c>
      <x:c r="D730" s="13" t="n">
        <x:v>2084.24</x:v>
      </x:c>
    </x:row>
    <x:row r="731">
      <x:c r="A731" s="9" t="str">
        <x:v>727</x:v>
      </x:c>
      <x:c r="B731" s="9" t="str">
        <x:v>382</x:v>
      </x:c>
      <x:c r="C731" s="11" t="n">
        <x:v>46099</x:v>
      </x:c>
      <x:c r="D731" s="13" t="n">
        <x:v>1502.13</x:v>
      </x:c>
    </x:row>
    <x:row r="732">
      <x:c r="A732" s="9" t="str">
        <x:v>728</x:v>
      </x:c>
      <x:c r="B732" s="9" t="str">
        <x:v>382</x:v>
      </x:c>
      <x:c r="C732" s="11" t="n">
        <x:v>46200</x:v>
      </x:c>
      <x:c r="D732" s="13" t="n">
        <x:v>670.44</x:v>
      </x:c>
    </x:row>
    <x:row r="733">
      <x:c r="A733" s="9" t="str">
        <x:v>729</x:v>
      </x:c>
      <x:c r="B733" s="9" t="str">
        <x:v>382</x:v>
      </x:c>
      <x:c r="C733" s="11" t="n">
        <x:v>46154</x:v>
      </x:c>
      <x:c r="D733" s="13" t="n">
        <x:v>258.36</x:v>
      </x:c>
    </x:row>
    <x:row r="734">
      <x:c r="A734" s="9" t="str">
        <x:v>730</x:v>
      </x:c>
      <x:c r="B734" s="9" t="str">
        <x:v>383</x:v>
      </x:c>
      <x:c r="C734" s="11" t="n">
        <x:v>46178</x:v>
      </x:c>
      <x:c r="D734" s="13" t="n">
        <x:v>2401.02</x:v>
      </x:c>
    </x:row>
    <x:row r="735">
      <x:c r="A735" s="9" t="str">
        <x:v>731</x:v>
      </x:c>
      <x:c r="B735" s="9" t="str">
        <x:v>383</x:v>
      </x:c>
      <x:c r="C735" s="11" t="n">
        <x:v>46152</x:v>
      </x:c>
      <x:c r="D735" s="13" t="n">
        <x:v>1186.79</x:v>
      </x:c>
    </x:row>
    <x:row r="736">
      <x:c r="A736" s="9" t="str">
        <x:v>732</x:v>
      </x:c>
      <x:c r="B736" s="9" t="str">
        <x:v>383</x:v>
      </x:c>
      <x:c r="C736" s="11" t="n">
        <x:v>46185</x:v>
      </x:c>
      <x:c r="D736" s="13" t="n">
        <x:v>1349.62</x:v>
      </x:c>
    </x:row>
    <x:row r="737">
      <x:c r="A737" s="9" t="str">
        <x:v>733</x:v>
      </x:c>
      <x:c r="B737" s="9" t="str">
        <x:v>383</x:v>
      </x:c>
      <x:c r="C737" s="11" t="n">
        <x:v>46133</x:v>
      </x:c>
      <x:c r="D737" s="13" t="n">
        <x:v>1954.62</x:v>
      </x:c>
    </x:row>
    <x:row r="738">
      <x:c r="A738" s="9" t="str">
        <x:v>734</x:v>
      </x:c>
      <x:c r="B738" s="9" t="str">
        <x:v>384</x:v>
      </x:c>
      <x:c r="C738" s="11" t="n">
        <x:v>46145</x:v>
      </x:c>
      <x:c r="D738" s="13" t="n">
        <x:v>1173.2</x:v>
      </x:c>
    </x:row>
    <x:row r="739">
      <x:c r="A739" s="9" t="str">
        <x:v>735</x:v>
      </x:c>
      <x:c r="B739" s="9" t="str">
        <x:v>384</x:v>
      </x:c>
      <x:c r="C739" s="11" t="n">
        <x:v>46132</x:v>
      </x:c>
      <x:c r="D739" s="13" t="n">
        <x:v>361.97</x:v>
      </x:c>
    </x:row>
    <x:row r="740">
      <x:c r="A740" s="9" t="str">
        <x:v>736</x:v>
      </x:c>
      <x:c r="B740" s="9" t="str">
        <x:v>384</x:v>
      </x:c>
      <x:c r="C740" s="11" t="n">
        <x:v>46071</x:v>
      </x:c>
      <x:c r="D740" s="13" t="n">
        <x:v>842.4</x:v>
      </x:c>
    </x:row>
    <x:row r="741">
      <x:c r="A741" s="9" t="str">
        <x:v>737</x:v>
      </x:c>
      <x:c r="B741" s="9" t="str">
        <x:v>384</x:v>
      </x:c>
      <x:c r="C741" s="11" t="n">
        <x:v>46167</x:v>
      </x:c>
      <x:c r="D741" s="13" t="n">
        <x:v>1375.43</x:v>
      </x:c>
    </x:row>
    <x:row r="742">
      <x:c r="A742" s="9" t="str">
        <x:v>738</x:v>
      </x:c>
      <x:c r="B742" s="9" t="str">
        <x:v>385</x:v>
      </x:c>
      <x:c r="C742" s="11" t="n">
        <x:v>46079</x:v>
      </x:c>
      <x:c r="D742" s="13" t="n">
        <x:v>1660.93</x:v>
      </x:c>
    </x:row>
    <x:row r="743">
      <x:c r="A743" s="9" t="str">
        <x:v>739</x:v>
      </x:c>
      <x:c r="B743" s="9" t="str">
        <x:v>385</x:v>
      </x:c>
      <x:c r="C743" s="11" t="n">
        <x:v>46190</x:v>
      </x:c>
      <x:c r="D743" s="13" t="n">
        <x:v>179.38</x:v>
      </x:c>
    </x:row>
    <x:row r="744">
      <x:c r="A744" s="9" t="str">
        <x:v>740</x:v>
      </x:c>
      <x:c r="B744" s="9" t="str">
        <x:v>385</x:v>
      </x:c>
      <x:c r="C744" s="11" t="n">
        <x:v>46087</x:v>
      </x:c>
      <x:c r="D744" s="13" t="n">
        <x:v>1298.81</x:v>
      </x:c>
    </x:row>
    <x:row r="745">
      <x:c r="A745" s="9" t="str">
        <x:v>741</x:v>
      </x:c>
      <x:c r="B745" s="9" t="str">
        <x:v>386</x:v>
      </x:c>
      <x:c r="C745" s="11" t="n">
        <x:v>46173</x:v>
      </x:c>
      <x:c r="D745" s="13" t="n">
        <x:v>418.24</x:v>
      </x:c>
    </x:row>
    <x:row r="746">
      <x:c r="A746" s="9" t="str">
        <x:v>742</x:v>
      </x:c>
      <x:c r="B746" s="9" t="str">
        <x:v>386</x:v>
      </x:c>
      <x:c r="C746" s="11" t="n">
        <x:v>46175</x:v>
      </x:c>
      <x:c r="D746" s="13" t="n">
        <x:v>955.91</x:v>
      </x:c>
    </x:row>
    <x:row r="747">
      <x:c r="A747" s="9" t="str">
        <x:v>743</x:v>
      </x:c>
      <x:c r="B747" s="9" t="str">
        <x:v>386</x:v>
      </x:c>
      <x:c r="C747" s="11" t="n">
        <x:v>46190</x:v>
      </x:c>
      <x:c r="D747" s="13" t="n">
        <x:v>331.02</x:v>
      </x:c>
    </x:row>
    <x:row r="748">
      <x:c r="A748" s="9" t="str">
        <x:v>744</x:v>
      </x:c>
      <x:c r="B748" s="9" t="str">
        <x:v>387</x:v>
      </x:c>
      <x:c r="C748" s="11" t="n">
        <x:v>46116</x:v>
      </x:c>
      <x:c r="D748" s="13" t="n">
        <x:v>1000.16</x:v>
      </x:c>
    </x:row>
    <x:row r="749">
      <x:c r="A749" s="9" t="str">
        <x:v>745</x:v>
      </x:c>
      <x:c r="B749" s="9" t="str">
        <x:v>387</x:v>
      </x:c>
      <x:c r="C749" s="11" t="n">
        <x:v>46186</x:v>
      </x:c>
      <x:c r="D749" s="13" t="n">
        <x:v>1243.94</x:v>
      </x:c>
    </x:row>
    <x:row r="750">
      <x:c r="A750" s="9" t="str">
        <x:v>746</x:v>
      </x:c>
      <x:c r="B750" s="9" t="str">
        <x:v>387</x:v>
      </x:c>
      <x:c r="C750" s="11" t="n">
        <x:v>46203</x:v>
      </x:c>
      <x:c r="D750" s="13" t="n">
        <x:v>1118.07</x:v>
      </x:c>
    </x:row>
    <x:row r="751">
      <x:c r="A751" s="9" t="str">
        <x:v>747</x:v>
      </x:c>
      <x:c r="B751" s="9" t="str">
        <x:v>388</x:v>
      </x:c>
      <x:c r="C751" s="11" t="n">
        <x:v>46163</x:v>
      </x:c>
      <x:c r="D751" s="13" t="n">
        <x:v>752.45</x:v>
      </x:c>
    </x:row>
    <x:row r="752">
      <x:c r="A752" s="9" t="str">
        <x:v>748</x:v>
      </x:c>
      <x:c r="B752" s="9" t="str">
        <x:v>388</x:v>
      </x:c>
      <x:c r="C752" s="11" t="n">
        <x:v>46085</x:v>
      </x:c>
      <x:c r="D752" s="13" t="n">
        <x:v>1270.5</x:v>
      </x:c>
    </x:row>
    <x:row r="753">
      <x:c r="A753" s="9" t="str">
        <x:v>749</x:v>
      </x:c>
      <x:c r="B753" s="9" t="str">
        <x:v>388</x:v>
      </x:c>
      <x:c r="C753" s="11" t="n">
        <x:v>46101</x:v>
      </x:c>
      <x:c r="D753" s="13" t="n">
        <x:v>883.55</x:v>
      </x:c>
    </x:row>
    <x:row r="754">
      <x:c r="A754" s="9" t="str">
        <x:v>750</x:v>
      </x:c>
      <x:c r="B754" s="9" t="str">
        <x:v>389</x:v>
      </x:c>
      <x:c r="C754" s="11" t="n">
        <x:v>46090</x:v>
      </x:c>
      <x:c r="D754" s="13" t="n">
        <x:v>435.62</x:v>
      </x:c>
    </x:row>
    <x:row r="755">
      <x:c r="A755" s="9" t="str">
        <x:v>751</x:v>
      </x:c>
      <x:c r="B755" s="9" t="str">
        <x:v>389</x:v>
      </x:c>
      <x:c r="C755" s="11" t="n">
        <x:v>46152</x:v>
      </x:c>
      <x:c r="D755" s="13" t="n">
        <x:v>2010.02</x:v>
      </x:c>
    </x:row>
    <x:row r="756">
      <x:c r="A756" s="9" t="str">
        <x:v>752</x:v>
      </x:c>
      <x:c r="B756" s="9" t="str">
        <x:v>389</x:v>
      </x:c>
      <x:c r="C756" s="11" t="n">
        <x:v>46130</x:v>
      </x:c>
      <x:c r="D756" s="13" t="n">
        <x:v>679.14</x:v>
      </x:c>
    </x:row>
    <x:row r="757">
      <x:c r="A757" s="9" t="str">
        <x:v>753</x:v>
      </x:c>
      <x:c r="B757" s="9" t="str">
        <x:v>389</x:v>
      </x:c>
      <x:c r="C757" s="11" t="n">
        <x:v>46166</x:v>
      </x:c>
      <x:c r="D757" s="13" t="n">
        <x:v>1345.9</x:v>
      </x:c>
    </x:row>
    <x:row r="758">
      <x:c r="A758" s="9" t="str">
        <x:v>754</x:v>
      </x:c>
      <x:c r="B758" s="9" t="str">
        <x:v>390</x:v>
      </x:c>
      <x:c r="C758" s="11" t="n">
        <x:v>46123</x:v>
      </x:c>
      <x:c r="D758" s="13" t="n">
        <x:v>676.6</x:v>
      </x:c>
    </x:row>
    <x:row r="759">
      <x:c r="A759" s="9" t="str">
        <x:v>755</x:v>
      </x:c>
      <x:c r="B759" s="9" t="str">
        <x:v>391</x:v>
      </x:c>
      <x:c r="C759" s="11" t="n">
        <x:v>46142</x:v>
      </x:c>
      <x:c r="D759" s="13" t="n">
        <x:v>1118.72</x:v>
      </x:c>
    </x:row>
    <x:row r="760">
      <x:c r="A760" s="9" t="str">
        <x:v>756</x:v>
      </x:c>
      <x:c r="B760" s="9" t="str">
        <x:v>392</x:v>
      </x:c>
      <x:c r="C760" s="11" t="n">
        <x:v>46111</x:v>
      </x:c>
      <x:c r="D760" s="13" t="n">
        <x:v>413.83</x:v>
      </x:c>
    </x:row>
    <x:row r="761">
      <x:c r="A761" s="9" t="str">
        <x:v>757</x:v>
      </x:c>
      <x:c r="B761" s="9" t="str">
        <x:v>392</x:v>
      </x:c>
      <x:c r="C761" s="11" t="n">
        <x:v>46173</x:v>
      </x:c>
      <x:c r="D761" s="13" t="n">
        <x:v>230.72</x:v>
      </x:c>
    </x:row>
    <x:row r="762">
      <x:c r="A762" s="9" t="str">
        <x:v>758</x:v>
      </x:c>
      <x:c r="B762" s="9" t="str">
        <x:v>392</x:v>
      </x:c>
      <x:c r="C762" s="11" t="n">
        <x:v>46123</x:v>
      </x:c>
      <x:c r="D762" s="13" t="n">
        <x:v>12.06</x:v>
      </x:c>
    </x:row>
    <x:row r="763">
      <x:c r="A763" s="9" t="str">
        <x:v>759</x:v>
      </x:c>
      <x:c r="B763" s="9" t="str">
        <x:v>393</x:v>
      </x:c>
      <x:c r="C763" s="11" t="n">
        <x:v>46152</x:v>
      </x:c>
      <x:c r="D763" s="13" t="n">
        <x:v>992.12</x:v>
      </x:c>
    </x:row>
    <x:row r="764">
      <x:c r="A764" s="9" t="str">
        <x:v>760</x:v>
      </x:c>
      <x:c r="B764" s="9" t="str">
        <x:v>395</x:v>
      </x:c>
      <x:c r="C764" s="11" t="n">
        <x:v>46120</x:v>
      </x:c>
      <x:c r="D764" s="13" t="n">
        <x:v>173.42</x:v>
      </x:c>
    </x:row>
    <x:row r="765">
      <x:c r="A765" s="9" t="str">
        <x:v>761</x:v>
      </x:c>
      <x:c r="B765" s="9" t="str">
        <x:v>395</x:v>
      </x:c>
      <x:c r="C765" s="11" t="n">
        <x:v>46137</x:v>
      </x:c>
      <x:c r="D765" s="13" t="n">
        <x:v>94.23</x:v>
      </x:c>
    </x:row>
    <x:row r="766">
      <x:c r="A766" s="9" t="str">
        <x:v>762</x:v>
      </x:c>
      <x:c r="B766" s="9" t="str">
        <x:v>395</x:v>
      </x:c>
      <x:c r="C766" s="11" t="n">
        <x:v>46199</x:v>
      </x:c>
      <x:c r="D766" s="13" t="n">
        <x:v>48.88</x:v>
      </x:c>
    </x:row>
    <x:row r="767">
      <x:c r="A767" s="9" t="str">
        <x:v>763</x:v>
      </x:c>
      <x:c r="B767" s="9" t="str">
        <x:v>396</x:v>
      </x:c>
      <x:c r="C767" s="11" t="n">
        <x:v>46120</x:v>
      </x:c>
      <x:c r="D767" s="13" t="n">
        <x:v>48.07</x:v>
      </x:c>
    </x:row>
    <x:row r="768">
      <x:c r="A768" s="9" t="str">
        <x:v>764</x:v>
      </x:c>
      <x:c r="B768" s="9" t="str">
        <x:v>396</x:v>
      </x:c>
      <x:c r="C768" s="11" t="n">
        <x:v>46092</x:v>
      </x:c>
      <x:c r="D768" s="13" t="n">
        <x:v>2736.68</x:v>
      </x:c>
    </x:row>
    <x:row r="769">
      <x:c r="A769" s="9" t="str">
        <x:v>765</x:v>
      </x:c>
      <x:c r="B769" s="9" t="str">
        <x:v>396</x:v>
      </x:c>
      <x:c r="C769" s="11" t="n">
        <x:v>46145</x:v>
      </x:c>
      <x:c r="D769" s="13" t="n">
        <x:v>2557.65</x:v>
      </x:c>
    </x:row>
    <x:row r="770">
      <x:c r="A770" s="9" t="str">
        <x:v>766</x:v>
      </x:c>
      <x:c r="B770" s="9" t="str">
        <x:v>396</x:v>
      </x:c>
      <x:c r="C770" s="11" t="n">
        <x:v>46178</x:v>
      </x:c>
      <x:c r="D770" s="13" t="n">
        <x:v>1777</x:v>
      </x:c>
    </x:row>
    <x:row r="771">
      <x:c r="A771" s="9" t="str">
        <x:v>767</x:v>
      </x:c>
      <x:c r="B771" s="9" t="str">
        <x:v>397</x:v>
      </x:c>
      <x:c r="C771" s="11" t="n">
        <x:v>46202</x:v>
      </x:c>
      <x:c r="D771" s="13" t="n">
        <x:v>12.1</x:v>
      </x:c>
    </x:row>
    <x:row r="772">
      <x:c r="A772" s="9" t="str">
        <x:v>768</x:v>
      </x:c>
      <x:c r="B772" s="9" t="str">
        <x:v>398</x:v>
      </x:c>
      <x:c r="C772" s="11" t="n">
        <x:v>46110</x:v>
      </x:c>
      <x:c r="D772" s="13" t="n">
        <x:v>1740.74</x:v>
      </x:c>
    </x:row>
    <x:row r="773">
      <x:c r="A773" s="9" t="str">
        <x:v>769</x:v>
      </x:c>
      <x:c r="B773" s="9" t="str">
        <x:v>398</x:v>
      </x:c>
      <x:c r="C773" s="11" t="n">
        <x:v>46167</x:v>
      </x:c>
      <x:c r="D773" s="13" t="n">
        <x:v>18.2</x:v>
      </x:c>
    </x:row>
    <x:row r="774">
      <x:c r="A774" s="9" t="str">
        <x:v>770</x:v>
      </x:c>
      <x:c r="B774" s="9" t="str">
        <x:v>398</x:v>
      </x:c>
      <x:c r="C774" s="11" t="n">
        <x:v>46088</x:v>
      </x:c>
      <x:c r="D774" s="13" t="n">
        <x:v>854.58</x:v>
      </x:c>
    </x:row>
    <x:row r="775">
      <x:c r="A775" s="9" t="str">
        <x:v>771</x:v>
      </x:c>
      <x:c r="B775" s="9" t="str">
        <x:v>400</x:v>
      </x:c>
      <x:c r="C775" s="11" t="n">
        <x:v>46197</x:v>
      </x:c>
      <x:c r="D775" s="13" t="n">
        <x:v>1747.07</x:v>
      </x:c>
    </x:row>
    <x:row r="776">
      <x:c r="A776" s="9" t="str">
        <x:v>772</x:v>
      </x:c>
      <x:c r="B776" s="9" t="str">
        <x:v>400</x:v>
      </x:c>
      <x:c r="C776" s="11" t="n">
        <x:v>46178</x:v>
      </x:c>
      <x:c r="D776" s="13" t="n">
        <x:v>641.5</x:v>
      </x:c>
    </x:row>
    <x:row r="777">
      <x:c r="A777" s="9" t="str">
        <x:v>773</x:v>
      </x:c>
      <x:c r="B777" s="9" t="str">
        <x:v>400</x:v>
      </x:c>
      <x:c r="C777" s="11" t="n">
        <x:v>46173</x:v>
      </x:c>
      <x:c r="D777" s="13" t="n">
        <x:v>564.8</x:v>
      </x:c>
    </x:row>
    <x:row r="778">
      <x:c r="A778" s="9" t="str">
        <x:v>774</x:v>
      </x:c>
      <x:c r="B778" s="9" t="str">
        <x:v>401</x:v>
      </x:c>
      <x:c r="C778" s="11" t="n">
        <x:v>46095</x:v>
      </x:c>
      <x:c r="D778" s="13" t="n">
        <x:v>298.85</x:v>
      </x:c>
    </x:row>
    <x:row r="779">
      <x:c r="A779" s="9" t="str">
        <x:v>775</x:v>
      </x:c>
      <x:c r="B779" s="9" t="str">
        <x:v>401</x:v>
      </x:c>
      <x:c r="C779" s="11" t="n">
        <x:v>46151</x:v>
      </x:c>
      <x:c r="D779" s="13" t="n">
        <x:v>882.85</x:v>
      </x:c>
    </x:row>
    <x:row r="780">
      <x:c r="A780" s="9" t="str">
        <x:v>776</x:v>
      </x:c>
      <x:c r="B780" s="9" t="str">
        <x:v>402</x:v>
      </x:c>
      <x:c r="C780" s="11" t="n">
        <x:v>46200</x:v>
      </x:c>
      <x:c r="D780" s="13" t="n">
        <x:v>349.04</x:v>
      </x:c>
    </x:row>
    <x:row r="781">
      <x:c r="A781" s="9" t="str">
        <x:v>777</x:v>
      </x:c>
      <x:c r="B781" s="9" t="str">
        <x:v>403</x:v>
      </x:c>
      <x:c r="C781" s="11" t="n">
        <x:v>46192</x:v>
      </x:c>
      <x:c r="D781" s="13" t="n">
        <x:v>133.31</x:v>
      </x:c>
    </x:row>
    <x:row r="782">
      <x:c r="A782" s="9" t="str">
        <x:v>778</x:v>
      </x:c>
      <x:c r="B782" s="9" t="str">
        <x:v>403</x:v>
      </x:c>
      <x:c r="C782" s="11" t="n">
        <x:v>46170</x:v>
      </x:c>
      <x:c r="D782" s="13" t="n">
        <x:v>86.09</x:v>
      </x:c>
    </x:row>
    <x:row r="783">
      <x:c r="A783" s="9" t="str">
        <x:v>779</x:v>
      </x:c>
      <x:c r="B783" s="9" t="str">
        <x:v>403</x:v>
      </x:c>
      <x:c r="C783" s="11" t="n">
        <x:v>46113</x:v>
      </x:c>
      <x:c r="D783" s="13" t="n">
        <x:v>251</x:v>
      </x:c>
    </x:row>
    <x:row r="784">
      <x:c r="A784" s="9" t="str">
        <x:v>780</x:v>
      </x:c>
      <x:c r="B784" s="9" t="str">
        <x:v>403</x:v>
      </x:c>
      <x:c r="C784" s="11" t="n">
        <x:v>46145</x:v>
      </x:c>
      <x:c r="D784" s="13" t="n">
        <x:v>215.37</x:v>
      </x:c>
    </x:row>
    <x:row r="785">
      <x:c r="A785" s="9" t="str">
        <x:v>781</x:v>
      </x:c>
      <x:c r="B785" s="9" t="str">
        <x:v>404</x:v>
      </x:c>
      <x:c r="C785" s="11" t="n">
        <x:v>46142</x:v>
      </x:c>
      <x:c r="D785" s="13" t="n">
        <x:v>287.67</x:v>
      </x:c>
    </x:row>
    <x:row r="786">
      <x:c r="A786" s="9" t="str">
        <x:v>782</x:v>
      </x:c>
      <x:c r="B786" s="9" t="str">
        <x:v>404</x:v>
      </x:c>
      <x:c r="C786" s="11" t="n">
        <x:v>46188</x:v>
      </x:c>
      <x:c r="D786" s="13" t="n">
        <x:v>249.22</x:v>
      </x:c>
    </x:row>
    <x:row r="787">
      <x:c r="A787" s="9" t="str">
        <x:v>783</x:v>
      </x:c>
      <x:c r="B787" s="9" t="str">
        <x:v>404</x:v>
      </x:c>
      <x:c r="C787" s="11" t="n">
        <x:v>46168</x:v>
      </x:c>
      <x:c r="D787" s="13" t="n">
        <x:v>92.77</x:v>
      </x:c>
    </x:row>
    <x:row r="788">
      <x:c r="A788" s="9" t="str">
        <x:v>784</x:v>
      </x:c>
      <x:c r="B788" s="9" t="str">
        <x:v>405</x:v>
      </x:c>
      <x:c r="C788" s="11" t="n">
        <x:v>46116</x:v>
      </x:c>
      <x:c r="D788" s="13" t="n">
        <x:v>381.44</x:v>
      </x:c>
    </x:row>
    <x:row r="789">
      <x:c r="A789" s="9" t="str">
        <x:v>785</x:v>
      </x:c>
      <x:c r="B789" s="9" t="str">
        <x:v>405</x:v>
      </x:c>
      <x:c r="C789" s="11" t="n">
        <x:v>46183</x:v>
      </x:c>
      <x:c r="D789" s="13" t="n">
        <x:v>989.18</x:v>
      </x:c>
    </x:row>
    <x:row r="790">
      <x:c r="A790" s="9" t="str">
        <x:v>786</x:v>
      </x:c>
      <x:c r="B790" s="9" t="str">
        <x:v>405</x:v>
      </x:c>
      <x:c r="C790" s="11" t="n">
        <x:v>46200</x:v>
      </x:c>
      <x:c r="D790" s="13" t="n">
        <x:v>1122.96</x:v>
      </x:c>
    </x:row>
    <x:row r="791">
      <x:c r="A791" s="9" t="str">
        <x:v>787</x:v>
      </x:c>
      <x:c r="B791" s="9" t="str">
        <x:v>405</x:v>
      </x:c>
      <x:c r="C791" s="11" t="n">
        <x:v>46187</x:v>
      </x:c>
      <x:c r="D791" s="13" t="n">
        <x:v>1094.95</x:v>
      </x:c>
    </x:row>
    <x:row r="792">
      <x:c r="A792" s="9" t="str">
        <x:v>788</x:v>
      </x:c>
      <x:c r="B792" s="9" t="str">
        <x:v>406</x:v>
      </x:c>
      <x:c r="C792" s="11" t="n">
        <x:v>46184</x:v>
      </x:c>
      <x:c r="D792" s="13" t="n">
        <x:v>1263.78</x:v>
      </x:c>
    </x:row>
    <x:row r="793">
      <x:c r="A793" s="9" t="str">
        <x:v>789</x:v>
      </x:c>
      <x:c r="B793" s="9" t="str">
        <x:v>406</x:v>
      </x:c>
      <x:c r="C793" s="11" t="n">
        <x:v>46167</x:v>
      </x:c>
      <x:c r="D793" s="13" t="n">
        <x:v>575.45</x:v>
      </x:c>
    </x:row>
    <x:row r="794">
      <x:c r="A794" s="9" t="str">
        <x:v>790</x:v>
      </x:c>
      <x:c r="B794" s="9" t="str">
        <x:v>406</x:v>
      </x:c>
      <x:c r="C794" s="11" t="n">
        <x:v>46194</x:v>
      </x:c>
      <x:c r="D794" s="13" t="n">
        <x:v>774.13</x:v>
      </x:c>
    </x:row>
    <x:row r="795">
      <x:c r="A795" s="9" t="str">
        <x:v>791</x:v>
      </x:c>
      <x:c r="B795" s="9" t="str">
        <x:v>406</x:v>
      </x:c>
      <x:c r="C795" s="11" t="n">
        <x:v>46111</x:v>
      </x:c>
      <x:c r="D795" s="13" t="n">
        <x:v>997.51</x:v>
      </x:c>
    </x:row>
    <x:row r="796">
      <x:c r="A796" s="9" t="str">
        <x:v>792</x:v>
      </x:c>
      <x:c r="B796" s="9" t="str">
        <x:v>407</x:v>
      </x:c>
      <x:c r="C796" s="11" t="n">
        <x:v>46168</x:v>
      </x:c>
      <x:c r="D796" s="13" t="n">
        <x:v>1038.35</x:v>
      </x:c>
    </x:row>
    <x:row r="797">
      <x:c r="A797" s="9" t="str">
        <x:v>793</x:v>
      </x:c>
      <x:c r="B797" s="9" t="str">
        <x:v>407</x:v>
      </x:c>
      <x:c r="C797" s="11" t="n">
        <x:v>46190</x:v>
      </x:c>
      <x:c r="D797" s="13" t="n">
        <x:v>1117.39</x:v>
      </x:c>
    </x:row>
    <x:row r="798">
      <x:c r="A798" s="9" t="str">
        <x:v>794</x:v>
      </x:c>
      <x:c r="B798" s="9" t="str">
        <x:v>407</x:v>
      </x:c>
      <x:c r="C798" s="11" t="n">
        <x:v>46169</x:v>
      </x:c>
      <x:c r="D798" s="13" t="n">
        <x:v>1251.04</x:v>
      </x:c>
    </x:row>
    <x:row r="799">
      <x:c r="A799" s="9" t="str">
        <x:v>795</x:v>
      </x:c>
      <x:c r="B799" s="9" t="str">
        <x:v>407</x:v>
      </x:c>
      <x:c r="C799" s="11" t="n">
        <x:v>46172</x:v>
      </x:c>
      <x:c r="D799" s="13" t="n">
        <x:v>1996.3</x:v>
      </x:c>
    </x:row>
    <x:row r="800">
      <x:c r="A800" s="9" t="str">
        <x:v>796</x:v>
      </x:c>
      <x:c r="B800" s="9" t="str">
        <x:v>408</x:v>
      </x:c>
      <x:c r="C800" s="11" t="n">
        <x:v>46159</x:v>
      </x:c>
      <x:c r="D800" s="13" t="n">
        <x:v>1168.37</x:v>
      </x:c>
    </x:row>
    <x:row r="801">
      <x:c r="A801" s="9" t="str">
        <x:v>797</x:v>
      </x:c>
      <x:c r="B801" s="9" t="str">
        <x:v>410</x:v>
      </x:c>
      <x:c r="C801" s="11" t="n">
        <x:v>46106</x:v>
      </x:c>
      <x:c r="D801" s="13" t="n">
        <x:v>327.76</x:v>
      </x:c>
    </x:row>
    <x:row r="802">
      <x:c r="A802" s="9" t="str">
        <x:v>798</x:v>
      </x:c>
      <x:c r="B802" s="9" t="str">
        <x:v>410</x:v>
      </x:c>
      <x:c r="C802" s="11" t="n">
        <x:v>46171</x:v>
      </x:c>
      <x:c r="D802" s="13" t="n">
        <x:v>215.44</x:v>
      </x:c>
    </x:row>
    <x:row r="803">
      <x:c r="A803" s="9" t="str">
        <x:v>799</x:v>
      </x:c>
      <x:c r="B803" s="9" t="str">
        <x:v>410</x:v>
      </x:c>
      <x:c r="C803" s="11" t="n">
        <x:v>46076</x:v>
      </x:c>
      <x:c r="D803" s="13" t="n">
        <x:v>90.28</x:v>
      </x:c>
    </x:row>
    <x:row r="804">
      <x:c r="A804" s="9" t="str">
        <x:v>800</x:v>
      </x:c>
      <x:c r="B804" s="9" t="str">
        <x:v>412</x:v>
      </x:c>
      <x:c r="C804" s="11" t="n">
        <x:v>46193</x:v>
      </x:c>
      <x:c r="D804" s="13" t="n">
        <x:v>484.73</x:v>
      </x:c>
    </x:row>
    <x:row r="805">
      <x:c r="A805" s="9" t="str">
        <x:v>801</x:v>
      </x:c>
      <x:c r="B805" s="9" t="str">
        <x:v>412</x:v>
      </x:c>
      <x:c r="C805" s="11" t="n">
        <x:v>46196</x:v>
      </x:c>
      <x:c r="D805" s="13" t="n">
        <x:v>1279.27</x:v>
      </x:c>
    </x:row>
    <x:row r="806">
      <x:c r="A806" s="9" t="str">
        <x:v>802</x:v>
      </x:c>
      <x:c r="B806" s="9" t="str">
        <x:v>412</x:v>
      </x:c>
      <x:c r="C806" s="11" t="n">
        <x:v>46177</x:v>
      </x:c>
      <x:c r="D806" s="13" t="n">
        <x:v>792.14</x:v>
      </x:c>
    </x:row>
    <x:row r="807">
      <x:c r="A807" s="9" t="str">
        <x:v>803</x:v>
      </x:c>
      <x:c r="B807" s="9" t="str">
        <x:v>412</x:v>
      </x:c>
      <x:c r="C807" s="11" t="n">
        <x:v>46189</x:v>
      </x:c>
      <x:c r="D807" s="13" t="n">
        <x:v>270.67</x:v>
      </x:c>
    </x:row>
    <x:row r="808">
      <x:c r="A808" s="9" t="str">
        <x:v>804</x:v>
      </x:c>
      <x:c r="B808" s="9" t="str">
        <x:v>413</x:v>
      </x:c>
      <x:c r="C808" s="11" t="n">
        <x:v>46165</x:v>
      </x:c>
      <x:c r="D808" s="13" t="n">
        <x:v>1542.81</x:v>
      </x:c>
    </x:row>
    <x:row r="809">
      <x:c r="A809" s="9" t="str">
        <x:v>805</x:v>
      </x:c>
      <x:c r="B809" s="9" t="str">
        <x:v>413</x:v>
      </x:c>
      <x:c r="C809" s="11" t="n">
        <x:v>46194</x:v>
      </x:c>
      <x:c r="D809" s="13" t="n">
        <x:v>1881.05</x:v>
      </x:c>
    </x:row>
    <x:row r="810">
      <x:c r="A810" s="9" t="str">
        <x:v>806</x:v>
      </x:c>
      <x:c r="B810" s="9" t="str">
        <x:v>413</x:v>
      </x:c>
      <x:c r="C810" s="11" t="n">
        <x:v>46081</x:v>
      </x:c>
      <x:c r="D810" s="13" t="n">
        <x:v>335.29</x:v>
      </x:c>
    </x:row>
    <x:row r="811">
      <x:c r="A811" s="9" t="str">
        <x:v>807</x:v>
      </x:c>
      <x:c r="B811" s="9" t="str">
        <x:v>413</x:v>
      </x:c>
      <x:c r="C811" s="11" t="n">
        <x:v>46058</x:v>
      </x:c>
      <x:c r="D811" s="13" t="n">
        <x:v>1736.43</x:v>
      </x:c>
    </x:row>
    <x:row r="812">
      <x:c r="A812" s="9" t="str">
        <x:v>808</x:v>
      </x:c>
      <x:c r="B812" s="9" t="str">
        <x:v>414</x:v>
      </x:c>
      <x:c r="C812" s="11" t="n">
        <x:v>46114</x:v>
      </x:c>
      <x:c r="D812" s="13" t="n">
        <x:v>221.3</x:v>
      </x:c>
    </x:row>
    <x:row r="813">
      <x:c r="A813" s="9" t="str">
        <x:v>809</x:v>
      </x:c>
      <x:c r="B813" s="9" t="str">
        <x:v>415</x:v>
      </x:c>
      <x:c r="C813" s="11" t="n">
        <x:v>46164</x:v>
      </x:c>
      <x:c r="D813" s="13" t="n">
        <x:v>1650.68</x:v>
      </x:c>
    </x:row>
    <x:row r="814">
      <x:c r="A814" s="9" t="str">
        <x:v>810</x:v>
      </x:c>
      <x:c r="B814" s="9" t="str">
        <x:v>415</x:v>
      </x:c>
      <x:c r="C814" s="11" t="n">
        <x:v>46175</x:v>
      </x:c>
      <x:c r="D814" s="13" t="n">
        <x:v>1856.1</x:v>
      </x:c>
    </x:row>
    <x:row r="815">
      <x:c r="A815" s="9" t="str">
        <x:v>811</x:v>
      </x:c>
      <x:c r="B815" s="9" t="str">
        <x:v>415</x:v>
      </x:c>
      <x:c r="C815" s="11" t="n">
        <x:v>46163</x:v>
      </x:c>
      <x:c r="D815" s="13" t="n">
        <x:v>2831.76</x:v>
      </x:c>
    </x:row>
    <x:row r="816">
      <x:c r="A816" s="9" t="str">
        <x:v>812</x:v>
      </x:c>
      <x:c r="B816" s="9" t="str">
        <x:v>416</x:v>
      </x:c>
      <x:c r="C816" s="11" t="n">
        <x:v>46115</x:v>
      </x:c>
      <x:c r="D816" s="13" t="n">
        <x:v>373.58</x:v>
      </x:c>
    </x:row>
    <x:row r="817">
      <x:c r="A817" s="9" t="str">
        <x:v>813</x:v>
      </x:c>
      <x:c r="B817" s="9" t="str">
        <x:v>416</x:v>
      </x:c>
      <x:c r="C817" s="11" t="n">
        <x:v>46178</x:v>
      </x:c>
      <x:c r="D817" s="13" t="n">
        <x:v>965.65</x:v>
      </x:c>
    </x:row>
    <x:row r="818">
      <x:c r="A818" s="9" t="str">
        <x:v>814</x:v>
      </x:c>
      <x:c r="B818" s="9" t="str">
        <x:v>417</x:v>
      </x:c>
      <x:c r="C818" s="11" t="n">
        <x:v>46116</x:v>
      </x:c>
      <x:c r="D818" s="13" t="n">
        <x:v>253.88</x:v>
      </x:c>
    </x:row>
    <x:row r="819">
      <x:c r="A819" s="9" t="str">
        <x:v>815</x:v>
      </x:c>
      <x:c r="B819" s="9" t="str">
        <x:v>419</x:v>
      </x:c>
      <x:c r="C819" s="11" t="n">
        <x:v>46191</x:v>
      </x:c>
      <x:c r="D819" s="13" t="n">
        <x:v>1919.26</x:v>
      </x:c>
    </x:row>
    <x:row r="820">
      <x:c r="A820" s="9" t="str">
        <x:v>816</x:v>
      </x:c>
      <x:c r="B820" s="9" t="str">
        <x:v>419</x:v>
      </x:c>
      <x:c r="C820" s="11" t="n">
        <x:v>46154</x:v>
      </x:c>
      <x:c r="D820" s="13" t="n">
        <x:v>813.6</x:v>
      </x:c>
    </x:row>
    <x:row r="821">
      <x:c r="A821" s="9" t="str">
        <x:v>817</x:v>
      </x:c>
      <x:c r="B821" s="9" t="str">
        <x:v>419</x:v>
      </x:c>
      <x:c r="C821" s="11" t="n">
        <x:v>46091</x:v>
      </x:c>
      <x:c r="D821" s="13" t="n">
        <x:v>1293.5</x:v>
      </x:c>
    </x:row>
    <x:row r="822">
      <x:c r="A822" s="9" t="str">
        <x:v>818</x:v>
      </x:c>
      <x:c r="B822" s="9" t="str">
        <x:v>419</x:v>
      </x:c>
      <x:c r="C822" s="11" t="n">
        <x:v>46123</x:v>
      </x:c>
      <x:c r="D822" s="13" t="n">
        <x:v>1396.63</x:v>
      </x:c>
    </x:row>
    <x:row r="823">
      <x:c r="A823" s="9" t="str">
        <x:v>819</x:v>
      </x:c>
      <x:c r="B823" s="9" t="str">
        <x:v>420</x:v>
      </x:c>
      <x:c r="C823" s="11" t="n">
        <x:v>46144</x:v>
      </x:c>
      <x:c r="D823" s="13" t="n">
        <x:v>678.84</x:v>
      </x:c>
    </x:row>
    <x:row r="824">
      <x:c r="A824" s="9" t="str">
        <x:v>820</x:v>
      </x:c>
      <x:c r="B824" s="9" t="str">
        <x:v>420</x:v>
      </x:c>
      <x:c r="C824" s="11" t="n">
        <x:v>46198</x:v>
      </x:c>
      <x:c r="D824" s="13" t="n">
        <x:v>59.79</x:v>
      </x:c>
    </x:row>
    <x:row r="825">
      <x:c r="A825" s="9" t="str">
        <x:v>821</x:v>
      </x:c>
      <x:c r="B825" s="9" t="str">
        <x:v>420</x:v>
      </x:c>
      <x:c r="C825" s="11" t="n">
        <x:v>46202</x:v>
      </x:c>
      <x:c r="D825" s="13" t="n">
        <x:v>2702.56</x:v>
      </x:c>
    </x:row>
    <x:row r="826">
      <x:c r="A826" s="9" t="str">
        <x:v>822</x:v>
      </x:c>
      <x:c r="B826" s="9" t="str">
        <x:v>420</x:v>
      </x:c>
      <x:c r="C826" s="11" t="n">
        <x:v>46195</x:v>
      </x:c>
      <x:c r="D826" s="13" t="n">
        <x:v>825.22</x:v>
      </x:c>
    </x:row>
    <x:row r="827">
      <x:c r="A827" s="9" t="str">
        <x:v>823</x:v>
      </x:c>
      <x:c r="B827" s="9" t="str">
        <x:v>421</x:v>
      </x:c>
      <x:c r="C827" s="11" t="n">
        <x:v>46173</x:v>
      </x:c>
      <x:c r="D827" s="13" t="n">
        <x:v>489.99</x:v>
      </x:c>
    </x:row>
    <x:row r="828">
      <x:c r="A828" s="9" t="str">
        <x:v>824</x:v>
      </x:c>
      <x:c r="B828" s="9" t="str">
        <x:v>421</x:v>
      </x:c>
      <x:c r="C828" s="11" t="n">
        <x:v>46176</x:v>
      </x:c>
      <x:c r="D828" s="13" t="n">
        <x:v>937.99</x:v>
      </x:c>
    </x:row>
    <x:row r="829">
      <x:c r="A829" s="9" t="str">
        <x:v>825</x:v>
      </x:c>
      <x:c r="B829" s="9" t="str">
        <x:v>421</x:v>
      </x:c>
      <x:c r="C829" s="11" t="n">
        <x:v>46153</x:v>
      </x:c>
      <x:c r="D829" s="13" t="n">
        <x:v>1326.56</x:v>
      </x:c>
    </x:row>
    <x:row r="830">
      <x:c r="A830" s="9" t="str">
        <x:v>826</x:v>
      </x:c>
      <x:c r="B830" s="9" t="str">
        <x:v>422</x:v>
      </x:c>
      <x:c r="C830" s="11" t="n">
        <x:v>46060</x:v>
      </x:c>
      <x:c r="D830" s="13" t="n">
        <x:v>387.03</x:v>
      </x:c>
    </x:row>
    <x:row r="831">
      <x:c r="A831" s="9" t="str">
        <x:v>827</x:v>
      </x:c>
      <x:c r="B831" s="9" t="str">
        <x:v>423</x:v>
      </x:c>
      <x:c r="C831" s="11" t="n">
        <x:v>46192</x:v>
      </x:c>
      <x:c r="D831" s="13" t="n">
        <x:v>94.37</x:v>
      </x:c>
    </x:row>
    <x:row r="832">
      <x:c r="A832" s="9" t="str">
        <x:v>828</x:v>
      </x:c>
      <x:c r="B832" s="9" t="str">
        <x:v>423</x:v>
      </x:c>
      <x:c r="C832" s="11" t="n">
        <x:v>46193</x:v>
      </x:c>
      <x:c r="D832" s="13" t="n">
        <x:v>97.22</x:v>
      </x:c>
    </x:row>
    <x:row r="833">
      <x:c r="A833" s="9" t="str">
        <x:v>829</x:v>
      </x:c>
      <x:c r="B833" s="9" t="str">
        <x:v>423</x:v>
      </x:c>
      <x:c r="C833" s="11" t="n">
        <x:v>46174</x:v>
      </x:c>
      <x:c r="D833" s="13" t="n">
        <x:v>30.42</x:v>
      </x:c>
    </x:row>
    <x:row r="834">
      <x:c r="A834" s="9" t="str">
        <x:v>830</x:v>
      </x:c>
      <x:c r="B834" s="9" t="str">
        <x:v>424</x:v>
      </x:c>
      <x:c r="C834" s="11" t="n">
        <x:v>46133</x:v>
      </x:c>
      <x:c r="D834" s="13" t="n">
        <x:v>66.53</x:v>
      </x:c>
    </x:row>
    <x:row r="835">
      <x:c r="A835" s="9" t="str">
        <x:v>831</x:v>
      </x:c>
      <x:c r="B835" s="9" t="str">
        <x:v>424</x:v>
      </x:c>
      <x:c r="C835" s="11" t="n">
        <x:v>46081</x:v>
      </x:c>
      <x:c r="D835" s="13" t="n">
        <x:v>96.52</x:v>
      </x:c>
    </x:row>
    <x:row r="836">
      <x:c r="A836" s="9" t="str">
        <x:v>832</x:v>
      </x:c>
      <x:c r="B836" s="9" t="str">
        <x:v>424</x:v>
      </x:c>
      <x:c r="C836" s="11" t="n">
        <x:v>46114</x:v>
      </x:c>
      <x:c r="D836" s="13" t="n">
        <x:v>83.5</x:v>
      </x:c>
    </x:row>
    <x:row r="837">
      <x:c r="A837" s="9" t="str">
        <x:v>833</x:v>
      </x:c>
      <x:c r="B837" s="9" t="str">
        <x:v>424</x:v>
      </x:c>
      <x:c r="C837" s="11" t="n">
        <x:v>46128</x:v>
      </x:c>
      <x:c r="D837" s="13" t="n">
        <x:v>95.77</x:v>
      </x:c>
    </x:row>
    <x:row r="838">
      <x:c r="A838" s="9" t="str">
        <x:v>834</x:v>
      </x:c>
      <x:c r="B838" s="9" t="str">
        <x:v>425</x:v>
      </x:c>
      <x:c r="C838" s="11" t="n">
        <x:v>46122</x:v>
      </x:c>
      <x:c r="D838" s="13" t="n">
        <x:v>306.83</x:v>
      </x:c>
    </x:row>
    <x:row r="839">
      <x:c r="A839" s="9" t="str">
        <x:v>835</x:v>
      </x:c>
      <x:c r="B839" s="9" t="str">
        <x:v>425</x:v>
      </x:c>
      <x:c r="C839" s="11" t="n">
        <x:v>46099</x:v>
      </x:c>
      <x:c r="D839" s="13" t="n">
        <x:v>1790.12</x:v>
      </x:c>
    </x:row>
    <x:row r="840">
      <x:c r="A840" s="9" t="str">
        <x:v>836</x:v>
      </x:c>
      <x:c r="B840" s="9" t="str">
        <x:v>426</x:v>
      </x:c>
      <x:c r="C840" s="11" t="n">
        <x:v>46064</x:v>
      </x:c>
      <x:c r="D840" s="13" t="n">
        <x:v>937.7</x:v>
      </x:c>
    </x:row>
    <x:row r="841">
      <x:c r="A841" s="9" t="str">
        <x:v>837</x:v>
      </x:c>
      <x:c r="B841" s="9" t="str">
        <x:v>426</x:v>
      </x:c>
      <x:c r="C841" s="11" t="n">
        <x:v>46126</x:v>
      </x:c>
      <x:c r="D841" s="13" t="n">
        <x:v>23.51</x:v>
      </x:c>
    </x:row>
    <x:row r="842">
      <x:c r="A842" s="9" t="str">
        <x:v>838</x:v>
      </x:c>
      <x:c r="B842" s="9" t="str">
        <x:v>428</x:v>
      </x:c>
      <x:c r="C842" s="11" t="n">
        <x:v>46180</x:v>
      </x:c>
      <x:c r="D842" s="13" t="n">
        <x:v>17.61</x:v>
      </x:c>
    </x:row>
    <x:row r="843">
      <x:c r="A843" s="9" t="str">
        <x:v>839</x:v>
      </x:c>
      <x:c r="B843" s="9" t="str">
        <x:v>428</x:v>
      </x:c>
      <x:c r="C843" s="11" t="n">
        <x:v>46149</x:v>
      </x:c>
      <x:c r="D843" s="13" t="n">
        <x:v>270.13</x:v>
      </x:c>
    </x:row>
    <x:row r="844">
      <x:c r="A844" s="9" t="str">
        <x:v>840</x:v>
      </x:c>
      <x:c r="B844" s="9" t="str">
        <x:v>428</x:v>
      </x:c>
      <x:c r="C844" s="11" t="n">
        <x:v>46171</x:v>
      </x:c>
      <x:c r="D844" s="13" t="n">
        <x:v>258.46</x:v>
      </x:c>
    </x:row>
    <x:row r="845">
      <x:c r="A845" s="9" t="str">
        <x:v>841</x:v>
      </x:c>
      <x:c r="B845" s="9" t="str">
        <x:v>430</x:v>
      </x:c>
      <x:c r="C845" s="11" t="n">
        <x:v>46194</x:v>
      </x:c>
      <x:c r="D845" s="13" t="n">
        <x:v>2641.18</x:v>
      </x:c>
    </x:row>
    <x:row r="846">
      <x:c r="A846" s="9" t="str">
        <x:v>842</x:v>
      </x:c>
      <x:c r="B846" s="9" t="str">
        <x:v>430</x:v>
      </x:c>
      <x:c r="C846" s="11" t="n">
        <x:v>46156</x:v>
      </x:c>
      <x:c r="D846" s="13" t="n">
        <x:v>2048.68</x:v>
      </x:c>
    </x:row>
    <x:row r="847">
      <x:c r="A847" s="9" t="str">
        <x:v>843</x:v>
      </x:c>
      <x:c r="B847" s="9" t="str">
        <x:v>430</x:v>
      </x:c>
      <x:c r="C847" s="11" t="n">
        <x:v>46154</x:v>
      </x:c>
      <x:c r="D847" s="13" t="n">
        <x:v>585.31</x:v>
      </x:c>
    </x:row>
    <x:row r="848">
      <x:c r="A848" s="9" t="str">
        <x:v>844</x:v>
      </x:c>
      <x:c r="B848" s="9" t="str">
        <x:v>431</x:v>
      </x:c>
      <x:c r="C848" s="11" t="n">
        <x:v>46142</x:v>
      </x:c>
      <x:c r="D848" s="13" t="n">
        <x:v>78.2</x:v>
      </x:c>
    </x:row>
    <x:row r="849">
      <x:c r="A849" s="9" t="str">
        <x:v>845</x:v>
      </x:c>
      <x:c r="B849" s="9" t="str">
        <x:v>432</x:v>
      </x:c>
      <x:c r="C849" s="11" t="n">
        <x:v>46179</x:v>
      </x:c>
      <x:c r="D849" s="13" t="n">
        <x:v>280.17</x:v>
      </x:c>
    </x:row>
    <x:row r="850">
      <x:c r="A850" s="9" t="str">
        <x:v>846</x:v>
      </x:c>
      <x:c r="B850" s="9" t="str">
        <x:v>432</x:v>
      </x:c>
      <x:c r="C850" s="11" t="n">
        <x:v>46168</x:v>
      </x:c>
      <x:c r="D850" s="13" t="n">
        <x:v>1326.83</x:v>
      </x:c>
    </x:row>
    <x:row r="851">
      <x:c r="A851" s="9" t="str">
        <x:v>847</x:v>
      </x:c>
      <x:c r="B851" s="9" t="str">
        <x:v>432</x:v>
      </x:c>
      <x:c r="C851" s="11" t="n">
        <x:v>46114</x:v>
      </x:c>
      <x:c r="D851" s="13" t="n">
        <x:v>484.97</x:v>
      </x:c>
    </x:row>
    <x:row r="852">
      <x:c r="A852" s="9" t="str">
        <x:v>848</x:v>
      </x:c>
      <x:c r="B852" s="9" t="str">
        <x:v>433</x:v>
      </x:c>
      <x:c r="C852" s="11" t="n">
        <x:v>46085</x:v>
      </x:c>
      <x:c r="D852" s="13" t="n">
        <x:v>129.19</x:v>
      </x:c>
    </x:row>
    <x:row r="853">
      <x:c r="A853" s="9" t="str">
        <x:v>849</x:v>
      </x:c>
      <x:c r="B853" s="9" t="str">
        <x:v>435</x:v>
      </x:c>
      <x:c r="C853" s="11" t="n">
        <x:v>46132</x:v>
      </x:c>
      <x:c r="D853" s="13" t="n">
        <x:v>274.14</x:v>
      </x:c>
    </x:row>
    <x:row r="854">
      <x:c r="A854" s="9" t="str">
        <x:v>850</x:v>
      </x:c>
      <x:c r="B854" s="9" t="str">
        <x:v>435</x:v>
      </x:c>
      <x:c r="C854" s="11" t="n">
        <x:v>46109</x:v>
      </x:c>
      <x:c r="D854" s="13" t="n">
        <x:v>494.54</x:v>
      </x:c>
    </x:row>
    <x:row r="855">
      <x:c r="A855" s="9" t="str">
        <x:v>851</x:v>
      </x:c>
      <x:c r="B855" s="9" t="str">
        <x:v>435</x:v>
      </x:c>
      <x:c r="C855" s="11" t="n">
        <x:v>46123</x:v>
      </x:c>
      <x:c r="D855" s="13" t="n">
        <x:v>1297.87</x:v>
      </x:c>
    </x:row>
    <x:row r="856">
      <x:c r="A856" s="9" t="str">
        <x:v>852</x:v>
      </x:c>
      <x:c r="B856" s="9" t="str">
        <x:v>435</x:v>
      </x:c>
      <x:c r="C856" s="11" t="n">
        <x:v>46115</x:v>
      </x:c>
      <x:c r="D856" s="13" t="n">
        <x:v>886.3</x:v>
      </x:c>
    </x:row>
    <x:row r="857">
      <x:c r="A857" s="9" t="str">
        <x:v>853</x:v>
      </x:c>
      <x:c r="B857" s="9" t="str">
        <x:v>436</x:v>
      </x:c>
      <x:c r="C857" s="11" t="n">
        <x:v>46202</x:v>
      </x:c>
      <x:c r="D857" s="13" t="n">
        <x:v>703.19</x:v>
      </x:c>
    </x:row>
    <x:row r="858">
      <x:c r="A858" s="9" t="str">
        <x:v>854</x:v>
      </x:c>
      <x:c r="B858" s="9" t="str">
        <x:v>436</x:v>
      </x:c>
      <x:c r="C858" s="11" t="n">
        <x:v>46179</x:v>
      </x:c>
      <x:c r="D858" s="13" t="n">
        <x:v>497.05</x:v>
      </x:c>
    </x:row>
    <x:row r="859">
      <x:c r="A859" s="9" t="str">
        <x:v>855</x:v>
      </x:c>
      <x:c r="B859" s="9" t="str">
        <x:v>438</x:v>
      </x:c>
      <x:c r="C859" s="11" t="n">
        <x:v>46170</x:v>
      </x:c>
      <x:c r="D859" s="13" t="n">
        <x:v>261.27</x:v>
      </x:c>
    </x:row>
    <x:row r="860">
      <x:c r="A860" s="9" t="str">
        <x:v>856</x:v>
      </x:c>
      <x:c r="B860" s="9" t="str">
        <x:v>439</x:v>
      </x:c>
      <x:c r="C860" s="11" t="n">
        <x:v>46153</x:v>
      </x:c>
      <x:c r="D860" s="13" t="n">
        <x:v>104.91</x:v>
      </x:c>
    </x:row>
    <x:row r="861">
      <x:c r="A861" s="9" t="str">
        <x:v>857</x:v>
      </x:c>
      <x:c r="B861" s="9" t="str">
        <x:v>440</x:v>
      </x:c>
      <x:c r="C861" s="11" t="n">
        <x:v>46201</x:v>
      </x:c>
      <x:c r="D861" s="13" t="n">
        <x:v>1977.98</x:v>
      </x:c>
    </x:row>
    <x:row r="862">
      <x:c r="A862" s="9" t="str">
        <x:v>858</x:v>
      </x:c>
      <x:c r="B862" s="9" t="str">
        <x:v>440</x:v>
      </x:c>
      <x:c r="C862" s="11" t="n">
        <x:v>46170</x:v>
      </x:c>
      <x:c r="D862" s="13" t="n">
        <x:v>1017.02</x:v>
      </x:c>
    </x:row>
    <x:row r="863">
      <x:c r="A863" s="9" t="str">
        <x:v>859</x:v>
      </x:c>
      <x:c r="B863" s="9" t="str">
        <x:v>440</x:v>
      </x:c>
      <x:c r="C863" s="11" t="n">
        <x:v>46140</x:v>
      </x:c>
      <x:c r="D863" s="13" t="n">
        <x:v>1060.8</x:v>
      </x:c>
    </x:row>
    <x:row r="864">
      <x:c r="A864" s="9" t="str">
        <x:v>860</x:v>
      </x:c>
      <x:c r="B864" s="9" t="str">
        <x:v>441</x:v>
      </x:c>
      <x:c r="C864" s="11" t="n">
        <x:v>46199</x:v>
      </x:c>
      <x:c r="D864" s="13" t="n">
        <x:v>786.89</x:v>
      </x:c>
    </x:row>
    <x:row r="865">
      <x:c r="A865" s="9" t="str">
        <x:v>861</x:v>
      </x:c>
      <x:c r="B865" s="9" t="str">
        <x:v>442</x:v>
      </x:c>
      <x:c r="C865" s="11" t="n">
        <x:v>46162</x:v>
      </x:c>
      <x:c r="D865" s="13" t="n">
        <x:v>285.21</x:v>
      </x:c>
    </x:row>
    <x:row r="866">
      <x:c r="A866" s="9" t="str">
        <x:v>862</x:v>
      </x:c>
      <x:c r="B866" s="9" t="str">
        <x:v>443</x:v>
      </x:c>
      <x:c r="C866" s="11" t="n">
        <x:v>46195</x:v>
      </x:c>
      <x:c r="D866" s="13" t="n">
        <x:v>1080.44</x:v>
      </x:c>
    </x:row>
    <x:row r="867">
      <x:c r="A867" s="9" t="str">
        <x:v>863</x:v>
      </x:c>
      <x:c r="B867" s="9" t="str">
        <x:v>444</x:v>
      </x:c>
      <x:c r="C867" s="11" t="n">
        <x:v>46187</x:v>
      </x:c>
      <x:c r="D867" s="13" t="n">
        <x:v>1359.22</x:v>
      </x:c>
    </x:row>
    <x:row r="868">
      <x:c r="A868" s="9" t="str">
        <x:v>864</x:v>
      </x:c>
      <x:c r="B868" s="9" t="str">
        <x:v>444</x:v>
      </x:c>
      <x:c r="C868" s="11" t="n">
        <x:v>46140</x:v>
      </x:c>
      <x:c r="D868" s="13" t="n">
        <x:v>1090.86</x:v>
      </x:c>
    </x:row>
    <x:row r="869">
      <x:c r="A869" s="9" t="str">
        <x:v>865</x:v>
      </x:c>
      <x:c r="B869" s="9" t="str">
        <x:v>444</x:v>
      </x:c>
      <x:c r="C869" s="11" t="n">
        <x:v>46110</x:v>
      </x:c>
      <x:c r="D869" s="13" t="n">
        <x:v>1166.78</x:v>
      </x:c>
    </x:row>
    <x:row r="870">
      <x:c r="A870" s="9" t="str">
        <x:v>866</x:v>
      </x:c>
      <x:c r="B870" s="9" t="str">
        <x:v>445</x:v>
      </x:c>
      <x:c r="C870" s="11" t="n">
        <x:v>46200</x:v>
      </x:c>
      <x:c r="D870" s="13" t="n">
        <x:v>544.51</x:v>
      </x:c>
    </x:row>
    <x:row r="871">
      <x:c r="A871" s="9" t="str">
        <x:v>867</x:v>
      </x:c>
      <x:c r="B871" s="9" t="str">
        <x:v>446</x:v>
      </x:c>
      <x:c r="C871" s="11" t="n">
        <x:v>46145</x:v>
      </x:c>
      <x:c r="D871" s="13" t="n">
        <x:v>143.93</x:v>
      </x:c>
    </x:row>
    <x:row r="872">
      <x:c r="A872" s="9" t="str">
        <x:v>868</x:v>
      </x:c>
      <x:c r="B872" s="9" t="str">
        <x:v>449</x:v>
      </x:c>
      <x:c r="C872" s="11" t="n">
        <x:v>46179</x:v>
      </x:c>
      <x:c r="D872" s="13" t="n">
        <x:v>832.45</x:v>
      </x:c>
    </x:row>
    <x:row r="873">
      <x:c r="A873" s="9" t="str">
        <x:v>869</x:v>
      </x:c>
      <x:c r="B873" s="9" t="str">
        <x:v>449</x:v>
      </x:c>
      <x:c r="C873" s="11" t="n">
        <x:v>46146</x:v>
      </x:c>
      <x:c r="D873" s="13" t="n">
        <x:v>171.31</x:v>
      </x:c>
    </x:row>
    <x:row r="874">
      <x:c r="A874" s="9" t="str">
        <x:v>870</x:v>
      </x:c>
      <x:c r="B874" s="9" t="str">
        <x:v>450</x:v>
      </x:c>
      <x:c r="C874" s="11" t="n">
        <x:v>46049</x:v>
      </x:c>
      <x:c r="D874" s="13" t="n">
        <x:v>753.62</x:v>
      </x:c>
    </x:row>
    <x:row r="875">
      <x:c r="A875" s="9" t="str">
        <x:v>871</x:v>
      </x:c>
      <x:c r="B875" s="9" t="str">
        <x:v>450</x:v>
      </x:c>
      <x:c r="C875" s="11" t="n">
        <x:v>46055</x:v>
      </x:c>
      <x:c r="D875" s="13" t="n">
        <x:v>1186.04</x:v>
      </x:c>
    </x:row>
    <x:row r="876">
      <x:c r="A876" s="9" t="str">
        <x:v>872</x:v>
      </x:c>
      <x:c r="B876" s="9" t="str">
        <x:v>450</x:v>
      </x:c>
      <x:c r="C876" s="11" t="n">
        <x:v>46158</x:v>
      </x:c>
      <x:c r="D876" s="13" t="n">
        <x:v>1198.43</x:v>
      </x:c>
    </x:row>
    <x:row r="877">
      <x:c r="A877" s="9" t="str">
        <x:v>873</x:v>
      </x:c>
      <x:c r="B877" s="9" t="str">
        <x:v>452</x:v>
      </x:c>
      <x:c r="C877" s="11" t="n">
        <x:v>46144</x:v>
      </x:c>
      <x:c r="D877" s="13" t="n">
        <x:v>466.63</x:v>
      </x:c>
    </x:row>
    <x:row r="878">
      <x:c r="A878" s="9" t="str">
        <x:v>874</x:v>
      </x:c>
      <x:c r="B878" s="9" t="str">
        <x:v>452</x:v>
      </x:c>
      <x:c r="C878" s="11" t="n">
        <x:v>46194</x:v>
      </x:c>
      <x:c r="D878" s="13" t="n">
        <x:v>365.32</x:v>
      </x:c>
    </x:row>
    <x:row r="879">
      <x:c r="A879" s="9" t="str">
        <x:v>875</x:v>
      </x:c>
      <x:c r="B879" s="9" t="str">
        <x:v>453</x:v>
      </x:c>
      <x:c r="C879" s="11" t="n">
        <x:v>46150</x:v>
      </x:c>
      <x:c r="D879" s="13" t="n">
        <x:v>104.8</x:v>
      </x:c>
    </x:row>
    <x:row r="880">
      <x:c r="A880" s="9" t="str">
        <x:v>876</x:v>
      </x:c>
      <x:c r="B880" s="9" t="str">
        <x:v>453</x:v>
      </x:c>
      <x:c r="C880" s="11" t="n">
        <x:v>46153</x:v>
      </x:c>
      <x:c r="D880" s="13" t="n">
        <x:v>221.71</x:v>
      </x:c>
    </x:row>
    <x:row r="881">
      <x:c r="A881" s="9" t="str">
        <x:v>877</x:v>
      </x:c>
      <x:c r="B881" s="9" t="str">
        <x:v>454</x:v>
      </x:c>
      <x:c r="C881" s="11" t="n">
        <x:v>46172</x:v>
      </x:c>
      <x:c r="D881" s="13" t="n">
        <x:v>1014.49</x:v>
      </x:c>
    </x:row>
    <x:row r="882">
      <x:c r="A882" s="9" t="str">
        <x:v>878</x:v>
      </x:c>
      <x:c r="B882" s="9" t="str">
        <x:v>455</x:v>
      </x:c>
      <x:c r="C882" s="11" t="n">
        <x:v>46051</x:v>
      </x:c>
      <x:c r="D882" s="13" t="n">
        <x:v>185.1</x:v>
      </x:c>
    </x:row>
    <x:row r="883">
      <x:c r="A883" s="9" t="str">
        <x:v>879</x:v>
      </x:c>
      <x:c r="B883" s="9" t="str">
        <x:v>455</x:v>
      </x:c>
      <x:c r="C883" s="11" t="n">
        <x:v>46112</x:v>
      </x:c>
      <x:c r="D883" s="13" t="n">
        <x:v>88.08</x:v>
      </x:c>
    </x:row>
    <x:row r="884">
      <x:c r="A884" s="9" t="str">
        <x:v>880</x:v>
      </x:c>
      <x:c r="B884" s="9" t="str">
        <x:v>455</x:v>
      </x:c>
      <x:c r="C884" s="11" t="n">
        <x:v>46058</x:v>
      </x:c>
      <x:c r="D884" s="13" t="n">
        <x:v>482.98</x:v>
      </x:c>
    </x:row>
    <x:row r="885">
      <x:c r="A885" s="9" t="str">
        <x:v>881</x:v>
      </x:c>
      <x:c r="B885" s="9" t="str">
        <x:v>457</x:v>
      </x:c>
      <x:c r="C885" s="11" t="n">
        <x:v>46201</x:v>
      </x:c>
      <x:c r="D885" s="13" t="n">
        <x:v>1971.11</x:v>
      </x:c>
    </x:row>
    <x:row r="886">
      <x:c r="A886" s="9" t="str">
        <x:v>882</x:v>
      </x:c>
      <x:c r="B886" s="9" t="str">
        <x:v>458</x:v>
      </x:c>
      <x:c r="C886" s="11" t="n">
        <x:v>46147</x:v>
      </x:c>
      <x:c r="D886" s="13" t="n">
        <x:v>565.24</x:v>
      </x:c>
    </x:row>
    <x:row r="887">
      <x:c r="A887" s="9" t="str">
        <x:v>883</x:v>
      </x:c>
      <x:c r="B887" s="9" t="str">
        <x:v>458</x:v>
      </x:c>
      <x:c r="C887" s="11" t="n">
        <x:v>46097</x:v>
      </x:c>
      <x:c r="D887" s="13" t="n">
        <x:v>736.34</x:v>
      </x:c>
    </x:row>
    <x:row r="888">
      <x:c r="A888" s="9" t="str">
        <x:v>884</x:v>
      </x:c>
      <x:c r="B888" s="9" t="str">
        <x:v>458</x:v>
      </x:c>
      <x:c r="C888" s="11" t="n">
        <x:v>46159</x:v>
      </x:c>
      <x:c r="D888" s="13" t="n">
        <x:v>759.81</x:v>
      </x:c>
    </x:row>
    <x:row r="889">
      <x:c r="A889" s="9" t="str">
        <x:v>885</x:v>
      </x:c>
      <x:c r="B889" s="9" t="str">
        <x:v>459</x:v>
      </x:c>
      <x:c r="C889" s="11" t="n">
        <x:v>46184</x:v>
      </x:c>
      <x:c r="D889" s="13" t="n">
        <x:v>60.59</x:v>
      </x:c>
    </x:row>
    <x:row r="890">
      <x:c r="A890" s="9" t="str">
        <x:v>886</x:v>
      </x:c>
      <x:c r="B890" s="9" t="str">
        <x:v>459</x:v>
      </x:c>
      <x:c r="C890" s="11" t="n">
        <x:v>46165</x:v>
      </x:c>
      <x:c r="D890" s="13" t="n">
        <x:v>322.87</x:v>
      </x:c>
    </x:row>
    <x:row r="891">
      <x:c r="A891" s="9" t="str">
        <x:v>887</x:v>
      </x:c>
      <x:c r="B891" s="9" t="str">
        <x:v>459</x:v>
      </x:c>
      <x:c r="C891" s="11" t="n">
        <x:v>46173</x:v>
      </x:c>
      <x:c r="D891" s="13" t="n">
        <x:v>275.48</x:v>
      </x:c>
    </x:row>
    <x:row r="892">
      <x:c r="A892" s="9" t="str">
        <x:v>888</x:v>
      </x:c>
      <x:c r="B892" s="9" t="str">
        <x:v>459</x:v>
      </x:c>
      <x:c r="C892" s="11" t="n">
        <x:v>46131</x:v>
      </x:c>
      <x:c r="D892" s="13" t="n">
        <x:v>118.01</x:v>
      </x:c>
    </x:row>
    <x:row r="893">
      <x:c r="A893" s="9" t="str">
        <x:v>889</x:v>
      </x:c>
      <x:c r="B893" s="9" t="str">
        <x:v>460</x:v>
      </x:c>
      <x:c r="C893" s="11" t="n">
        <x:v>46191</x:v>
      </x:c>
      <x:c r="D893" s="13" t="n">
        <x:v>133.03</x:v>
      </x:c>
    </x:row>
    <x:row r="894">
      <x:c r="A894" s="9" t="str">
        <x:v>890</x:v>
      </x:c>
      <x:c r="B894" s="9" t="str">
        <x:v>460</x:v>
      </x:c>
      <x:c r="C894" s="11" t="n">
        <x:v>46058</x:v>
      </x:c>
      <x:c r="D894" s="13" t="n">
        <x:v>142.2</x:v>
      </x:c>
    </x:row>
    <x:row r="895">
      <x:c r="A895" s="9" t="str">
        <x:v>891</x:v>
      </x:c>
      <x:c r="B895" s="9" t="str">
        <x:v>461</x:v>
      </x:c>
      <x:c r="C895" s="11" t="n">
        <x:v>46168</x:v>
      </x:c>
      <x:c r="D895" s="13" t="n">
        <x:v>12.77</x:v>
      </x:c>
    </x:row>
    <x:row r="896">
      <x:c r="A896" s="9" t="str">
        <x:v>892</x:v>
      </x:c>
      <x:c r="B896" s="9" t="str">
        <x:v>461</x:v>
      </x:c>
      <x:c r="C896" s="11" t="n">
        <x:v>46164</x:v>
      </x:c>
      <x:c r="D896" s="13" t="n">
        <x:v>256.31</x:v>
      </x:c>
    </x:row>
    <x:row r="897">
      <x:c r="A897" s="9" t="str">
        <x:v>893</x:v>
      </x:c>
      <x:c r="B897" s="9" t="str">
        <x:v>462</x:v>
      </x:c>
      <x:c r="C897" s="11" t="n">
        <x:v>46169</x:v>
      </x:c>
      <x:c r="D897" s="13" t="n">
        <x:v>59.03</x:v>
      </x:c>
    </x:row>
    <x:row r="898">
      <x:c r="A898" s="9" t="str">
        <x:v>894</x:v>
      </x:c>
      <x:c r="B898" s="9" t="str">
        <x:v>462</x:v>
      </x:c>
      <x:c r="C898" s="11" t="n">
        <x:v>46160</x:v>
      </x:c>
      <x:c r="D898" s="13" t="n">
        <x:v>221.31</x:v>
      </x:c>
    </x:row>
    <x:row r="899">
      <x:c r="A899" s="9" t="str">
        <x:v>895</x:v>
      </x:c>
      <x:c r="B899" s="9" t="str">
        <x:v>462</x:v>
      </x:c>
      <x:c r="C899" s="11" t="n">
        <x:v>46156</x:v>
      </x:c>
      <x:c r="D899" s="13" t="n">
        <x:v>617</x:v>
      </x:c>
    </x:row>
    <x:row r="900">
      <x:c r="A900" s="9" t="str">
        <x:v>896</x:v>
      </x:c>
      <x:c r="B900" s="9" t="str">
        <x:v>462</x:v>
      </x:c>
      <x:c r="C900" s="11" t="n">
        <x:v>46156</x:v>
      </x:c>
      <x:c r="D900" s="13" t="n">
        <x:v>830.44</x:v>
      </x:c>
    </x:row>
    <x:row r="901">
      <x:c r="A901" s="9" t="str">
        <x:v>897</x:v>
      </x:c>
      <x:c r="B901" s="9" t="str">
        <x:v>463</x:v>
      </x:c>
      <x:c r="C901" s="11" t="n">
        <x:v>46169</x:v>
      </x:c>
      <x:c r="D901" s="13" t="n">
        <x:v>1787.44</x:v>
      </x:c>
    </x:row>
    <x:row r="902">
      <x:c r="A902" s="9" t="str">
        <x:v>898</x:v>
      </x:c>
      <x:c r="B902" s="9" t="str">
        <x:v>466</x:v>
      </x:c>
      <x:c r="C902" s="11" t="n">
        <x:v>46187</x:v>
      </x:c>
      <x:c r="D902" s="13" t="n">
        <x:v>385.68</x:v>
      </x:c>
    </x:row>
    <x:row r="903">
      <x:c r="A903" s="9" t="str">
        <x:v>899</x:v>
      </x:c>
      <x:c r="B903" s="9" t="str">
        <x:v>466</x:v>
      </x:c>
      <x:c r="C903" s="11" t="n">
        <x:v>46152</x:v>
      </x:c>
      <x:c r="D903" s="13" t="n">
        <x:v>546.12</x:v>
      </x:c>
    </x:row>
    <x:row r="904">
      <x:c r="A904" s="9" t="str">
        <x:v>900</x:v>
      </x:c>
      <x:c r="B904" s="9" t="str">
        <x:v>467</x:v>
      </x:c>
      <x:c r="C904" s="11" t="n">
        <x:v>46202</x:v>
      </x:c>
      <x:c r="D904" s="13" t="n">
        <x:v>35.92</x:v>
      </x:c>
    </x:row>
    <x:row r="905">
      <x:c r="A905" s="9" t="str">
        <x:v>901</x:v>
      </x:c>
      <x:c r="B905" s="9" t="str">
        <x:v>467</x:v>
      </x:c>
      <x:c r="C905" s="11" t="n">
        <x:v>46170</x:v>
      </x:c>
      <x:c r="D905" s="13" t="n">
        <x:v>75.41</x:v>
      </x:c>
    </x:row>
    <x:row r="906">
      <x:c r="A906" s="9" t="str">
        <x:v>902</x:v>
      </x:c>
      <x:c r="B906" s="9" t="str">
        <x:v>467</x:v>
      </x:c>
      <x:c r="C906" s="11" t="n">
        <x:v>46190</x:v>
      </x:c>
      <x:c r="D906" s="13" t="n">
        <x:v>46.54</x:v>
      </x:c>
    </x:row>
    <x:row r="907">
      <x:c r="A907" s="9" t="str">
        <x:v>903</x:v>
      </x:c>
      <x:c r="B907" s="9" t="str">
        <x:v>468</x:v>
      </x:c>
      <x:c r="C907" s="11" t="n">
        <x:v>46149</x:v>
      </x:c>
      <x:c r="D907" s="13" t="n">
        <x:v>605.82</x:v>
      </x:c>
    </x:row>
    <x:row r="908">
      <x:c r="A908" s="9" t="str">
        <x:v>904</x:v>
      </x:c>
      <x:c r="B908" s="9" t="str">
        <x:v>468</x:v>
      </x:c>
      <x:c r="C908" s="11" t="n">
        <x:v>46156</x:v>
      </x:c>
      <x:c r="D908" s="13" t="n">
        <x:v>724.44</x:v>
      </x:c>
    </x:row>
    <x:row r="909">
      <x:c r="A909" s="9" t="str">
        <x:v>905</x:v>
      </x:c>
      <x:c r="B909" s="9" t="str">
        <x:v>469</x:v>
      </x:c>
      <x:c r="C909" s="11" t="n">
        <x:v>46166</x:v>
      </x:c>
      <x:c r="D909" s="13" t="n">
        <x:v>191.55</x:v>
      </x:c>
    </x:row>
    <x:row r="910">
      <x:c r="A910" s="9" t="str">
        <x:v>906</x:v>
      </x:c>
      <x:c r="B910" s="9" t="str">
        <x:v>470</x:v>
      </x:c>
      <x:c r="C910" s="11" t="n">
        <x:v>46167</x:v>
      </x:c>
      <x:c r="D910" s="13" t="n">
        <x:v>633.24</x:v>
      </x:c>
    </x:row>
    <x:row r="911">
      <x:c r="A911" s="9" t="str">
        <x:v>907</x:v>
      </x:c>
      <x:c r="B911" s="9" t="str">
        <x:v>470</x:v>
      </x:c>
      <x:c r="C911" s="11" t="n">
        <x:v>46199</x:v>
      </x:c>
      <x:c r="D911" s="13" t="n">
        <x:v>912.86</x:v>
      </x:c>
    </x:row>
    <x:row r="912">
      <x:c r="A912" s="9" t="str">
        <x:v>908</x:v>
      </x:c>
      <x:c r="B912" s="9" t="str">
        <x:v>470</x:v>
      </x:c>
      <x:c r="C912" s="11" t="n">
        <x:v>46188</x:v>
      </x:c>
      <x:c r="D912" s="13" t="n">
        <x:v>220.61</x:v>
      </x:c>
    </x:row>
    <x:row r="913">
      <x:c r="A913" s="9" t="str">
        <x:v>909</x:v>
      </x:c>
      <x:c r="B913" s="9" t="str">
        <x:v>471</x:v>
      </x:c>
      <x:c r="C913" s="11" t="n">
        <x:v>46144</x:v>
      </x:c>
      <x:c r="D913" s="13" t="n">
        <x:v>91.82</x:v>
      </x:c>
    </x:row>
    <x:row r="914">
      <x:c r="A914" s="9" t="str">
        <x:v>910</x:v>
      </x:c>
      <x:c r="B914" s="9" t="str">
        <x:v>472</x:v>
      </x:c>
      <x:c r="C914" s="11" t="n">
        <x:v>46193</x:v>
      </x:c>
      <x:c r="D914" s="13" t="n">
        <x:v>62.34</x:v>
      </x:c>
    </x:row>
    <x:row r="915">
      <x:c r="A915" s="9" t="str">
        <x:v>911</x:v>
      </x:c>
      <x:c r="B915" s="9" t="str">
        <x:v>472</x:v>
      </x:c>
      <x:c r="C915" s="11" t="n">
        <x:v>46158</x:v>
      </x:c>
      <x:c r="D915" s="13" t="n">
        <x:v>17.98</x:v>
      </x:c>
    </x:row>
    <x:row r="916">
      <x:c r="A916" s="9" t="str">
        <x:v>912</x:v>
      </x:c>
      <x:c r="B916" s="9" t="str">
        <x:v>472</x:v>
      </x:c>
      <x:c r="C916" s="11" t="n">
        <x:v>46203</x:v>
      </x:c>
      <x:c r="D916" s="13" t="n">
        <x:v>27.9</x:v>
      </x:c>
    </x:row>
    <x:row r="917">
      <x:c r="A917" s="9" t="str">
        <x:v>913</x:v>
      </x:c>
      <x:c r="B917" s="9" t="str">
        <x:v>473</x:v>
      </x:c>
      <x:c r="C917" s="11" t="n">
        <x:v>46148</x:v>
      </x:c>
      <x:c r="D917" s="13" t="n">
        <x:v>94.88</x:v>
      </x:c>
    </x:row>
    <x:row r="918">
      <x:c r="A918" s="9" t="str">
        <x:v>914</x:v>
      </x:c>
      <x:c r="B918" s="9" t="str">
        <x:v>473</x:v>
      </x:c>
      <x:c r="C918" s="11" t="n">
        <x:v>46199</x:v>
      </x:c>
      <x:c r="D918" s="13" t="n">
        <x:v>1619.38</x:v>
      </x:c>
    </x:row>
    <x:row r="919">
      <x:c r="A919" s="9" t="str">
        <x:v>915</x:v>
      </x:c>
      <x:c r="B919" s="9" t="str">
        <x:v>474</x:v>
      </x:c>
      <x:c r="C919" s="11" t="n">
        <x:v>46181</x:v>
      </x:c>
      <x:c r="D919" s="13" t="n">
        <x:v>1126.33</x:v>
      </x:c>
    </x:row>
    <x:row r="920">
      <x:c r="A920" s="9" t="str">
        <x:v>916</x:v>
      </x:c>
      <x:c r="B920" s="9" t="str">
        <x:v>474</x:v>
      </x:c>
      <x:c r="C920" s="11" t="n">
        <x:v>46161</x:v>
      </x:c>
      <x:c r="D920" s="13" t="n">
        <x:v>307.21</x:v>
      </x:c>
    </x:row>
    <x:row r="921">
      <x:c r="A921" s="9" t="str">
        <x:v>917</x:v>
      </x:c>
      <x:c r="B921" s="9" t="str">
        <x:v>474</x:v>
      </x:c>
      <x:c r="C921" s="11" t="n">
        <x:v>46193</x:v>
      </x:c>
      <x:c r="D921" s="13" t="n">
        <x:v>1212.77</x:v>
      </x:c>
    </x:row>
    <x:row r="922">
      <x:c r="A922" s="9" t="str">
        <x:v>918</x:v>
      </x:c>
      <x:c r="B922" s="9" t="str">
        <x:v>474</x:v>
      </x:c>
      <x:c r="C922" s="11" t="n">
        <x:v>46161</x:v>
      </x:c>
      <x:c r="D922" s="13" t="n">
        <x:v>988.11</x:v>
      </x:c>
    </x:row>
    <x:row r="923">
      <x:c r="A923" s="9" t="str">
        <x:v>919</x:v>
      </x:c>
      <x:c r="B923" s="9" t="str">
        <x:v>475</x:v>
      </x:c>
      <x:c r="C923" s="11" t="n">
        <x:v>46165</x:v>
      </x:c>
      <x:c r="D923" s="13" t="n">
        <x:v>1120.81</x:v>
      </x:c>
    </x:row>
    <x:row r="924">
      <x:c r="A924" s="9" t="str">
        <x:v>920</x:v>
      </x:c>
      <x:c r="B924" s="9" t="str">
        <x:v>475</x:v>
      </x:c>
      <x:c r="C924" s="11" t="n">
        <x:v>46186</x:v>
      </x:c>
      <x:c r="D924" s="13" t="n">
        <x:v>2393.56</x:v>
      </x:c>
    </x:row>
    <x:row r="925">
      <x:c r="A925" s="9" t="str">
        <x:v>921</x:v>
      </x:c>
      <x:c r="B925" s="9" t="str">
        <x:v>475</x:v>
      </x:c>
      <x:c r="C925" s="11" t="n">
        <x:v>46158</x:v>
      </x:c>
      <x:c r="D925" s="13" t="n">
        <x:v>2007.95</x:v>
      </x:c>
    </x:row>
    <x:row r="926">
      <x:c r="A926" s="9" t="str">
        <x:v>922</x:v>
      </x:c>
      <x:c r="B926" s="9" t="str">
        <x:v>476</x:v>
      </x:c>
      <x:c r="C926" s="11" t="n">
        <x:v>46157</x:v>
      </x:c>
      <x:c r="D926" s="13" t="n">
        <x:v>53.84</x:v>
      </x:c>
    </x:row>
    <x:row r="927">
      <x:c r="A927" s="9" t="str">
        <x:v>923</x:v>
      </x:c>
      <x:c r="B927" s="9" t="str">
        <x:v>476</x:v>
      </x:c>
      <x:c r="C927" s="11" t="n">
        <x:v>46177</x:v>
      </x:c>
      <x:c r="D927" s="13" t="n">
        <x:v>60.36</x:v>
      </x:c>
    </x:row>
    <x:row r="928">
      <x:c r="A928" s="9" t="str">
        <x:v>924</x:v>
      </x:c>
      <x:c r="B928" s="9" t="str">
        <x:v>477</x:v>
      </x:c>
      <x:c r="C928" s="11" t="n">
        <x:v>46148</x:v>
      </x:c>
      <x:c r="D928" s="13" t="n">
        <x:v>2264.54</x:v>
      </x:c>
    </x:row>
    <x:row r="929">
      <x:c r="A929" s="9" t="str">
        <x:v>925</x:v>
      </x:c>
      <x:c r="B929" s="9" t="str">
        <x:v>478</x:v>
      </x:c>
      <x:c r="C929" s="11" t="n">
        <x:v>46137</x:v>
      </x:c>
      <x:c r="D929" s="13" t="n">
        <x:v>843.89</x:v>
      </x:c>
    </x:row>
    <x:row r="930">
      <x:c r="A930" s="9" t="str">
        <x:v>926</x:v>
      </x:c>
      <x:c r="B930" s="9" t="str">
        <x:v>478</x:v>
      </x:c>
      <x:c r="C930" s="11" t="n">
        <x:v>46078</x:v>
      </x:c>
      <x:c r="D930" s="13" t="n">
        <x:v>1078.3</x:v>
      </x:c>
    </x:row>
    <x:row r="931">
      <x:c r="A931" s="9" t="str">
        <x:v>927</x:v>
      </x:c>
      <x:c r="B931" s="9" t="str">
        <x:v>479</x:v>
      </x:c>
      <x:c r="C931" s="11" t="n">
        <x:v>46095</x:v>
      </x:c>
      <x:c r="D931" s="13" t="n">
        <x:v>18.28</x:v>
      </x:c>
    </x:row>
    <x:row r="932">
      <x:c r="A932" s="9" t="str">
        <x:v>928</x:v>
      </x:c>
      <x:c r="B932" s="9" t="str">
        <x:v>479</x:v>
      </x:c>
      <x:c r="C932" s="11" t="n">
        <x:v>46153</x:v>
      </x:c>
      <x:c r="D932" s="13" t="n">
        <x:v>158.67</x:v>
      </x:c>
    </x:row>
    <x:row r="933">
      <x:c r="A933" s="9" t="str">
        <x:v>929</x:v>
      </x:c>
      <x:c r="B933" s="9" t="str">
        <x:v>479</x:v>
      </x:c>
      <x:c r="C933" s="11" t="n">
        <x:v>46123</x:v>
      </x:c>
      <x:c r="D933" s="13" t="n">
        <x:v>71.13</x:v>
      </x:c>
    </x:row>
    <x:row r="934">
      <x:c r="A934" s="9" t="str">
        <x:v>930</x:v>
      </x:c>
      <x:c r="B934" s="9" t="str">
        <x:v>481</x:v>
      </x:c>
      <x:c r="C934" s="11" t="n">
        <x:v>46073</x:v>
      </x:c>
      <x:c r="D934" s="13" t="n">
        <x:v>70.8</x:v>
      </x:c>
    </x:row>
    <x:row r="935">
      <x:c r="A935" s="9" t="str">
        <x:v>931</x:v>
      </x:c>
      <x:c r="B935" s="9" t="str">
        <x:v>482</x:v>
      </x:c>
      <x:c r="C935" s="11" t="n">
        <x:v>46142</x:v>
      </x:c>
      <x:c r="D935" s="13" t="n">
        <x:v>874.63</x:v>
      </x:c>
    </x:row>
    <x:row r="936">
      <x:c r="A936" s="9" t="str">
        <x:v>932</x:v>
      </x:c>
      <x:c r="B936" s="9" t="str">
        <x:v>483</x:v>
      </x:c>
      <x:c r="C936" s="11" t="n">
        <x:v>46158</x:v>
      </x:c>
      <x:c r="D936" s="13" t="n">
        <x:v>647.5</x:v>
      </x:c>
    </x:row>
    <x:row r="937">
      <x:c r="A937" s="9" t="str">
        <x:v>933</x:v>
      </x:c>
      <x:c r="B937" s="9" t="str">
        <x:v>483</x:v>
      </x:c>
      <x:c r="C937" s="11" t="n">
        <x:v>46180</x:v>
      </x:c>
      <x:c r="D937" s="13" t="n">
        <x:v>164.95</x:v>
      </x:c>
    </x:row>
    <x:row r="938">
      <x:c r="A938" s="9" t="str">
        <x:v>934</x:v>
      </x:c>
      <x:c r="B938" s="9" t="str">
        <x:v>484</x:v>
      </x:c>
      <x:c r="C938" s="11" t="n">
        <x:v>46168</x:v>
      </x:c>
      <x:c r="D938" s="13" t="n">
        <x:v>611.82</x:v>
      </x:c>
    </x:row>
    <x:row r="939">
      <x:c r="A939" s="9" t="str">
        <x:v>935</x:v>
      </x:c>
      <x:c r="B939" s="9" t="str">
        <x:v>484</x:v>
      </x:c>
      <x:c r="C939" s="11" t="n">
        <x:v>46175</x:v>
      </x:c>
      <x:c r="D939" s="13" t="n">
        <x:v>164.65</x:v>
      </x:c>
    </x:row>
    <x:row r="940">
      <x:c r="A940" s="9" t="str">
        <x:v>936</x:v>
      </x:c>
      <x:c r="B940" s="9" t="str">
        <x:v>485</x:v>
      </x:c>
      <x:c r="C940" s="11" t="n">
        <x:v>46174</x:v>
      </x:c>
      <x:c r="D940" s="13" t="n">
        <x:v>1455.71</x:v>
      </x:c>
    </x:row>
    <x:row r="941">
      <x:c r="A941" s="9" t="str">
        <x:v>937</x:v>
      </x:c>
      <x:c r="B941" s="9" t="str">
        <x:v>485</x:v>
      </x:c>
      <x:c r="C941" s="11" t="n">
        <x:v>46150</x:v>
      </x:c>
      <x:c r="D941" s="13" t="n">
        <x:v>781.54</x:v>
      </x:c>
    </x:row>
    <x:row r="942">
      <x:c r="A942" s="9" t="str">
        <x:v>938</x:v>
      </x:c>
      <x:c r="B942" s="9" t="str">
        <x:v>486</x:v>
      </x:c>
      <x:c r="C942" s="11" t="n">
        <x:v>46178</x:v>
      </x:c>
      <x:c r="D942" s="13" t="n">
        <x:v>565.4</x:v>
      </x:c>
    </x:row>
    <x:row r="943">
      <x:c r="A943" s="9" t="str">
        <x:v>939</x:v>
      </x:c>
      <x:c r="B943" s="9" t="str">
        <x:v>486</x:v>
      </x:c>
      <x:c r="C943" s="11" t="n">
        <x:v>46142</x:v>
      </x:c>
      <x:c r="D943" s="13" t="n">
        <x:v>366.08</x:v>
      </x:c>
    </x:row>
    <x:row r="944">
      <x:c r="A944" s="9" t="str">
        <x:v>940</x:v>
      </x:c>
      <x:c r="B944" s="9" t="str">
        <x:v>486</x:v>
      </x:c>
      <x:c r="C944" s="11" t="n">
        <x:v>46115</x:v>
      </x:c>
      <x:c r="D944" s="13" t="n">
        <x:v>826.46</x:v>
      </x:c>
    </x:row>
    <x:row r="945">
      <x:c r="A945" s="9" t="str">
        <x:v>941</x:v>
      </x:c>
      <x:c r="B945" s="9" t="str">
        <x:v>488</x:v>
      </x:c>
      <x:c r="C945" s="11" t="n">
        <x:v>46100</x:v>
      </x:c>
      <x:c r="D945" s="13" t="n">
        <x:v>216.07</x:v>
      </x:c>
    </x:row>
    <x:row r="946">
      <x:c r="A946" s="9" t="str">
        <x:v>942</x:v>
      </x:c>
      <x:c r="B946" s="9" t="str">
        <x:v>489</x:v>
      </x:c>
      <x:c r="C946" s="11" t="n">
        <x:v>46145</x:v>
      </x:c>
      <x:c r="D946" s="13" t="n">
        <x:v>102.97</x:v>
      </x:c>
    </x:row>
    <x:row r="947">
      <x:c r="A947" s="9" t="str">
        <x:v>943</x:v>
      </x:c>
      <x:c r="B947" s="9" t="str">
        <x:v>489</x:v>
      </x:c>
      <x:c r="C947" s="11" t="n">
        <x:v>46175</x:v>
      </x:c>
      <x:c r="D947" s="13" t="n">
        <x:v>48.11</x:v>
      </x:c>
    </x:row>
    <x:row r="948">
      <x:c r="A948" s="9" t="str">
        <x:v>944</x:v>
      </x:c>
      <x:c r="B948" s="9" t="str">
        <x:v>489</x:v>
      </x:c>
      <x:c r="C948" s="11" t="n">
        <x:v>46153</x:v>
      </x:c>
      <x:c r="D948" s="13" t="n">
        <x:v>20.85</x:v>
      </x:c>
    </x:row>
    <x:row r="949">
      <x:c r="A949" s="9" t="str">
        <x:v>945</x:v>
      </x:c>
      <x:c r="B949" s="9" t="str">
        <x:v>490</x:v>
      </x:c>
      <x:c r="C949" s="11" t="n">
        <x:v>46193</x:v>
      </x:c>
      <x:c r="D949" s="13" t="n">
        <x:v>140.18</x:v>
      </x:c>
    </x:row>
    <x:row r="950">
      <x:c r="A950" s="9" t="str">
        <x:v>946</x:v>
      </x:c>
      <x:c r="B950" s="9" t="str">
        <x:v>491</x:v>
      </x:c>
      <x:c r="C950" s="11" t="n">
        <x:v>46143</x:v>
      </x:c>
      <x:c r="D950" s="13" t="n">
        <x:v>1392.84</x:v>
      </x:c>
    </x:row>
    <x:row r="951">
      <x:c r="A951" s="9" t="str">
        <x:v>947</x:v>
      </x:c>
      <x:c r="B951" s="9" t="str">
        <x:v>491</x:v>
      </x:c>
      <x:c r="C951" s="11" t="n">
        <x:v>46182</x:v>
      </x:c>
      <x:c r="D951" s="13" t="n">
        <x:v>894.44</x:v>
      </x:c>
    </x:row>
    <x:row r="952">
      <x:c r="A952" s="9" t="str">
        <x:v>948</x:v>
      </x:c>
      <x:c r="B952" s="9" t="str">
        <x:v>491</x:v>
      </x:c>
      <x:c r="C952" s="11" t="n">
        <x:v>46145</x:v>
      </x:c>
      <x:c r="D952" s="13" t="n">
        <x:v>52.65</x:v>
      </x:c>
    </x:row>
    <x:row r="953">
      <x:c r="A953" s="9" t="str">
        <x:v>949</x:v>
      </x:c>
      <x:c r="B953" s="9" t="str">
        <x:v>491</x:v>
      </x:c>
      <x:c r="C953" s="11" t="n">
        <x:v>46147</x:v>
      </x:c>
      <x:c r="D953" s="13" t="n">
        <x:v>1241.79</x:v>
      </x:c>
    </x:row>
    <x:row r="954">
      <x:c r="A954" s="9" t="str">
        <x:v>950</x:v>
      </x:c>
      <x:c r="B954" s="9" t="str">
        <x:v>492</x:v>
      </x:c>
      <x:c r="C954" s="11" t="n">
        <x:v>46142</x:v>
      </x:c>
      <x:c r="D954" s="13" t="n">
        <x:v>548.67</x:v>
      </x:c>
    </x:row>
    <x:row r="955">
      <x:c r="A955" s="9" t="str">
        <x:v>951</x:v>
      </x:c>
      <x:c r="B955" s="9" t="str">
        <x:v>492</x:v>
      </x:c>
      <x:c r="C955" s="11" t="n">
        <x:v>46145</x:v>
      </x:c>
      <x:c r="D955" s="13" t="n">
        <x:v>1184.48</x:v>
      </x:c>
    </x:row>
    <x:row r="956">
      <x:c r="A956" s="9" t="str">
        <x:v>952</x:v>
      </x:c>
      <x:c r="B956" s="9" t="str">
        <x:v>493</x:v>
      </x:c>
      <x:c r="C956" s="11" t="n">
        <x:v>46106</x:v>
      </x:c>
      <x:c r="D956" s="13" t="n">
        <x:v>67.68</x:v>
      </x:c>
    </x:row>
    <x:row r="957">
      <x:c r="A957" s="9" t="str">
        <x:v>953</x:v>
      </x:c>
      <x:c r="B957" s="9" t="str">
        <x:v>494</x:v>
      </x:c>
      <x:c r="C957" s="11" t="n">
        <x:v>46135</x:v>
      </x:c>
      <x:c r="D957" s="13" t="n">
        <x:v>1217.68</x:v>
      </x:c>
    </x:row>
    <x:row r="958">
      <x:c r="A958" s="9" t="str">
        <x:v>954</x:v>
      </x:c>
      <x:c r="B958" s="9" t="str">
        <x:v>495</x:v>
      </x:c>
      <x:c r="C958" s="11" t="n">
        <x:v>46201</x:v>
      </x:c>
      <x:c r="D958" s="13" t="n">
        <x:v>640.51</x:v>
      </x:c>
    </x:row>
    <x:row r="959">
      <x:c r="A959" s="9" t="str">
        <x:v>955</x:v>
      </x:c>
      <x:c r="B959" s="9" t="str">
        <x:v>495</x:v>
      </x:c>
      <x:c r="C959" s="11" t="n">
        <x:v>46190</x:v>
      </x:c>
      <x:c r="D959" s="13" t="n">
        <x:v>1262.85</x:v>
      </x:c>
    </x:row>
    <x:row r="960">
      <x:c r="A960" s="9" t="str">
        <x:v>956</x:v>
      </x:c>
      <x:c r="B960" s="9" t="str">
        <x:v>495</x:v>
      </x:c>
      <x:c r="C960" s="11" t="n">
        <x:v>46169</x:v>
      </x:c>
      <x:c r="D960" s="13" t="n">
        <x:v>745.42</x:v>
      </x:c>
    </x:row>
    <x:row r="961">
      <x:c r="A961" s="9" t="str">
        <x:v>957</x:v>
      </x:c>
      <x:c r="B961" s="9" t="str">
        <x:v>495</x:v>
      </x:c>
      <x:c r="C961" s="11" t="n">
        <x:v>46189</x:v>
      </x:c>
      <x:c r="D961" s="13" t="n">
        <x:v>2035.43</x:v>
      </x:c>
    </x:row>
    <x:row r="962">
      <x:c r="A962" s="9" t="str">
        <x:v>958</x:v>
      </x:c>
      <x:c r="B962" s="9" t="str">
        <x:v>496</x:v>
      </x:c>
      <x:c r="C962" s="11" t="n">
        <x:v>46112</x:v>
      </x:c>
      <x:c r="D962" s="13" t="n">
        <x:v>88.99</x:v>
      </x:c>
    </x:row>
    <x:row r="963">
      <x:c r="A963" s="9" t="str">
        <x:v>959</x:v>
      </x:c>
      <x:c r="B963" s="9" t="str">
        <x:v>496</x:v>
      </x:c>
      <x:c r="C963" s="11" t="n">
        <x:v>46170</x:v>
      </x:c>
      <x:c r="D963" s="13" t="n">
        <x:v>27.2</x:v>
      </x:c>
    </x:row>
    <x:row r="964">
      <x:c r="A964" s="9" t="str">
        <x:v>960</x:v>
      </x:c>
      <x:c r="B964" s="9" t="str">
        <x:v>496</x:v>
      </x:c>
      <x:c r="C964" s="11" t="n">
        <x:v>46144</x:v>
      </x:c>
      <x:c r="D964" s="13" t="n">
        <x:v>293.29</x:v>
      </x:c>
    </x:row>
    <x:row r="965">
      <x:c r="A965" s="9" t="str">
        <x:v>961</x:v>
      </x:c>
      <x:c r="B965" s="9" t="str">
        <x:v>497</x:v>
      </x:c>
      <x:c r="C965" s="11" t="n">
        <x:v>46177</x:v>
      </x:c>
      <x:c r="D965" s="13" t="n">
        <x:v>2031.52</x:v>
      </x:c>
    </x:row>
    <x:row r="966">
      <x:c r="A966" s="9" t="str">
        <x:v>962</x:v>
      </x:c>
      <x:c r="B966" s="9" t="str">
        <x:v>497</x:v>
      </x:c>
      <x:c r="C966" s="11" t="n">
        <x:v>46113</x:v>
      </x:c>
      <x:c r="D966" s="13" t="n">
        <x:v>2702.03</x:v>
      </x:c>
    </x:row>
    <x:row r="967">
      <x:c r="A967" s="9" t="str">
        <x:v>963</x:v>
      </x:c>
      <x:c r="B967" s="9" t="str">
        <x:v>498</x:v>
      </x:c>
      <x:c r="C967" s="11" t="n">
        <x:v>46185</x:v>
      </x:c>
      <x:c r="D967" s="13" t="n">
        <x:v>603.28</x:v>
      </x:c>
    </x:row>
    <x:row r="968">
      <x:c r="A968" s="9" t="str">
        <x:v>964</x:v>
      </x:c>
      <x:c r="B968" s="9" t="str">
        <x:v>498</x:v>
      </x:c>
      <x:c r="C968" s="11" t="n">
        <x:v>46155</x:v>
      </x:c>
      <x:c r="D968" s="13" t="n">
        <x:v>358.09</x:v>
      </x:c>
    </x:row>
    <x:row r="969">
      <x:c r="A969" s="9" t="str">
        <x:v>965</x:v>
      </x:c>
      <x:c r="B969" s="9" t="str">
        <x:v>498</x:v>
      </x:c>
      <x:c r="C969" s="11" t="n">
        <x:v>46150</x:v>
      </x:c>
      <x:c r="D969" s="13" t="n">
        <x:v>731.29</x:v>
      </x:c>
    </x:row>
    <x:row r="970">
      <x:c r="A970" s="9" t="str">
        <x:v>966</x:v>
      </x:c>
      <x:c r="B970" s="9" t="str">
        <x:v>498</x:v>
      </x:c>
      <x:c r="C970" s="11" t="n">
        <x:v>46195</x:v>
      </x:c>
      <x:c r="D970" s="13" t="n">
        <x:v>474.55</x:v>
      </x:c>
    </x:row>
    <x:row r="971">
      <x:c r="A971" s="9" t="str">
        <x:v>967</x:v>
      </x:c>
      <x:c r="B971" s="9" t="str">
        <x:v>499</x:v>
      </x:c>
      <x:c r="C971" s="11" t="n">
        <x:v>46154</x:v>
      </x:c>
      <x:c r="D971" s="13" t="n">
        <x:v>137.09</x:v>
      </x:c>
    </x:row>
    <x:row r="972">
      <x:c r="A972" s="9" t="str">
        <x:v>968</x:v>
      </x:c>
      <x:c r="B972" s="9" t="str">
        <x:v>499</x:v>
      </x:c>
      <x:c r="C972" s="11" t="n">
        <x:v>46168</x:v>
      </x:c>
      <x:c r="D972" s="13" t="n">
        <x:v>134.15</x:v>
      </x:c>
    </x:row>
    <x:row r="973">
      <x:c r="A973" s="9" t="str">
        <x:v>969</x:v>
      </x:c>
      <x:c r="B973" s="9" t="str">
        <x:v>499</x:v>
      </x:c>
      <x:c r="C973" s="11" t="n">
        <x:v>46193</x:v>
      </x:c>
      <x:c r="D973" s="13" t="n">
        <x:v>125.76</x:v>
      </x:c>
    </x:row>
    <x:row r="974">
      <x:c r="A974" s="9" t="str">
        <x:v>970</x:v>
      </x:c>
      <x:c r="B974" s="9" t="str">
        <x:v>501</x:v>
      </x:c>
      <x:c r="C974" s="11" t="n">
        <x:v>46084</x:v>
      </x:c>
      <x:c r="D974" s="13" t="n">
        <x:v>460.84</x:v>
      </x:c>
    </x:row>
    <x:row r="975">
      <x:c r="A975" s="9" t="str">
        <x:v>971</x:v>
      </x:c>
      <x:c r="B975" s="9" t="str">
        <x:v>501</x:v>
      </x:c>
      <x:c r="C975" s="11" t="n">
        <x:v>46103</x:v>
      </x:c>
      <x:c r="D975" s="13" t="n">
        <x:v>121.56</x:v>
      </x:c>
    </x:row>
    <x:row r="976">
      <x:c r="A976" s="9" t="str">
        <x:v>972</x:v>
      </x:c>
      <x:c r="B976" s="9" t="str">
        <x:v>502</x:v>
      </x:c>
      <x:c r="C976" s="11" t="n">
        <x:v>46161</x:v>
      </x:c>
      <x:c r="D976" s="13" t="n">
        <x:v>37.29</x:v>
      </x:c>
    </x:row>
    <x:row r="977">
      <x:c r="A977" s="9" t="str">
        <x:v>973</x:v>
      </x:c>
      <x:c r="B977" s="9" t="str">
        <x:v>502</x:v>
      </x:c>
      <x:c r="C977" s="11" t="n">
        <x:v>46148</x:v>
      </x:c>
      <x:c r="D977" s="13" t="n">
        <x:v>355.81</x:v>
      </x:c>
    </x:row>
    <x:row r="978">
      <x:c r="A978" s="9" t="str">
        <x:v>974</x:v>
      </x:c>
      <x:c r="B978" s="9" t="str">
        <x:v>504</x:v>
      </x:c>
      <x:c r="C978" s="11" t="n">
        <x:v>46170</x:v>
      </x:c>
      <x:c r="D978" s="13" t="n">
        <x:v>1749.08</x:v>
      </x:c>
    </x:row>
    <x:row r="979">
      <x:c r="A979" s="9" t="str">
        <x:v>975</x:v>
      </x:c>
      <x:c r="B979" s="9" t="str">
        <x:v>504</x:v>
      </x:c>
      <x:c r="C979" s="11" t="n">
        <x:v>46154</x:v>
      </x:c>
      <x:c r="D979" s="13" t="n">
        <x:v>674.63</x:v>
      </x:c>
    </x:row>
    <x:row r="980">
      <x:c r="A980" s="9" t="str">
        <x:v>976</x:v>
      </x:c>
      <x:c r="B980" s="9" t="str">
        <x:v>505</x:v>
      </x:c>
      <x:c r="C980" s="11" t="n">
        <x:v>46173</x:v>
      </x:c>
      <x:c r="D980" s="13" t="n">
        <x:v>767.05</x:v>
      </x:c>
    </x:row>
    <x:row r="981">
      <x:c r="A981" s="9" t="str">
        <x:v>977</x:v>
      </x:c>
      <x:c r="B981" s="9" t="str">
        <x:v>506</x:v>
      </x:c>
      <x:c r="C981" s="11" t="n">
        <x:v>46188</x:v>
      </x:c>
      <x:c r="D981" s="13" t="n">
        <x:v>1746.41</x:v>
      </x:c>
    </x:row>
    <x:row r="982">
      <x:c r="A982" s="9" t="str">
        <x:v>978</x:v>
      </x:c>
      <x:c r="B982" s="9" t="str">
        <x:v>506</x:v>
      </x:c>
      <x:c r="C982" s="11" t="n">
        <x:v>46173</x:v>
      </x:c>
      <x:c r="D982" s="13" t="n">
        <x:v>2197.82</x:v>
      </x:c>
    </x:row>
    <x:row r="983">
      <x:c r="A983" s="9" t="str">
        <x:v>979</x:v>
      </x:c>
      <x:c r="B983" s="9" t="str">
        <x:v>507</x:v>
      </x:c>
      <x:c r="C983" s="11" t="n">
        <x:v>46198</x:v>
      </x:c>
      <x:c r="D983" s="13" t="n">
        <x:v>1232.42</x:v>
      </x:c>
    </x:row>
    <x:row r="984">
      <x:c r="A984" s="9" t="str">
        <x:v>980</x:v>
      </x:c>
      <x:c r="B984" s="9" t="str">
        <x:v>508</x:v>
      </x:c>
      <x:c r="C984" s="11" t="n">
        <x:v>46180</x:v>
      </x:c>
      <x:c r="D984" s="13" t="n">
        <x:v>50.87</x:v>
      </x:c>
    </x:row>
    <x:row r="985">
      <x:c r="A985" s="9" t="str">
        <x:v>981</x:v>
      </x:c>
      <x:c r="B985" s="9" t="str">
        <x:v>508</x:v>
      </x:c>
      <x:c r="C985" s="11" t="n">
        <x:v>46119</x:v>
      </x:c>
      <x:c r="D985" s="13" t="n">
        <x:v>117.35</x:v>
      </x:c>
    </x:row>
    <x:row r="986">
      <x:c r="A986" s="9" t="str">
        <x:v>982</x:v>
      </x:c>
      <x:c r="B986" s="9" t="str">
        <x:v>509</x:v>
      </x:c>
      <x:c r="C986" s="11" t="n">
        <x:v>46108</x:v>
      </x:c>
      <x:c r="D986" s="13" t="n">
        <x:v>383.93</x:v>
      </x:c>
    </x:row>
    <x:row r="987">
      <x:c r="A987" s="9" t="str">
        <x:v>983</x:v>
      </x:c>
      <x:c r="B987" s="9" t="str">
        <x:v>509</x:v>
      </x:c>
      <x:c r="C987" s="11" t="n">
        <x:v>46078</x:v>
      </x:c>
      <x:c r="D987" s="13" t="n">
        <x:v>1142.59</x:v>
      </x:c>
    </x:row>
    <x:row r="988">
      <x:c r="A988" s="9" t="str">
        <x:v>984</x:v>
      </x:c>
      <x:c r="B988" s="9" t="str">
        <x:v>510</x:v>
      </x:c>
      <x:c r="C988" s="11" t="n">
        <x:v>46117</x:v>
      </x:c>
      <x:c r="D988" s="13" t="n">
        <x:v>1525.63</x:v>
      </x:c>
    </x:row>
    <x:row r="989">
      <x:c r="A989" s="9" t="str">
        <x:v>985</x:v>
      </x:c>
      <x:c r="B989" s="9" t="str">
        <x:v>510</x:v>
      </x:c>
      <x:c r="C989" s="11" t="n">
        <x:v>46132</x:v>
      </x:c>
      <x:c r="D989" s="13" t="n">
        <x:v>532.99</x:v>
      </x:c>
    </x:row>
    <x:row r="990">
      <x:c r="A990" s="9" t="str">
        <x:v>986</x:v>
      </x:c>
      <x:c r="B990" s="9" t="str">
        <x:v>511</x:v>
      </x:c>
      <x:c r="C990" s="11" t="n">
        <x:v>46199</x:v>
      </x:c>
      <x:c r="D990" s="13" t="n">
        <x:v>1981.14</x:v>
      </x:c>
    </x:row>
    <x:row r="991">
      <x:c r="A991" s="9" t="str">
        <x:v>987</x:v>
      </x:c>
      <x:c r="B991" s="9" t="str">
        <x:v>512</x:v>
      </x:c>
      <x:c r="C991" s="11" t="n">
        <x:v>46189</x:v>
      </x:c>
      <x:c r="D991" s="13" t="n">
        <x:v>38.97</x:v>
      </x:c>
    </x:row>
    <x:row r="992">
      <x:c r="A992" s="9" t="str">
        <x:v>988</x:v>
      </x:c>
      <x:c r="B992" s="9" t="str">
        <x:v>512</x:v>
      </x:c>
      <x:c r="C992" s="11" t="n">
        <x:v>46180</x:v>
      </x:c>
      <x:c r="D992" s="13" t="n">
        <x:v>56.06</x:v>
      </x:c>
    </x:row>
    <x:row r="993">
      <x:c r="A993" s="9" t="str">
        <x:v>989</x:v>
      </x:c>
      <x:c r="B993" s="9" t="str">
        <x:v>512</x:v>
      </x:c>
      <x:c r="C993" s="11" t="n">
        <x:v>46191</x:v>
      </x:c>
      <x:c r="D993" s="13" t="n">
        <x:v>109.08</x:v>
      </x:c>
    </x:row>
    <x:row r="994">
      <x:c r="A994" s="9" t="str">
        <x:v>990</x:v>
      </x:c>
      <x:c r="B994" s="9" t="str">
        <x:v>514</x:v>
      </x:c>
      <x:c r="C994" s="11" t="n">
        <x:v>46125</x:v>
      </x:c>
      <x:c r="D994" s="13" t="n">
        <x:v>348.33</x:v>
      </x:c>
    </x:row>
    <x:row r="995">
      <x:c r="A995" s="9" t="str">
        <x:v>991</x:v>
      </x:c>
      <x:c r="B995" s="9" t="str">
        <x:v>515</x:v>
      </x:c>
      <x:c r="C995" s="11" t="n">
        <x:v>46183</x:v>
      </x:c>
      <x:c r="D995" s="13" t="n">
        <x:v>145.79</x:v>
      </x:c>
    </x:row>
    <x:row r="996">
      <x:c r="A996" s="9" t="str">
        <x:v>992</x:v>
      </x:c>
      <x:c r="B996" s="9" t="str">
        <x:v>517</x:v>
      </x:c>
      <x:c r="C996" s="11" t="n">
        <x:v>46115</x:v>
      </x:c>
      <x:c r="D996" s="13" t="n">
        <x:v>2155.77</x:v>
      </x:c>
    </x:row>
    <x:row r="997">
      <x:c r="A997" s="9" t="str">
        <x:v>993</x:v>
      </x:c>
      <x:c r="B997" s="9" t="str">
        <x:v>518</x:v>
      </x:c>
      <x:c r="C997" s="11" t="n">
        <x:v>46187</x:v>
      </x:c>
      <x:c r="D997" s="13" t="n">
        <x:v>972.95</x:v>
      </x:c>
    </x:row>
    <x:row r="998">
      <x:c r="A998" s="9" t="str">
        <x:v>994</x:v>
      </x:c>
      <x:c r="B998" s="9" t="str">
        <x:v>518</x:v>
      </x:c>
      <x:c r="C998" s="11" t="n">
        <x:v>46170</x:v>
      </x:c>
      <x:c r="D998" s="13" t="n">
        <x:v>731.37</x:v>
      </x:c>
    </x:row>
    <x:row r="999">
      <x:c r="A999" s="9" t="str">
        <x:v>995</x:v>
      </x:c>
      <x:c r="B999" s="9" t="str">
        <x:v>518</x:v>
      </x:c>
      <x:c r="C999" s="11" t="n">
        <x:v>46189</x:v>
      </x:c>
      <x:c r="D999" s="13" t="n">
        <x:v>1021.4</x:v>
      </x:c>
    </x:row>
    <x:row r="1000">
      <x:c r="A1000" s="9" t="str">
        <x:v>996</x:v>
      </x:c>
      <x:c r="B1000" s="9" t="str">
        <x:v>520</x:v>
      </x:c>
      <x:c r="C1000" s="11" t="n">
        <x:v>46194</x:v>
      </x:c>
      <x:c r="D1000" s="13" t="n">
        <x:v>1033.99</x:v>
      </x:c>
    </x:row>
    <x:row r="1001">
      <x:c r="A1001" s="9" t="str">
        <x:v>997</x:v>
      </x:c>
      <x:c r="B1001" s="9" t="str">
        <x:v>520</x:v>
      </x:c>
      <x:c r="C1001" s="11" t="n">
        <x:v>46107</x:v>
      </x:c>
      <x:c r="D1001" s="13" t="n">
        <x:v>174.53</x:v>
      </x:c>
    </x:row>
    <x:row r="1002">
      <x:c r="A1002" s="9" t="str">
        <x:v>998</x:v>
      </x:c>
      <x:c r="B1002" s="9" t="str">
        <x:v>520</x:v>
      </x:c>
      <x:c r="C1002" s="11" t="n">
        <x:v>46101</x:v>
      </x:c>
      <x:c r="D1002" s="13" t="n">
        <x:v>1729.45</x:v>
      </x:c>
    </x:row>
    <x:row r="1003">
      <x:c r="A1003" s="9" t="str">
        <x:v>999</x:v>
      </x:c>
      <x:c r="B1003" s="9" t="str">
        <x:v>520</x:v>
      </x:c>
      <x:c r="C1003" s="11" t="n">
        <x:v>46149</x:v>
      </x:c>
      <x:c r="D1003" s="13" t="n">
        <x:v>932.39</x:v>
      </x:c>
    </x:row>
    <x:row r="1004">
      <x:c r="A1004" s="9" t="str">
        <x:v>1000</x:v>
      </x:c>
      <x:c r="B1004" s="9" t="str">
        <x:v>521</x:v>
      </x:c>
      <x:c r="C1004" s="11" t="n">
        <x:v>46194</x:v>
      </x:c>
      <x:c r="D1004" s="13" t="n">
        <x:v>922.51</x:v>
      </x:c>
    </x:row>
    <x:row r="1005">
      <x:c r="A1005" s="9" t="str">
        <x:v>1001</x:v>
      </x:c>
      <x:c r="B1005" s="9" t="str">
        <x:v>521</x:v>
      </x:c>
      <x:c r="C1005" s="11" t="n">
        <x:v>46161</x:v>
      </x:c>
      <x:c r="D1005" s="13" t="n">
        <x:v>1068.46</x:v>
      </x:c>
    </x:row>
    <x:row r="1006">
      <x:c r="A1006" s="9" t="str">
        <x:v>1002</x:v>
      </x:c>
      <x:c r="B1006" s="9" t="str">
        <x:v>521</x:v>
      </x:c>
      <x:c r="C1006" s="11" t="n">
        <x:v>46158</x:v>
      </x:c>
      <x:c r="D1006" s="13" t="n">
        <x:v>127.77</x:v>
      </x:c>
    </x:row>
    <x:row r="1007">
      <x:c r="A1007" s="9" t="str">
        <x:v>1003</x:v>
      </x:c>
      <x:c r="B1007" s="9" t="str">
        <x:v>521</x:v>
      </x:c>
      <x:c r="C1007" s="11" t="n">
        <x:v>46171</x:v>
      </x:c>
      <x:c r="D1007" s="13" t="n">
        <x:v>427.27</x:v>
      </x:c>
    </x:row>
    <x:row r="1008">
      <x:c r="A1008" s="9" t="str">
        <x:v>1004</x:v>
      </x:c>
      <x:c r="B1008" s="9" t="str">
        <x:v>522</x:v>
      </x:c>
      <x:c r="C1008" s="11" t="n">
        <x:v>46192</x:v>
      </x:c>
      <x:c r="D1008" s="13" t="n">
        <x:v>1016.85</x:v>
      </x:c>
    </x:row>
    <x:row r="1009">
      <x:c r="A1009" s="9" t="str">
        <x:v>1005</x:v>
      </x:c>
      <x:c r="B1009" s="9" t="str">
        <x:v>523</x:v>
      </x:c>
      <x:c r="C1009" s="11" t="n">
        <x:v>46118</x:v>
      </x:c>
      <x:c r="D1009" s="13" t="n">
        <x:v>1680.89</x:v>
      </x:c>
    </x:row>
    <x:row r="1010">
      <x:c r="A1010" s="9" t="str">
        <x:v>1006</x:v>
      </x:c>
      <x:c r="B1010" s="9" t="str">
        <x:v>525</x:v>
      </x:c>
      <x:c r="C1010" s="11" t="n">
        <x:v>46162</x:v>
      </x:c>
      <x:c r="D1010" s="13" t="n">
        <x:v>1505.19</x:v>
      </x:c>
    </x:row>
    <x:row r="1011">
      <x:c r="A1011" s="9" t="str">
        <x:v>1007</x:v>
      </x:c>
      <x:c r="B1011" s="9" t="str">
        <x:v>526</x:v>
      </x:c>
      <x:c r="C1011" s="11" t="n">
        <x:v>46185</x:v>
      </x:c>
      <x:c r="D1011" s="13" t="n">
        <x:v>668.98</x:v>
      </x:c>
    </x:row>
    <x:row r="1012">
      <x:c r="A1012" s="9" t="str">
        <x:v>1008</x:v>
      </x:c>
      <x:c r="B1012" s="9" t="str">
        <x:v>526</x:v>
      </x:c>
      <x:c r="C1012" s="11" t="n">
        <x:v>46165</x:v>
      </x:c>
      <x:c r="D1012" s="13" t="n">
        <x:v>948.22</x:v>
      </x:c>
    </x:row>
    <x:row r="1013">
      <x:c r="A1013" s="9" t="str">
        <x:v>1009</x:v>
      </x:c>
      <x:c r="B1013" s="9" t="str">
        <x:v>528</x:v>
      </x:c>
      <x:c r="C1013" s="11" t="n">
        <x:v>46194</x:v>
      </x:c>
      <x:c r="D1013" s="13" t="n">
        <x:v>1195.31</x:v>
      </x:c>
    </x:row>
    <x:row r="1014">
      <x:c r="A1014" s="9" t="str">
        <x:v>1010</x:v>
      </x:c>
      <x:c r="B1014" s="9" t="str">
        <x:v>528</x:v>
      </x:c>
      <x:c r="C1014" s="11" t="n">
        <x:v>46047</x:v>
      </x:c>
      <x:c r="D1014" s="13" t="n">
        <x:v>931.55</x:v>
      </x:c>
    </x:row>
    <x:row r="1015">
      <x:c r="A1015" s="9" t="str">
        <x:v>1011</x:v>
      </x:c>
      <x:c r="B1015" s="9" t="str">
        <x:v>528</x:v>
      </x:c>
      <x:c r="C1015" s="11" t="n">
        <x:v>46056</x:v>
      </x:c>
      <x:c r="D1015" s="13" t="n">
        <x:v>463.3</x:v>
      </x:c>
    </x:row>
    <x:row r="1016">
      <x:c r="A1016" s="9" t="str">
        <x:v>1012</x:v>
      </x:c>
      <x:c r="B1016" s="9" t="str">
        <x:v>528</x:v>
      </x:c>
      <x:c r="C1016" s="11" t="n">
        <x:v>46144</x:v>
      </x:c>
      <x:c r="D1016" s="13" t="n">
        <x:v>1255.06</x:v>
      </x:c>
    </x:row>
    <x:row r="1017">
      <x:c r="A1017" s="9" t="str">
        <x:v>1013</x:v>
      </x:c>
      <x:c r="B1017" s="9" t="str">
        <x:v>530</x:v>
      </x:c>
      <x:c r="C1017" s="11" t="n">
        <x:v>46137</x:v>
      </x:c>
      <x:c r="D1017" s="13" t="n">
        <x:v>666.6</x:v>
      </x:c>
    </x:row>
    <x:row r="1018">
      <x:c r="A1018" s="9" t="str">
        <x:v>1014</x:v>
      </x:c>
      <x:c r="B1018" s="9" t="str">
        <x:v>530</x:v>
      </x:c>
      <x:c r="C1018" s="11" t="n">
        <x:v>46167</x:v>
      </x:c>
      <x:c r="D1018" s="13" t="n">
        <x:v>2247.83</x:v>
      </x:c>
    </x:row>
    <x:row r="1019">
      <x:c r="A1019" s="9" t="str">
        <x:v>1015</x:v>
      </x:c>
      <x:c r="B1019" s="9" t="str">
        <x:v>530</x:v>
      </x:c>
      <x:c r="C1019" s="11" t="n">
        <x:v>46056</x:v>
      </x:c>
      <x:c r="D1019" s="13" t="n">
        <x:v>732.31</x:v>
      </x:c>
    </x:row>
    <x:row r="1020">
      <x:c r="A1020" s="9" t="str">
        <x:v>1016</x:v>
      </x:c>
      <x:c r="B1020" s="9" t="str">
        <x:v>531</x:v>
      </x:c>
      <x:c r="C1020" s="11" t="n">
        <x:v>46072</x:v>
      </x:c>
      <x:c r="D1020" s="13" t="n">
        <x:v>1159.64</x:v>
      </x:c>
    </x:row>
    <x:row r="1021">
      <x:c r="A1021" s="9" t="str">
        <x:v>1017</x:v>
      </x:c>
      <x:c r="B1021" s="9" t="str">
        <x:v>532</x:v>
      </x:c>
      <x:c r="C1021" s="11" t="n">
        <x:v>46176</x:v>
      </x:c>
      <x:c r="D1021" s="13" t="n">
        <x:v>279.82</x:v>
      </x:c>
    </x:row>
    <x:row r="1022">
      <x:c r="A1022" s="9" t="str">
        <x:v>1018</x:v>
      </x:c>
      <x:c r="B1022" s="9" t="str">
        <x:v>532</x:v>
      </x:c>
      <x:c r="C1022" s="11" t="n">
        <x:v>46202</x:v>
      </x:c>
      <x:c r="D1022" s="13" t="n">
        <x:v>477.87</x:v>
      </x:c>
    </x:row>
    <x:row r="1023">
      <x:c r="A1023" s="9" t="str">
        <x:v>1019</x:v>
      </x:c>
      <x:c r="B1023" s="9" t="str">
        <x:v>533</x:v>
      </x:c>
      <x:c r="C1023" s="11" t="n">
        <x:v>46098</x:v>
      </x:c>
      <x:c r="D1023" s="13" t="n">
        <x:v>2649.5</x:v>
      </x:c>
    </x:row>
    <x:row r="1024">
      <x:c r="A1024" s="9" t="str">
        <x:v>1020</x:v>
      </x:c>
      <x:c r="B1024" s="9" t="str">
        <x:v>533</x:v>
      </x:c>
      <x:c r="C1024" s="11" t="n">
        <x:v>46129</x:v>
      </x:c>
      <x:c r="D1024" s="13" t="n">
        <x:v>293.1</x:v>
      </x:c>
    </x:row>
    <x:row r="1025">
      <x:c r="A1025" s="9" t="str">
        <x:v>1021</x:v>
      </x:c>
      <x:c r="B1025" s="9" t="str">
        <x:v>533</x:v>
      </x:c>
      <x:c r="C1025" s="11" t="n">
        <x:v>46175</x:v>
      </x:c>
      <x:c r="D1025" s="13" t="n">
        <x:v>2163.95</x:v>
      </x:c>
    </x:row>
    <x:row r="1026">
      <x:c r="A1026" s="9" t="str">
        <x:v>1022</x:v>
      </x:c>
      <x:c r="B1026" s="9" t="str">
        <x:v>533</x:v>
      </x:c>
      <x:c r="C1026" s="11" t="n">
        <x:v>46120</x:v>
      </x:c>
      <x:c r="D1026" s="13" t="n">
        <x:v>2559.12</x:v>
      </x:c>
    </x:row>
    <x:row r="1027">
      <x:c r="A1027" s="9" t="str">
        <x:v>1023</x:v>
      </x:c>
      <x:c r="B1027" s="9" t="str">
        <x:v>534</x:v>
      </x:c>
      <x:c r="C1027" s="11" t="n">
        <x:v>46165</x:v>
      </x:c>
      <x:c r="D1027" s="13" t="n">
        <x:v>960.15</x:v>
      </x:c>
    </x:row>
    <x:row r="1028">
      <x:c r="A1028" s="9" t="str">
        <x:v>1024</x:v>
      </x:c>
      <x:c r="B1028" s="9" t="str">
        <x:v>534</x:v>
      </x:c>
      <x:c r="C1028" s="11" t="n">
        <x:v>46171</x:v>
      </x:c>
      <x:c r="D1028" s="13" t="n">
        <x:v>57.01</x:v>
      </x:c>
    </x:row>
    <x:row r="1029">
      <x:c r="A1029" s="9" t="str">
        <x:v>1025</x:v>
      </x:c>
      <x:c r="B1029" s="9" t="str">
        <x:v>535</x:v>
      </x:c>
      <x:c r="C1029" s="11" t="n">
        <x:v>46176</x:v>
      </x:c>
      <x:c r="D1029" s="13" t="n">
        <x:v>493.46</x:v>
      </x:c>
    </x:row>
    <x:row r="1030">
      <x:c r="A1030" s="9" t="str">
        <x:v>1026</x:v>
      </x:c>
      <x:c r="B1030" s="9" t="str">
        <x:v>535</x:v>
      </x:c>
      <x:c r="C1030" s="11" t="n">
        <x:v>46127</x:v>
      </x:c>
      <x:c r="D1030" s="13" t="n">
        <x:v>1405.89</x:v>
      </x:c>
    </x:row>
    <x:row r="1031">
      <x:c r="A1031" s="9" t="str">
        <x:v>1027</x:v>
      </x:c>
      <x:c r="B1031" s="9" t="str">
        <x:v>535</x:v>
      </x:c>
      <x:c r="C1031" s="11" t="n">
        <x:v>46160</x:v>
      </x:c>
      <x:c r="D1031" s="13" t="n">
        <x:v>1741.2</x:v>
      </x:c>
    </x:row>
    <x:row r="1032">
      <x:c r="A1032" s="9" t="str">
        <x:v>1028</x:v>
      </x:c>
      <x:c r="B1032" s="9" t="str">
        <x:v>536</x:v>
      </x:c>
      <x:c r="C1032" s="11" t="n">
        <x:v>46174</x:v>
      </x:c>
      <x:c r="D1032" s="13" t="n">
        <x:v>1559.16</x:v>
      </x:c>
    </x:row>
    <x:row r="1033">
      <x:c r="A1033" s="9" t="str">
        <x:v>1029</x:v>
      </x:c>
      <x:c r="B1033" s="9" t="str">
        <x:v>536</x:v>
      </x:c>
      <x:c r="C1033" s="11" t="n">
        <x:v>46182</x:v>
      </x:c>
      <x:c r="D1033" s="13" t="n">
        <x:v>81.68</x:v>
      </x:c>
    </x:row>
    <x:row r="1034">
      <x:c r="A1034" s="9" t="str">
        <x:v>1030</x:v>
      </x:c>
      <x:c r="B1034" s="9" t="str">
        <x:v>537</x:v>
      </x:c>
      <x:c r="C1034" s="11" t="n">
        <x:v>46155</x:v>
      </x:c>
      <x:c r="D1034" s="13" t="n">
        <x:v>355.69</x:v>
      </x:c>
    </x:row>
    <x:row r="1035">
      <x:c r="A1035" s="9" t="str">
        <x:v>1031</x:v>
      </x:c>
      <x:c r="B1035" s="9" t="str">
        <x:v>538</x:v>
      </x:c>
      <x:c r="C1035" s="11" t="n">
        <x:v>46108</x:v>
      </x:c>
      <x:c r="D1035" s="13" t="n">
        <x:v>42.34</x:v>
      </x:c>
    </x:row>
    <x:row r="1036">
      <x:c r="A1036" s="9" t="str">
        <x:v>1032</x:v>
      </x:c>
      <x:c r="B1036" s="9" t="str">
        <x:v>538</x:v>
      </x:c>
      <x:c r="C1036" s="11" t="n">
        <x:v>46165</x:v>
      </x:c>
      <x:c r="D1036" s="13" t="n">
        <x:v>814.5</x:v>
      </x:c>
    </x:row>
    <x:row r="1037">
      <x:c r="A1037" s="9" t="str">
        <x:v>1033</x:v>
      </x:c>
      <x:c r="B1037" s="9" t="str">
        <x:v>538</x:v>
      </x:c>
      <x:c r="C1037" s="11" t="n">
        <x:v>46134</x:v>
      </x:c>
      <x:c r="D1037" s="13" t="n">
        <x:v>1742.18</x:v>
      </x:c>
    </x:row>
    <x:row r="1038">
      <x:c r="A1038" s="9" t="str">
        <x:v>1034</x:v>
      </x:c>
      <x:c r="B1038" s="9" t="str">
        <x:v>538</x:v>
      </x:c>
      <x:c r="C1038" s="11" t="n">
        <x:v>46201</x:v>
      </x:c>
      <x:c r="D1038" s="13" t="n">
        <x:v>703.41</x:v>
      </x:c>
    </x:row>
    <x:row r="1039">
      <x:c r="A1039" s="9" t="str">
        <x:v>1035</x:v>
      </x:c>
      <x:c r="B1039" s="9" t="str">
        <x:v>540</x:v>
      </x:c>
      <x:c r="C1039" s="11" t="n">
        <x:v>46180</x:v>
      </x:c>
      <x:c r="D1039" s="13" t="n">
        <x:v>733.89</x:v>
      </x:c>
    </x:row>
    <x:row r="1040">
      <x:c r="A1040" s="9" t="str">
        <x:v>1036</x:v>
      </x:c>
      <x:c r="B1040" s="9" t="str">
        <x:v>540</x:v>
      </x:c>
      <x:c r="C1040" s="11" t="n">
        <x:v>46172</x:v>
      </x:c>
      <x:c r="D1040" s="13" t="n">
        <x:v>1307.42</x:v>
      </x:c>
    </x:row>
    <x:row r="1041">
      <x:c r="A1041" s="9" t="str">
        <x:v>1037</x:v>
      </x:c>
      <x:c r="B1041" s="9" t="str">
        <x:v>541</x:v>
      </x:c>
      <x:c r="C1041" s="11" t="n">
        <x:v>46173</x:v>
      </x:c>
      <x:c r="D1041" s="13" t="n">
        <x:v>64.99</x:v>
      </x:c>
    </x:row>
    <x:row r="1042">
      <x:c r="A1042" s="9" t="str">
        <x:v>1038</x:v>
      </x:c>
      <x:c r="B1042" s="9" t="str">
        <x:v>541</x:v>
      </x:c>
      <x:c r="C1042" s="11" t="n">
        <x:v>46090</x:v>
      </x:c>
      <x:c r="D1042" s="13" t="n">
        <x:v>950.25</x:v>
      </x:c>
    </x:row>
    <x:row r="1043">
      <x:c r="A1043" s="9" t="str">
        <x:v>1039</x:v>
      </x:c>
      <x:c r="B1043" s="9" t="str">
        <x:v>543</x:v>
      </x:c>
      <x:c r="C1043" s="11" t="n">
        <x:v>46184</x:v>
      </x:c>
      <x:c r="D1043" s="13" t="n">
        <x:v>197.15</x:v>
      </x:c>
    </x:row>
    <x:row r="1044">
      <x:c r="A1044" s="9" t="str">
        <x:v>1040</x:v>
      </x:c>
      <x:c r="B1044" s="9" t="str">
        <x:v>543</x:v>
      </x:c>
      <x:c r="C1044" s="11" t="n">
        <x:v>46111</x:v>
      </x:c>
      <x:c r="D1044" s="13" t="n">
        <x:v>752.08</x:v>
      </x:c>
    </x:row>
    <x:row r="1045">
      <x:c r="A1045" s="9" t="str">
        <x:v>1041</x:v>
      </x:c>
      <x:c r="B1045" s="9" t="str">
        <x:v>543</x:v>
      </x:c>
      <x:c r="C1045" s="11" t="n">
        <x:v>46158</x:v>
      </x:c>
      <x:c r="D1045" s="13" t="n">
        <x:v>74.73</x:v>
      </x:c>
    </x:row>
    <x:row r="1046">
      <x:c r="A1046" s="9" t="str">
        <x:v>1042</x:v>
      </x:c>
      <x:c r="B1046" s="9" t="str">
        <x:v>544</x:v>
      </x:c>
      <x:c r="C1046" s="11" t="n">
        <x:v>46159</x:v>
      </x:c>
      <x:c r="D1046" s="13" t="n">
        <x:v>344.75</x:v>
      </x:c>
    </x:row>
    <x:row r="1047">
      <x:c r="A1047" s="9" t="str">
        <x:v>1043</x:v>
      </x:c>
      <x:c r="B1047" s="9" t="str">
        <x:v>544</x:v>
      </x:c>
      <x:c r="C1047" s="11" t="n">
        <x:v>46177</x:v>
      </x:c>
      <x:c r="D1047" s="13" t="n">
        <x:v>523.45</x:v>
      </x:c>
    </x:row>
    <x:row r="1048">
      <x:c r="A1048" s="9" t="str">
        <x:v>1044</x:v>
      </x:c>
      <x:c r="B1048" s="9" t="str">
        <x:v>546</x:v>
      </x:c>
      <x:c r="C1048" s="11" t="n">
        <x:v>46113</x:v>
      </x:c>
      <x:c r="D1048" s="13" t="n">
        <x:v>484.32</x:v>
      </x:c>
    </x:row>
    <x:row r="1049">
      <x:c r="A1049" s="9" t="str">
        <x:v>1045</x:v>
      </x:c>
      <x:c r="B1049" s="9" t="str">
        <x:v>546</x:v>
      </x:c>
      <x:c r="C1049" s="11" t="n">
        <x:v>46174</x:v>
      </x:c>
      <x:c r="D1049" s="13" t="n">
        <x:v>471.35</x:v>
      </x:c>
    </x:row>
    <x:row r="1050">
      <x:c r="A1050" s="9" t="str">
        <x:v>1046</x:v>
      </x:c>
      <x:c r="B1050" s="9" t="str">
        <x:v>546</x:v>
      </x:c>
      <x:c r="C1050" s="11" t="n">
        <x:v>46149</x:v>
      </x:c>
      <x:c r="D1050" s="13" t="n">
        <x:v>110.19</x:v>
      </x:c>
    </x:row>
    <x:row r="1051">
      <x:c r="A1051" s="9" t="str">
        <x:v>1047</x:v>
      </x:c>
      <x:c r="B1051" s="9" t="str">
        <x:v>549</x:v>
      </x:c>
      <x:c r="C1051" s="11" t="n">
        <x:v>46097</x:v>
      </x:c>
      <x:c r="D1051" s="13" t="n">
        <x:v>242.23</x:v>
      </x:c>
    </x:row>
    <x:row r="1052">
      <x:c r="A1052" s="9" t="str">
        <x:v>1048</x:v>
      </x:c>
      <x:c r="B1052" s="9" t="str">
        <x:v>549</x:v>
      </x:c>
      <x:c r="C1052" s="11" t="n">
        <x:v>46126</x:v>
      </x:c>
      <x:c r="D1052" s="13" t="n">
        <x:v>273.66</x:v>
      </x:c>
    </x:row>
    <x:row r="1053">
      <x:c r="A1053" s="9" t="str">
        <x:v>1049</x:v>
      </x:c>
      <x:c r="B1053" s="9" t="str">
        <x:v>549</x:v>
      </x:c>
      <x:c r="C1053" s="11" t="n">
        <x:v>46095</x:v>
      </x:c>
      <x:c r="D1053" s="13" t="n">
        <x:v>202.27</x:v>
      </x:c>
    </x:row>
    <x:row r="1054">
      <x:c r="A1054" s="9" t="str">
        <x:v>1050</x:v>
      </x:c>
      <x:c r="B1054" s="9" t="str">
        <x:v>550</x:v>
      </x:c>
      <x:c r="C1054" s="11" t="n">
        <x:v>46199</x:v>
      </x:c>
      <x:c r="D1054" s="13" t="n">
        <x:v>1555.49</x:v>
      </x:c>
    </x:row>
    <x:row r="1055">
      <x:c r="A1055" s="9" t="str">
        <x:v>1051</x:v>
      </x:c>
      <x:c r="B1055" s="9" t="str">
        <x:v>551</x:v>
      </x:c>
      <x:c r="C1055" s="11" t="n">
        <x:v>46192</x:v>
      </x:c>
      <x:c r="D1055" s="13" t="n">
        <x:v>1343.44</x:v>
      </x:c>
    </x:row>
    <x:row r="1056">
      <x:c r="A1056" s="9" t="str">
        <x:v>1052</x:v>
      </x:c>
      <x:c r="B1056" s="9" t="str">
        <x:v>552</x:v>
      </x:c>
      <x:c r="C1056" s="11" t="n">
        <x:v>46137</x:v>
      </x:c>
      <x:c r="D1056" s="13" t="n">
        <x:v>385.38</x:v>
      </x:c>
    </x:row>
    <x:row r="1057">
      <x:c r="A1057" s="9" t="str">
        <x:v>1053</x:v>
      </x:c>
      <x:c r="B1057" s="9" t="str">
        <x:v>553</x:v>
      </x:c>
      <x:c r="C1057" s="11" t="n">
        <x:v>46129</x:v>
      </x:c>
      <x:c r="D1057" s="13" t="n">
        <x:v>766.22</x:v>
      </x:c>
    </x:row>
    <x:row r="1058">
      <x:c r="A1058" s="9" t="str">
        <x:v>1054</x:v>
      </x:c>
      <x:c r="B1058" s="9" t="str">
        <x:v>554</x:v>
      </x:c>
      <x:c r="C1058" s="11" t="n">
        <x:v>46197</x:v>
      </x:c>
      <x:c r="D1058" s="13" t="n">
        <x:v>36.04</x:v>
      </x:c>
    </x:row>
    <x:row r="1059">
      <x:c r="A1059" s="9" t="str">
        <x:v>1055</x:v>
      </x:c>
      <x:c r="B1059" s="9" t="str">
        <x:v>554</x:v>
      </x:c>
      <x:c r="C1059" s="11" t="n">
        <x:v>46108</x:v>
      </x:c>
      <x:c r="D1059" s="13" t="n">
        <x:v>362.52</x:v>
      </x:c>
    </x:row>
    <x:row r="1060">
      <x:c r="A1060" s="9" t="str">
        <x:v>1056</x:v>
      </x:c>
      <x:c r="B1060" s="9" t="str">
        <x:v>554</x:v>
      </x:c>
      <x:c r="C1060" s="11" t="n">
        <x:v>46184</x:v>
      </x:c>
      <x:c r="D1060" s="13" t="n">
        <x:v>14.36</x:v>
      </x:c>
    </x:row>
    <x:row r="1061">
      <x:c r="A1061" s="9" t="str">
        <x:v>1057</x:v>
      </x:c>
      <x:c r="B1061" s="9" t="str">
        <x:v>554</x:v>
      </x:c>
      <x:c r="C1061" s="11" t="n">
        <x:v>46065</x:v>
      </x:c>
      <x:c r="D1061" s="13" t="n">
        <x:v>555.59</x:v>
      </x:c>
    </x:row>
    <x:row r="1062">
      <x:c r="A1062" s="9" t="str">
        <x:v>1058</x:v>
      </x:c>
      <x:c r="B1062" s="9" t="str">
        <x:v>556</x:v>
      </x:c>
      <x:c r="C1062" s="11" t="n">
        <x:v>46128</x:v>
      </x:c>
      <x:c r="D1062" s="13" t="n">
        <x:v>674.61</x:v>
      </x:c>
    </x:row>
    <x:row r="1063">
      <x:c r="A1063" s="9" t="str">
        <x:v>1059</x:v>
      </x:c>
      <x:c r="B1063" s="9" t="str">
        <x:v>557</x:v>
      </x:c>
      <x:c r="C1063" s="11" t="n">
        <x:v>46192</x:v>
      </x:c>
      <x:c r="D1063" s="13" t="n">
        <x:v>1743.11</x:v>
      </x:c>
    </x:row>
    <x:row r="1064">
      <x:c r="A1064" s="9" t="str">
        <x:v>1060</x:v>
      </x:c>
      <x:c r="B1064" s="9" t="str">
        <x:v>557</x:v>
      </x:c>
      <x:c r="C1064" s="11" t="n">
        <x:v>46194</x:v>
      </x:c>
      <x:c r="D1064" s="13" t="n">
        <x:v>103.41</x:v>
      </x:c>
    </x:row>
    <x:row r="1065">
      <x:c r="A1065" s="9" t="str">
        <x:v>1061</x:v>
      </x:c>
      <x:c r="B1065" s="9" t="str">
        <x:v>557</x:v>
      </x:c>
      <x:c r="C1065" s="11" t="n">
        <x:v>46034</x:v>
      </x:c>
      <x:c r="D1065" s="13" t="n">
        <x:v>1654.39</x:v>
      </x:c>
    </x:row>
    <x:row r="1066">
      <x:c r="A1066" s="9" t="str">
        <x:v>1062</x:v>
      </x:c>
      <x:c r="B1066" s="9" t="str">
        <x:v>557</x:v>
      </x:c>
      <x:c r="C1066" s="11" t="n">
        <x:v>46067</x:v>
      </x:c>
      <x:c r="D1066" s="13" t="n">
        <x:v>654.64</x:v>
      </x:c>
    </x:row>
    <x:row r="1067">
      <x:c r="A1067" s="9" t="str">
        <x:v>1063</x:v>
      </x:c>
      <x:c r="B1067" s="9" t="str">
        <x:v>558</x:v>
      </x:c>
      <x:c r="C1067" s="11" t="n">
        <x:v>46103</x:v>
      </x:c>
      <x:c r="D1067" s="13" t="n">
        <x:v>60.07</x:v>
      </x:c>
    </x:row>
    <x:row r="1068">
      <x:c r="A1068" s="9" t="str">
        <x:v>1064</x:v>
      </x:c>
      <x:c r="B1068" s="9" t="str">
        <x:v>558</x:v>
      </x:c>
      <x:c r="C1068" s="11" t="n">
        <x:v>46099</x:v>
      </x:c>
      <x:c r="D1068" s="13" t="n">
        <x:v>68.16</x:v>
      </x:c>
    </x:row>
    <x:row r="1069">
      <x:c r="A1069" s="9" t="str">
        <x:v>1065</x:v>
      </x:c>
      <x:c r="B1069" s="9" t="str">
        <x:v>558</x:v>
      </x:c>
      <x:c r="C1069" s="11" t="n">
        <x:v>46130</x:v>
      </x:c>
      <x:c r="D1069" s="13" t="n">
        <x:v>13.17</x:v>
      </x:c>
    </x:row>
    <x:row r="1070">
      <x:c r="A1070" s="9" t="str">
        <x:v>1066</x:v>
      </x:c>
      <x:c r="B1070" s="9" t="str">
        <x:v>558</x:v>
      </x:c>
      <x:c r="C1070" s="11" t="n">
        <x:v>46110</x:v>
      </x:c>
      <x:c r="D1070" s="13" t="n">
        <x:v>66.35</x:v>
      </x:c>
    </x:row>
    <x:row r="1071">
      <x:c r="A1071" s="9" t="str">
        <x:v>1067</x:v>
      </x:c>
      <x:c r="B1071" s="9" t="str">
        <x:v>559</x:v>
      </x:c>
      <x:c r="C1071" s="11" t="n">
        <x:v>46154</x:v>
      </x:c>
      <x:c r="D1071" s="13" t="n">
        <x:v>784.41</x:v>
      </x:c>
    </x:row>
    <x:row r="1072">
      <x:c r="A1072" s="9" t="str">
        <x:v>1068</x:v>
      </x:c>
      <x:c r="B1072" s="9" t="str">
        <x:v>559</x:v>
      </x:c>
      <x:c r="C1072" s="11" t="n">
        <x:v>46155</x:v>
      </x:c>
      <x:c r="D1072" s="13" t="n">
        <x:v>583.91</x:v>
      </x:c>
    </x:row>
    <x:row r="1073">
      <x:c r="A1073" s="9" t="str">
        <x:v>1069</x:v>
      </x:c>
      <x:c r="B1073" s="9" t="str">
        <x:v>559</x:v>
      </x:c>
      <x:c r="C1073" s="11" t="n">
        <x:v>46196</x:v>
      </x:c>
      <x:c r="D1073" s="13" t="n">
        <x:v>1989.08</x:v>
      </x:c>
    </x:row>
    <x:row r="1074">
      <x:c r="A1074" s="9" t="str">
        <x:v>1070</x:v>
      </x:c>
      <x:c r="B1074" s="9" t="str">
        <x:v>560</x:v>
      </x:c>
      <x:c r="C1074" s="11" t="n">
        <x:v>46177</x:v>
      </x:c>
      <x:c r="D1074" s="13" t="n">
        <x:v>1278.09</x:v>
      </x:c>
    </x:row>
    <x:row r="1075">
      <x:c r="A1075" s="9" t="str">
        <x:v>1071</x:v>
      </x:c>
      <x:c r="B1075" s="9" t="str">
        <x:v>561</x:v>
      </x:c>
      <x:c r="C1075" s="11" t="n">
        <x:v>46170</x:v>
      </x:c>
      <x:c r="D1075" s="13" t="n">
        <x:v>232.71</x:v>
      </x:c>
    </x:row>
    <x:row r="1076">
      <x:c r="A1076" s="9" t="str">
        <x:v>1072</x:v>
      </x:c>
      <x:c r="B1076" s="9" t="str">
        <x:v>562</x:v>
      </x:c>
      <x:c r="C1076" s="11" t="n">
        <x:v>46127</x:v>
      </x:c>
      <x:c r="D1076" s="13" t="n">
        <x:v>1415.12</x:v>
      </x:c>
    </x:row>
    <x:row r="1077">
      <x:c r="A1077" s="9" t="str">
        <x:v>1073</x:v>
      </x:c>
      <x:c r="B1077" s="9" t="str">
        <x:v>563</x:v>
      </x:c>
      <x:c r="C1077" s="11" t="n">
        <x:v>46141</x:v>
      </x:c>
      <x:c r="D1077" s="13" t="n">
        <x:v>483.18</x:v>
      </x:c>
    </x:row>
    <x:row r="1078">
      <x:c r="A1078" s="9" t="str">
        <x:v>1074</x:v>
      </x:c>
      <x:c r="B1078" s="9" t="str">
        <x:v>563</x:v>
      </x:c>
      <x:c r="C1078" s="11" t="n">
        <x:v>46197</x:v>
      </x:c>
      <x:c r="D1078" s="13" t="n">
        <x:v>1859.16</x:v>
      </x:c>
    </x:row>
    <x:row r="1079">
      <x:c r="A1079" s="9" t="str">
        <x:v>1075</x:v>
      </x:c>
      <x:c r="B1079" s="9" t="str">
        <x:v>563</x:v>
      </x:c>
      <x:c r="C1079" s="11" t="n">
        <x:v>46068</x:v>
      </x:c>
      <x:c r="D1079" s="13" t="n">
        <x:v>342.73</x:v>
      </x:c>
    </x:row>
    <x:row r="1080">
      <x:c r="A1080" s="9" t="str">
        <x:v>1076</x:v>
      </x:c>
      <x:c r="B1080" s="9" t="str">
        <x:v>564</x:v>
      </x:c>
      <x:c r="C1080" s="11" t="n">
        <x:v>46068</x:v>
      </x:c>
      <x:c r="D1080" s="13" t="n">
        <x:v>231.69</x:v>
      </x:c>
    </x:row>
    <x:row r="1081">
      <x:c r="A1081" s="9" t="str">
        <x:v>1077</x:v>
      </x:c>
      <x:c r="B1081" s="9" t="str">
        <x:v>564</x:v>
      </x:c>
      <x:c r="C1081" s="11" t="n">
        <x:v>46105</x:v>
      </x:c>
      <x:c r="D1081" s="13" t="n">
        <x:v>1494.2</x:v>
      </x:c>
    </x:row>
    <x:row r="1082">
      <x:c r="A1082" s="9" t="str">
        <x:v>1078</x:v>
      </x:c>
      <x:c r="B1082" s="9" t="str">
        <x:v>564</x:v>
      </x:c>
      <x:c r="C1082" s="11" t="n">
        <x:v>46086</x:v>
      </x:c>
      <x:c r="D1082" s="13" t="n">
        <x:v>137.11</x:v>
      </x:c>
    </x:row>
    <x:row r="1083">
      <x:c r="A1083" s="9" t="str">
        <x:v>1079</x:v>
      </x:c>
      <x:c r="B1083" s="9" t="str">
        <x:v>565</x:v>
      </x:c>
      <x:c r="C1083" s="11" t="n">
        <x:v>46061</x:v>
      </x:c>
      <x:c r="D1083" s="13" t="n">
        <x:v>1098.89</x:v>
      </x:c>
    </x:row>
    <x:row r="1084">
      <x:c r="A1084" s="9" t="str">
        <x:v>1080</x:v>
      </x:c>
      <x:c r="B1084" s="9" t="str">
        <x:v>565</x:v>
      </x:c>
      <x:c r="C1084" s="11" t="n">
        <x:v>46194</x:v>
      </x:c>
      <x:c r="D1084" s="13" t="n">
        <x:v>48.64</x:v>
      </x:c>
    </x:row>
    <x:row r="1085">
      <x:c r="A1085" s="9" t="str">
        <x:v>1081</x:v>
      </x:c>
      <x:c r="B1085" s="9" t="str">
        <x:v>565</x:v>
      </x:c>
      <x:c r="C1085" s="11" t="n">
        <x:v>46080</x:v>
      </x:c>
      <x:c r="D1085" s="13" t="n">
        <x:v>408.05</x:v>
      </x:c>
    </x:row>
    <x:row r="1086">
      <x:c r="A1086" s="9" t="str">
        <x:v>1082</x:v>
      </x:c>
      <x:c r="B1086" s="9" t="str">
        <x:v>565</x:v>
      </x:c>
      <x:c r="C1086" s="11" t="n">
        <x:v>46105</x:v>
      </x:c>
      <x:c r="D1086" s="13" t="n">
        <x:v>1035.3</x:v>
      </x:c>
    </x:row>
    <x:row r="1087">
      <x:c r="A1087" s="9" t="str">
        <x:v>1083</x:v>
      </x:c>
      <x:c r="B1087" s="9" t="str">
        <x:v>567</x:v>
      </x:c>
      <x:c r="C1087" s="11" t="n">
        <x:v>46142</x:v>
      </x:c>
      <x:c r="D1087" s="13" t="n">
        <x:v>577.82</x:v>
      </x:c>
    </x:row>
    <x:row r="1088">
      <x:c r="A1088" s="9" t="str">
        <x:v>1084</x:v>
      </x:c>
      <x:c r="B1088" s="9" t="str">
        <x:v>567</x:v>
      </x:c>
      <x:c r="C1088" s="11" t="n">
        <x:v>46174</x:v>
      </x:c>
      <x:c r="D1088" s="13" t="n">
        <x:v>1184.72</x:v>
      </x:c>
    </x:row>
    <x:row r="1089">
      <x:c r="A1089" s="9" t="str">
        <x:v>1085</x:v>
      </x:c>
      <x:c r="B1089" s="9" t="str">
        <x:v>567</x:v>
      </x:c>
      <x:c r="C1089" s="11" t="n">
        <x:v>46128</x:v>
      </x:c>
      <x:c r="D1089" s="13" t="n">
        <x:v>140.5</x:v>
      </x:c>
    </x:row>
    <x:row r="1090">
      <x:c r="A1090" s="9" t="str">
        <x:v>1086</x:v>
      </x:c>
      <x:c r="B1090" s="9" t="str">
        <x:v>567</x:v>
      </x:c>
      <x:c r="C1090" s="11" t="n">
        <x:v>46141</x:v>
      </x:c>
      <x:c r="D1090" s="13" t="n">
        <x:v>1226.95</x:v>
      </x:c>
    </x:row>
    <x:row r="1091">
      <x:c r="A1091" s="9" t="str">
        <x:v>1087</x:v>
      </x:c>
      <x:c r="B1091" s="9" t="str">
        <x:v>568</x:v>
      </x:c>
      <x:c r="C1091" s="11" t="n">
        <x:v>46181</x:v>
      </x:c>
      <x:c r="D1091" s="13" t="n">
        <x:v>1251.29</x:v>
      </x:c>
    </x:row>
    <x:row r="1092">
      <x:c r="A1092" s="9" t="str">
        <x:v>1088</x:v>
      </x:c>
      <x:c r="B1092" s="9" t="str">
        <x:v>568</x:v>
      </x:c>
      <x:c r="C1092" s="11" t="n">
        <x:v>46151</x:v>
      </x:c>
      <x:c r="D1092" s="13" t="n">
        <x:v>619.3</x:v>
      </x:c>
    </x:row>
    <x:row r="1093">
      <x:c r="A1093" s="9" t="str">
        <x:v>1089</x:v>
      </x:c>
      <x:c r="B1093" s="9" t="str">
        <x:v>568</x:v>
      </x:c>
      <x:c r="C1093" s="11" t="n">
        <x:v>46164</x:v>
      </x:c>
      <x:c r="D1093" s="13" t="n">
        <x:v>1303.46</x:v>
      </x:c>
    </x:row>
    <x:row r="1094">
      <x:c r="A1094" s="9" t="str">
        <x:v>1090</x:v>
      </x:c>
      <x:c r="B1094" s="9" t="str">
        <x:v>568</x:v>
      </x:c>
      <x:c r="C1094" s="11" t="n">
        <x:v>46167</x:v>
      </x:c>
      <x:c r="D1094" s="13" t="n">
        <x:v>1089.66</x:v>
      </x:c>
    </x:row>
    <x:row r="1095">
      <x:c r="A1095" s="9" t="str">
        <x:v>1091</x:v>
      </x:c>
      <x:c r="B1095" s="9" t="str">
        <x:v>569</x:v>
      </x:c>
      <x:c r="C1095" s="11" t="n">
        <x:v>46177</x:v>
      </x:c>
      <x:c r="D1095" s="13" t="n">
        <x:v>1697.35</x:v>
      </x:c>
    </x:row>
    <x:row r="1096">
      <x:c r="A1096" s="9" t="str">
        <x:v>1092</x:v>
      </x:c>
      <x:c r="B1096" s="9" t="str">
        <x:v>570</x:v>
      </x:c>
      <x:c r="C1096" s="11" t="n">
        <x:v>46116</x:v>
      </x:c>
      <x:c r="D1096" s="13" t="n">
        <x:v>1308.09</x:v>
      </x:c>
    </x:row>
    <x:row r="1097">
      <x:c r="A1097" s="9" t="str">
        <x:v>1093</x:v>
      </x:c>
      <x:c r="B1097" s="9" t="str">
        <x:v>570</x:v>
      </x:c>
      <x:c r="C1097" s="11" t="n">
        <x:v>46197</x:v>
      </x:c>
      <x:c r="D1097" s="13" t="n">
        <x:v>1651.45</x:v>
      </x:c>
    </x:row>
    <x:row r="1098">
      <x:c r="A1098" s="9" t="str">
        <x:v>1094</x:v>
      </x:c>
      <x:c r="B1098" s="9" t="str">
        <x:v>570</x:v>
      </x:c>
      <x:c r="C1098" s="11" t="n">
        <x:v>46180</x:v>
      </x:c>
      <x:c r="D1098" s="13" t="n">
        <x:v>376.64</x:v>
      </x:c>
    </x:row>
    <x:row r="1099">
      <x:c r="A1099" s="9" t="str">
        <x:v>1095</x:v>
      </x:c>
      <x:c r="B1099" s="9" t="str">
        <x:v>571</x:v>
      </x:c>
      <x:c r="C1099" s="11" t="n">
        <x:v>46160</x:v>
      </x:c>
      <x:c r="D1099" s="13" t="n">
        <x:v>1114.24</x:v>
      </x:c>
    </x:row>
    <x:row r="1100">
      <x:c r="A1100" s="9" t="str">
        <x:v>1096</x:v>
      </x:c>
      <x:c r="B1100" s="9" t="str">
        <x:v>571</x:v>
      </x:c>
      <x:c r="C1100" s="11" t="n">
        <x:v>46139</x:v>
      </x:c>
      <x:c r="D1100" s="13" t="n">
        <x:v>719.56</x:v>
      </x:c>
    </x:row>
    <x:row r="1101">
      <x:c r="A1101" s="9" t="str">
        <x:v>1097</x:v>
      </x:c>
      <x:c r="B1101" s="9" t="str">
        <x:v>571</x:v>
      </x:c>
      <x:c r="C1101" s="11" t="n">
        <x:v>46178</x:v>
      </x:c>
      <x:c r="D1101" s="13" t="n">
        <x:v>2759.25</x:v>
      </x:c>
    </x:row>
    <x:row r="1102">
      <x:c r="A1102" s="9" t="str">
        <x:v>1098</x:v>
      </x:c>
      <x:c r="B1102" s="9" t="str">
        <x:v>573</x:v>
      </x:c>
      <x:c r="C1102" s="11" t="n">
        <x:v>46114</x:v>
      </x:c>
      <x:c r="D1102" s="13" t="n">
        <x:v>443.89</x:v>
      </x:c>
    </x:row>
    <x:row r="1103">
      <x:c r="A1103" s="9" t="str">
        <x:v>1099</x:v>
      </x:c>
      <x:c r="B1103" s="9" t="str">
        <x:v>573</x:v>
      </x:c>
      <x:c r="C1103" s="11" t="n">
        <x:v>46181</x:v>
      </x:c>
      <x:c r="D1103" s="13" t="n">
        <x:v>90.09</x:v>
      </x:c>
    </x:row>
    <x:row r="1104">
      <x:c r="A1104" s="9" t="str">
        <x:v>1100</x:v>
      </x:c>
      <x:c r="B1104" s="9" t="str">
        <x:v>573</x:v>
      </x:c>
      <x:c r="C1104" s="11" t="n">
        <x:v>46178</x:v>
      </x:c>
      <x:c r="D1104" s="13" t="n">
        <x:v>624.32</x:v>
      </x:c>
    </x:row>
    <x:row r="1105">
      <x:c r="A1105" s="9" t="str">
        <x:v>1101</x:v>
      </x:c>
      <x:c r="B1105" s="9" t="str">
        <x:v>574</x:v>
      </x:c>
      <x:c r="C1105" s="11" t="n">
        <x:v>46150</x:v>
      </x:c>
      <x:c r="D1105" s="13" t="n">
        <x:v>105.75</x:v>
      </x:c>
    </x:row>
    <x:row r="1106">
      <x:c r="A1106" s="9" t="str">
        <x:v>1102</x:v>
      </x:c>
      <x:c r="B1106" s="9" t="str">
        <x:v>574</x:v>
      </x:c>
      <x:c r="C1106" s="11" t="n">
        <x:v>46190</x:v>
      </x:c>
      <x:c r="D1106" s="13" t="n">
        <x:v>70.17</x:v>
      </x:c>
    </x:row>
    <x:row r="1107">
      <x:c r="A1107" s="9" t="str">
        <x:v>1103</x:v>
      </x:c>
      <x:c r="B1107" s="9" t="str">
        <x:v>574</x:v>
      </x:c>
      <x:c r="C1107" s="11" t="n">
        <x:v>46162</x:v>
      </x:c>
      <x:c r="D1107" s="13" t="n">
        <x:v>135.66</x:v>
      </x:c>
    </x:row>
    <x:row r="1108">
      <x:c r="A1108" s="9" t="str">
        <x:v>1104</x:v>
      </x:c>
      <x:c r="B1108" s="9" t="str">
        <x:v>575</x:v>
      </x:c>
      <x:c r="C1108" s="11" t="n">
        <x:v>46132</x:v>
      </x:c>
      <x:c r="D1108" s="13" t="n">
        <x:v>2017.74</x:v>
      </x:c>
    </x:row>
    <x:row r="1109">
      <x:c r="A1109" s="9" t="str">
        <x:v>1105</x:v>
      </x:c>
      <x:c r="B1109" s="9" t="str">
        <x:v>575</x:v>
      </x:c>
      <x:c r="C1109" s="11" t="n">
        <x:v>46193</x:v>
      </x:c>
      <x:c r="D1109" s="13" t="n">
        <x:v>1463.52</x:v>
      </x:c>
    </x:row>
    <x:row r="1110">
      <x:c r="A1110" s="9" t="str">
        <x:v>1106</x:v>
      </x:c>
      <x:c r="B1110" s="9" t="str">
        <x:v>575</x:v>
      </x:c>
      <x:c r="C1110" s="11" t="n">
        <x:v>46116</x:v>
      </x:c>
      <x:c r="D1110" s="13" t="n">
        <x:v>2492.01</x:v>
      </x:c>
    </x:row>
    <x:row r="1111">
      <x:c r="A1111" s="9" t="str">
        <x:v>1107</x:v>
      </x:c>
      <x:c r="B1111" s="9" t="str">
        <x:v>575</x:v>
      </x:c>
      <x:c r="C1111" s="11" t="n">
        <x:v>46090</x:v>
      </x:c>
      <x:c r="D1111" s="13" t="n">
        <x:v>891.32</x:v>
      </x:c>
    </x:row>
    <x:row r="1112">
      <x:c r="A1112" s="9" t="str">
        <x:v>1108</x:v>
      </x:c>
      <x:c r="B1112" s="9" t="str">
        <x:v>576</x:v>
      </x:c>
      <x:c r="C1112" s="11" t="n">
        <x:v>46131</x:v>
      </x:c>
      <x:c r="D1112" s="13" t="n">
        <x:v>1162.61</x:v>
      </x:c>
    </x:row>
    <x:row r="1113">
      <x:c r="A1113" s="9" t="str">
        <x:v>1109</x:v>
      </x:c>
      <x:c r="B1113" s="9" t="str">
        <x:v>576</x:v>
      </x:c>
      <x:c r="C1113" s="11" t="n">
        <x:v>46143</x:v>
      </x:c>
      <x:c r="D1113" s="13" t="n">
        <x:v>1752.84</x:v>
      </x:c>
    </x:row>
    <x:row r="1114">
      <x:c r="A1114" s="9" t="str">
        <x:v>1110</x:v>
      </x:c>
      <x:c r="B1114" s="9" t="str">
        <x:v>576</x:v>
      </x:c>
      <x:c r="C1114" s="11" t="n">
        <x:v>46100</x:v>
      </x:c>
      <x:c r="D1114" s="13" t="n">
        <x:v>867.44</x:v>
      </x:c>
    </x:row>
    <x:row r="1115">
      <x:c r="A1115" s="9" t="str">
        <x:v>1111</x:v>
      </x:c>
      <x:c r="B1115" s="9" t="str">
        <x:v>576</x:v>
      </x:c>
      <x:c r="C1115" s="11" t="n">
        <x:v>46053</x:v>
      </x:c>
      <x:c r="D1115" s="13" t="n">
        <x:v>1321.7</x:v>
      </x:c>
    </x:row>
    <x:row r="1116">
      <x:c r="A1116" s="9" t="str">
        <x:v>1112</x:v>
      </x:c>
      <x:c r="B1116" s="9" t="str">
        <x:v>577</x:v>
      </x:c>
      <x:c r="C1116" s="11" t="n">
        <x:v>46166</x:v>
      </x:c>
      <x:c r="D1116" s="13" t="n">
        <x:v>570.72</x:v>
      </x:c>
    </x:row>
    <x:row r="1117">
      <x:c r="A1117" s="9" t="str">
        <x:v>1113</x:v>
      </x:c>
      <x:c r="B1117" s="9" t="str">
        <x:v>577</x:v>
      </x:c>
      <x:c r="C1117" s="11" t="n">
        <x:v>46173</x:v>
      </x:c>
      <x:c r="D1117" s="13" t="n">
        <x:v>1671.38</x:v>
      </x:c>
    </x:row>
    <x:row r="1118">
      <x:c r="A1118" s="9" t="str">
        <x:v>1114</x:v>
      </x:c>
      <x:c r="B1118" s="9" t="str">
        <x:v>577</x:v>
      </x:c>
      <x:c r="C1118" s="11" t="n">
        <x:v>46183</x:v>
      </x:c>
      <x:c r="D1118" s="13" t="n">
        <x:v>384.56</x:v>
      </x:c>
    </x:row>
    <x:row r="1119">
      <x:c r="A1119" s="9" t="str">
        <x:v>1115</x:v>
      </x:c>
      <x:c r="B1119" s="9" t="str">
        <x:v>577</x:v>
      </x:c>
      <x:c r="C1119" s="11" t="n">
        <x:v>46184</x:v>
      </x:c>
      <x:c r="D1119" s="13" t="n">
        <x:v>1479.28</x:v>
      </x:c>
    </x:row>
    <x:row r="1120">
      <x:c r="A1120" s="9" t="str">
        <x:v>1116</x:v>
      </x:c>
      <x:c r="B1120" s="9" t="str">
        <x:v>579</x:v>
      </x:c>
      <x:c r="C1120" s="11" t="n">
        <x:v>46199</x:v>
      </x:c>
      <x:c r="D1120" s="13" t="n">
        <x:v>97.89</x:v>
      </x:c>
    </x:row>
    <x:row r="1121">
      <x:c r="A1121" s="9" t="str">
        <x:v>1117</x:v>
      </x:c>
      <x:c r="B1121" s="9" t="str">
        <x:v>579</x:v>
      </x:c>
      <x:c r="C1121" s="11" t="n">
        <x:v>46199</x:v>
      </x:c>
      <x:c r="D1121" s="13" t="n">
        <x:v>730.76</x:v>
      </x:c>
    </x:row>
    <x:row r="1122">
      <x:c r="A1122" s="9" t="str">
        <x:v>1118</x:v>
      </x:c>
      <x:c r="B1122" s="9" t="str">
        <x:v>580</x:v>
      </x:c>
      <x:c r="C1122" s="11" t="n">
        <x:v>46171</x:v>
      </x:c>
      <x:c r="D1122" s="13" t="n">
        <x:v>596.06</x:v>
      </x:c>
    </x:row>
    <x:row r="1123">
      <x:c r="A1123" s="9" t="str">
        <x:v>1119</x:v>
      </x:c>
      <x:c r="B1123" s="9" t="str">
        <x:v>580</x:v>
      </x:c>
      <x:c r="C1123" s="11" t="n">
        <x:v>46173</x:v>
      </x:c>
      <x:c r="D1123" s="13" t="n">
        <x:v>472.44</x:v>
      </x:c>
    </x:row>
    <x:row r="1124">
      <x:c r="A1124" s="9" t="str">
        <x:v>1120</x:v>
      </x:c>
      <x:c r="B1124" s="9" t="str">
        <x:v>580</x:v>
      </x:c>
      <x:c r="C1124" s="11" t="n">
        <x:v>46170</x:v>
      </x:c>
      <x:c r="D1124" s="13" t="n">
        <x:v>580.76</x:v>
      </x:c>
    </x:row>
    <x:row r="1125">
      <x:c r="A1125" s="9" t="str">
        <x:v>1121</x:v>
      </x:c>
      <x:c r="B1125" s="9" t="str">
        <x:v>580</x:v>
      </x:c>
      <x:c r="C1125" s="11" t="n">
        <x:v>46188</x:v>
      </x:c>
      <x:c r="D1125" s="13" t="n">
        <x:v>64.27</x:v>
      </x:c>
    </x:row>
    <x:row r="1126">
      <x:c r="A1126" s="9" t="str">
        <x:v>1122</x:v>
      </x:c>
      <x:c r="B1126" s="9" t="str">
        <x:v>581</x:v>
      </x:c>
      <x:c r="C1126" s="11" t="n">
        <x:v>46042</x:v>
      </x:c>
      <x:c r="D1126" s="13" t="n">
        <x:v>1619.57</x:v>
      </x:c>
    </x:row>
    <x:row r="1127">
      <x:c r="A1127" s="9" t="str">
        <x:v>1123</x:v>
      </x:c>
      <x:c r="B1127" s="9" t="str">
        <x:v>582</x:v>
      </x:c>
      <x:c r="C1127" s="11" t="n">
        <x:v>46082</x:v>
      </x:c>
      <x:c r="D1127" s="13" t="n">
        <x:v>65.02</x:v>
      </x:c>
    </x:row>
    <x:row r="1128">
      <x:c r="A1128" s="9" t="str">
        <x:v>1124</x:v>
      </x:c>
      <x:c r="B1128" s="9" t="str">
        <x:v>582</x:v>
      </x:c>
      <x:c r="C1128" s="11" t="n">
        <x:v>46049</x:v>
      </x:c>
      <x:c r="D1128" s="13" t="n">
        <x:v>300.58</x:v>
      </x:c>
    </x:row>
    <x:row r="1129">
      <x:c r="A1129" s="9" t="str">
        <x:v>1125</x:v>
      </x:c>
      <x:c r="B1129" s="9" t="str">
        <x:v>583</x:v>
      </x:c>
      <x:c r="C1129" s="11" t="n">
        <x:v>46171</x:v>
      </x:c>
      <x:c r="D1129" s="13" t="n">
        <x:v>1835.28</x:v>
      </x:c>
    </x:row>
    <x:row r="1130">
      <x:c r="A1130" s="9" t="str">
        <x:v>1126</x:v>
      </x:c>
      <x:c r="B1130" s="9" t="str">
        <x:v>583</x:v>
      </x:c>
      <x:c r="C1130" s="11" t="n">
        <x:v>46195</x:v>
      </x:c>
      <x:c r="D1130" s="13" t="n">
        <x:v>1494.23</x:v>
      </x:c>
    </x:row>
    <x:row r="1131">
      <x:c r="A1131" s="9" t="str">
        <x:v>1127</x:v>
      </x:c>
      <x:c r="B1131" s="9" t="str">
        <x:v>583</x:v>
      </x:c>
      <x:c r="C1131" s="11" t="n">
        <x:v>46173</x:v>
      </x:c>
      <x:c r="D1131" s="13" t="n">
        <x:v>241.11</x:v>
      </x:c>
    </x:row>
    <x:row r="1132">
      <x:c r="A1132" s="9" t="str">
        <x:v>1128</x:v>
      </x:c>
      <x:c r="B1132" s="9" t="str">
        <x:v>583</x:v>
      </x:c>
      <x:c r="C1132" s="11" t="n">
        <x:v>46177</x:v>
      </x:c>
      <x:c r="D1132" s="13" t="n">
        <x:v>247.4</x:v>
      </x:c>
    </x:row>
    <x:row r="1133">
      <x:c r="A1133" s="9" t="str">
        <x:v>1129</x:v>
      </x:c>
      <x:c r="B1133" s="9" t="str">
        <x:v>584</x:v>
      </x:c>
      <x:c r="C1133" s="11" t="n">
        <x:v>46048</x:v>
      </x:c>
      <x:c r="D1133" s="13" t="n">
        <x:v>613.38</x:v>
      </x:c>
    </x:row>
    <x:row r="1134">
      <x:c r="A1134" s="9" t="str">
        <x:v>1130</x:v>
      </x:c>
      <x:c r="B1134" s="9" t="str">
        <x:v>584</x:v>
      </x:c>
      <x:c r="C1134" s="11" t="n">
        <x:v>46106</x:v>
      </x:c>
      <x:c r="D1134" s="13" t="n">
        <x:v>333.39</x:v>
      </x:c>
    </x:row>
    <x:row r="1135">
      <x:c r="A1135" s="9" t="str">
        <x:v>1131</x:v>
      </x:c>
      <x:c r="B1135" s="9" t="str">
        <x:v>585</x:v>
      </x:c>
      <x:c r="C1135" s="11" t="n">
        <x:v>46179</x:v>
      </x:c>
      <x:c r="D1135" s="13" t="n">
        <x:v>725.12</x:v>
      </x:c>
    </x:row>
    <x:row r="1136">
      <x:c r="A1136" s="9" t="str">
        <x:v>1132</x:v>
      </x:c>
      <x:c r="B1136" s="9" t="str">
        <x:v>586</x:v>
      </x:c>
      <x:c r="C1136" s="11" t="n">
        <x:v>46201</x:v>
      </x:c>
      <x:c r="D1136" s="13" t="n">
        <x:v>1188.79</x:v>
      </x:c>
    </x:row>
    <x:row r="1137">
      <x:c r="A1137" s="9" t="str">
        <x:v>1133</x:v>
      </x:c>
      <x:c r="B1137" s="9" t="str">
        <x:v>586</x:v>
      </x:c>
      <x:c r="C1137" s="11" t="n">
        <x:v>46191</x:v>
      </x:c>
      <x:c r="D1137" s="13" t="n">
        <x:v>1664.19</x:v>
      </x:c>
    </x:row>
    <x:row r="1138">
      <x:c r="A1138" s="9" t="str">
        <x:v>1134</x:v>
      </x:c>
      <x:c r="B1138" s="9" t="str">
        <x:v>586</x:v>
      </x:c>
      <x:c r="C1138" s="11" t="n">
        <x:v>46150</x:v>
      </x:c>
      <x:c r="D1138" s="13" t="n">
        <x:v>456.88</x:v>
      </x:c>
    </x:row>
    <x:row r="1139">
      <x:c r="A1139" s="9" t="str">
        <x:v>1135</x:v>
      </x:c>
      <x:c r="B1139" s="9" t="str">
        <x:v>586</x:v>
      </x:c>
      <x:c r="C1139" s="11" t="n">
        <x:v>46172</x:v>
      </x:c>
      <x:c r="D1139" s="13" t="n">
        <x:v>1544.12</x:v>
      </x:c>
    </x:row>
    <x:row r="1140">
      <x:c r="A1140" s="9" t="str">
        <x:v>1136</x:v>
      </x:c>
      <x:c r="B1140" s="9" t="str">
        <x:v>587</x:v>
      </x:c>
      <x:c r="C1140" s="11" t="n">
        <x:v>46122</x:v>
      </x:c>
      <x:c r="D1140" s="13" t="n">
        <x:v>1023.72</x:v>
      </x:c>
    </x:row>
    <x:row r="1141">
      <x:c r="A1141" s="9" t="str">
        <x:v>1137</x:v>
      </x:c>
      <x:c r="B1141" s="9" t="str">
        <x:v>587</x:v>
      </x:c>
      <x:c r="C1141" s="11" t="n">
        <x:v>46123</x:v>
      </x:c>
      <x:c r="D1141" s="13" t="n">
        <x:v>348.44</x:v>
      </x:c>
    </x:row>
    <x:row r="1142">
      <x:c r="A1142" s="9" t="str">
        <x:v>1138</x:v>
      </x:c>
      <x:c r="B1142" s="9" t="str">
        <x:v>587</x:v>
      </x:c>
      <x:c r="C1142" s="11" t="n">
        <x:v>46129</x:v>
      </x:c>
      <x:c r="D1142" s="13" t="n">
        <x:v>623</x:v>
      </x:c>
    </x:row>
    <x:row r="1143">
      <x:c r="A1143" s="9" t="str">
        <x:v>1139</x:v>
      </x:c>
      <x:c r="B1143" s="9" t="str">
        <x:v>587</x:v>
      </x:c>
      <x:c r="C1143" s="11" t="n">
        <x:v>46110</x:v>
      </x:c>
      <x:c r="D1143" s="13" t="n">
        <x:v>51.21</x:v>
      </x:c>
    </x:row>
    <x:row r="1144">
      <x:c r="A1144" s="9" t="str">
        <x:v>1140</x:v>
      </x:c>
      <x:c r="B1144" s="9" t="str">
        <x:v>588</x:v>
      </x:c>
      <x:c r="C1144" s="11" t="n">
        <x:v>46154</x:v>
      </x:c>
      <x:c r="D1144" s="13" t="n">
        <x:v>812.88</x:v>
      </x:c>
    </x:row>
    <x:row r="1145">
      <x:c r="A1145" s="9" t="str">
        <x:v>1141</x:v>
      </x:c>
      <x:c r="B1145" s="9" t="str">
        <x:v>588</x:v>
      </x:c>
      <x:c r="C1145" s="11" t="n">
        <x:v>46178</x:v>
      </x:c>
      <x:c r="D1145" s="13" t="n">
        <x:v>1233.79</x:v>
      </x:c>
    </x:row>
    <x:row r="1146">
      <x:c r="A1146" s="9" t="str">
        <x:v>1142</x:v>
      </x:c>
      <x:c r="B1146" s="9" t="str">
        <x:v>589</x:v>
      </x:c>
      <x:c r="C1146" s="11" t="n">
        <x:v>46193</x:v>
      </x:c>
      <x:c r="D1146" s="13" t="n">
        <x:v>672.1</x:v>
      </x:c>
    </x:row>
    <x:row r="1147">
      <x:c r="A1147" s="9" t="str">
        <x:v>1143</x:v>
      </x:c>
      <x:c r="B1147" s="9" t="str">
        <x:v>590</x:v>
      </x:c>
      <x:c r="C1147" s="11" t="n">
        <x:v>46189</x:v>
      </x:c>
      <x:c r="D1147" s="13" t="n">
        <x:v>446.16</x:v>
      </x:c>
    </x:row>
    <x:row r="1148">
      <x:c r="A1148" s="9" t="str">
        <x:v>1144</x:v>
      </x:c>
      <x:c r="B1148" s="9" t="str">
        <x:v>590</x:v>
      </x:c>
      <x:c r="C1148" s="11" t="n">
        <x:v>46203</x:v>
      </x:c>
      <x:c r="D1148" s="13" t="n">
        <x:v>1574.6</x:v>
      </x:c>
    </x:row>
    <x:row r="1149">
      <x:c r="A1149" s="9" t="str">
        <x:v>1145</x:v>
      </x:c>
      <x:c r="B1149" s="9" t="str">
        <x:v>590</x:v>
      </x:c>
      <x:c r="C1149" s="11" t="n">
        <x:v>46178</x:v>
      </x:c>
      <x:c r="D1149" s="13" t="n">
        <x:v>530.25</x:v>
      </x:c>
    </x:row>
    <x:row r="1150">
      <x:c r="A1150" s="9" t="str">
        <x:v>1146</x:v>
      </x:c>
      <x:c r="B1150" s="9" t="str">
        <x:v>590</x:v>
      </x:c>
      <x:c r="C1150" s="11" t="n">
        <x:v>46191</x:v>
      </x:c>
      <x:c r="D1150" s="13" t="n">
        <x:v>350.5</x:v>
      </x:c>
    </x:row>
    <x:row r="1151">
      <x:c r="A1151" s="9" t="str">
        <x:v>1147</x:v>
      </x:c>
      <x:c r="B1151" s="9" t="str">
        <x:v>591</x:v>
      </x:c>
      <x:c r="C1151" s="11" t="n">
        <x:v>46163</x:v>
      </x:c>
      <x:c r="D1151" s="13" t="n">
        <x:v>443.43</x:v>
      </x:c>
    </x:row>
    <x:row r="1152">
      <x:c r="A1152" s="9" t="str">
        <x:v>1148</x:v>
      </x:c>
      <x:c r="B1152" s="9" t="str">
        <x:v>591</x:v>
      </x:c>
      <x:c r="C1152" s="11" t="n">
        <x:v>46083</x:v>
      </x:c>
      <x:c r="D1152" s="13" t="n">
        <x:v>12.21</x:v>
      </x:c>
    </x:row>
    <x:row r="1153">
      <x:c r="A1153" s="9" t="str">
        <x:v>1149</x:v>
      </x:c>
      <x:c r="B1153" s="9" t="str">
        <x:v>591</x:v>
      </x:c>
      <x:c r="C1153" s="11" t="n">
        <x:v>46090</x:v>
      </x:c>
      <x:c r="D1153" s="13" t="n">
        <x:v>535.35</x:v>
      </x:c>
    </x:row>
    <x:row r="1154">
      <x:c r="A1154" s="9" t="str">
        <x:v>1150</x:v>
      </x:c>
      <x:c r="B1154" s="9" t="str">
        <x:v>592</x:v>
      </x:c>
      <x:c r="C1154" s="11" t="n">
        <x:v>46195</x:v>
      </x:c>
      <x:c r="D1154" s="13" t="n">
        <x:v>271.91</x:v>
      </x:c>
    </x:row>
    <x:row r="1155">
      <x:c r="A1155" s="9" t="str">
        <x:v>1151</x:v>
      </x:c>
      <x:c r="B1155" s="9" t="str">
        <x:v>592</x:v>
      </x:c>
      <x:c r="C1155" s="11" t="n">
        <x:v>46190</x:v>
      </x:c>
      <x:c r="D1155" s="13" t="n">
        <x:v>1451.34</x:v>
      </x:c>
    </x:row>
    <x:row r="1156">
      <x:c r="A1156" s="9" t="str">
        <x:v>1152</x:v>
      </x:c>
      <x:c r="B1156" s="9" t="str">
        <x:v>593</x:v>
      </x:c>
      <x:c r="C1156" s="11" t="n">
        <x:v>46180</x:v>
      </x:c>
      <x:c r="D1156" s="13" t="n">
        <x:v>566.52</x:v>
      </x:c>
    </x:row>
    <x:row r="1157">
      <x:c r="A1157" s="9" t="str">
        <x:v>1153</x:v>
      </x:c>
      <x:c r="B1157" s="9" t="str">
        <x:v>593</x:v>
      </x:c>
      <x:c r="C1157" s="11" t="n">
        <x:v>46172</x:v>
      </x:c>
      <x:c r="D1157" s="13" t="n">
        <x:v>526.22</x:v>
      </x:c>
    </x:row>
    <x:row r="1158">
      <x:c r="A1158" s="9" t="str">
        <x:v>1154</x:v>
      </x:c>
      <x:c r="B1158" s="9" t="str">
        <x:v>594</x:v>
      </x:c>
      <x:c r="C1158" s="11" t="n">
        <x:v>46121</x:v>
      </x:c>
      <x:c r="D1158" s="13" t="n">
        <x:v>493.82</x:v>
      </x:c>
    </x:row>
    <x:row r="1159">
      <x:c r="A1159" s="9" t="str">
        <x:v>1155</x:v>
      </x:c>
      <x:c r="B1159" s="9" t="str">
        <x:v>595</x:v>
      </x:c>
      <x:c r="C1159" s="11" t="n">
        <x:v>46131</x:v>
      </x:c>
      <x:c r="D1159" s="13" t="n">
        <x:v>481.53</x:v>
      </x:c>
    </x:row>
    <x:row r="1160">
      <x:c r="A1160" s="9" t="str">
        <x:v>1156</x:v>
      </x:c>
      <x:c r="B1160" s="9" t="str">
        <x:v>595</x:v>
      </x:c>
      <x:c r="C1160" s="11" t="n">
        <x:v>46113</x:v>
      </x:c>
      <x:c r="D1160" s="13" t="n">
        <x:v>405.17</x:v>
      </x:c>
    </x:row>
    <x:row r="1161">
      <x:c r="A1161" s="9" t="str">
        <x:v>1157</x:v>
      </x:c>
      <x:c r="B1161" s="9" t="str">
        <x:v>595</x:v>
      </x:c>
      <x:c r="C1161" s="11" t="n">
        <x:v>46126</x:v>
      </x:c>
      <x:c r="D1161" s="13" t="n">
        <x:v>825.5</x:v>
      </x:c>
    </x:row>
    <x:row r="1162">
      <x:c r="A1162" s="9" t="str">
        <x:v>1158</x:v>
      </x:c>
      <x:c r="B1162" s="9" t="str">
        <x:v>596</x:v>
      </x:c>
      <x:c r="C1162" s="11" t="n">
        <x:v>46175</x:v>
      </x:c>
      <x:c r="D1162" s="13" t="n">
        <x:v>93.06</x:v>
      </x:c>
    </x:row>
    <x:row r="1163">
      <x:c r="A1163" s="9" t="str">
        <x:v>1159</x:v>
      </x:c>
      <x:c r="B1163" s="9" t="str">
        <x:v>596</x:v>
      </x:c>
      <x:c r="C1163" s="11" t="n">
        <x:v>46184</x:v>
      </x:c>
      <x:c r="D1163" s="13" t="n">
        <x:v>122.44</x:v>
      </x:c>
    </x:row>
    <x:row r="1164">
      <x:c r="A1164" s="9" t="str">
        <x:v>1160</x:v>
      </x:c>
      <x:c r="B1164" s="9" t="str">
        <x:v>596</x:v>
      </x:c>
      <x:c r="C1164" s="11" t="n">
        <x:v>46188</x:v>
      </x:c>
      <x:c r="D1164" s="13" t="n">
        <x:v>11.89</x:v>
      </x:c>
    </x:row>
    <x:row r="1165">
      <x:c r="A1165" s="9" t="str">
        <x:v>1161</x:v>
      </x:c>
      <x:c r="B1165" s="9" t="str">
        <x:v>596</x:v>
      </x:c>
      <x:c r="C1165" s="11" t="n">
        <x:v>46177</x:v>
      </x:c>
      <x:c r="D1165" s="13" t="n">
        <x:v>117.12</x:v>
      </x:c>
    </x:row>
    <x:row r="1166">
      <x:c r="A1166" s="9" t="str">
        <x:v>1162</x:v>
      </x:c>
      <x:c r="B1166" s="9" t="str">
        <x:v>598</x:v>
      </x:c>
      <x:c r="C1166" s="11" t="n">
        <x:v>46161</x:v>
      </x:c>
      <x:c r="D1166" s="13" t="n">
        <x:v>114.44</x:v>
      </x:c>
    </x:row>
    <x:row r="1167">
      <x:c r="A1167" s="9" t="str">
        <x:v>1163</x:v>
      </x:c>
      <x:c r="B1167" s="9" t="str">
        <x:v>598</x:v>
      </x:c>
      <x:c r="C1167" s="11" t="n">
        <x:v>46185</x:v>
      </x:c>
      <x:c r="D1167" s="13" t="n">
        <x:v>2285.13</x:v>
      </x:c>
    </x:row>
    <x:row r="1168">
      <x:c r="A1168" s="9" t="str">
        <x:v>1164</x:v>
      </x:c>
      <x:c r="B1168" s="9" t="str">
        <x:v>600</x:v>
      </x:c>
      <x:c r="C1168" s="11" t="n">
        <x:v>46200</x:v>
      </x:c>
      <x:c r="D1168" s="13" t="n">
        <x:v>649.89</x:v>
      </x:c>
    </x:row>
    <x:row r="1169">
      <x:c r="A1169" s="9" t="str">
        <x:v>1165</x:v>
      </x:c>
      <x:c r="B1169" s="9" t="str">
        <x:v>600</x:v>
      </x:c>
      <x:c r="C1169" s="11" t="n">
        <x:v>46191</x:v>
      </x:c>
      <x:c r="D1169" s="13" t="n">
        <x:v>1501.77</x:v>
      </x:c>
    </x:row>
    <x:row r="1170">
      <x:c r="A1170" s="9" t="str">
        <x:v>1166</x:v>
      </x:c>
      <x:c r="B1170" s="9" t="str">
        <x:v>600</x:v>
      </x:c>
      <x:c r="C1170" s="11" t="n">
        <x:v>46142</x:v>
      </x:c>
      <x:c r="D1170" s="13" t="n">
        <x:v>116.53</x:v>
      </x:c>
    </x:row>
    <x:row r="1171">
      <x:c r="A1171" s="9" t="str">
        <x:v>1167</x:v>
      </x:c>
      <x:c r="B1171" s="9" t="str">
        <x:v>600</x:v>
      </x:c>
      <x:c r="C1171" s="11" t="n">
        <x:v>46180</x:v>
      </x:c>
      <x:c r="D1171" s="13" t="n">
        <x:v>866.13</x:v>
      </x:c>
    </x:row>
    <x:row r="1172">
      <x:c r="A1172" s="9" t="str">
        <x:v>1168</x:v>
      </x:c>
      <x:c r="B1172" s="9" t="str">
        <x:v>601</x:v>
      </x:c>
      <x:c r="C1172" s="11" t="n">
        <x:v>46162</x:v>
      </x:c>
      <x:c r="D1172" s="13" t="n">
        <x:v>286.9</x:v>
      </x:c>
    </x:row>
    <x:row r="1173">
      <x:c r="A1173" s="9" t="str">
        <x:v>1169</x:v>
      </x:c>
      <x:c r="B1173" s="9" t="str">
        <x:v>601</x:v>
      </x:c>
      <x:c r="C1173" s="11" t="n">
        <x:v>46107</x:v>
      </x:c>
      <x:c r="D1173" s="13" t="n">
        <x:v>24.66</x:v>
      </x:c>
    </x:row>
    <x:row r="1174">
      <x:c r="A1174" s="9" t="str">
        <x:v>1170</x:v>
      </x:c>
      <x:c r="B1174" s="9" t="str">
        <x:v>602</x:v>
      </x:c>
      <x:c r="C1174" s="11" t="n">
        <x:v>46174</x:v>
      </x:c>
      <x:c r="D1174" s="13" t="n">
        <x:v>1249.72</x:v>
      </x:c>
    </x:row>
    <x:row r="1175">
      <x:c r="A1175" s="9" t="str">
        <x:v>1171</x:v>
      </x:c>
      <x:c r="B1175" s="9" t="str">
        <x:v>602</x:v>
      </x:c>
      <x:c r="C1175" s="11" t="n">
        <x:v>46178</x:v>
      </x:c>
      <x:c r="D1175" s="13" t="n">
        <x:v>1155.42</x:v>
      </x:c>
    </x:row>
    <x:row r="1176">
      <x:c r="A1176" s="9" t="str">
        <x:v>1172</x:v>
      </x:c>
      <x:c r="B1176" s="9" t="str">
        <x:v>602</x:v>
      </x:c>
      <x:c r="C1176" s="11" t="n">
        <x:v>46178</x:v>
      </x:c>
      <x:c r="D1176" s="13" t="n">
        <x:v>496.83</x:v>
      </x:c>
    </x:row>
    <x:row r="1177">
      <x:c r="A1177" s="9" t="str">
        <x:v>1173</x:v>
      </x:c>
      <x:c r="B1177" s="9" t="str">
        <x:v>602</x:v>
      </x:c>
      <x:c r="C1177" s="11" t="n">
        <x:v>46203</x:v>
      </x:c>
      <x:c r="D1177" s="13" t="n">
        <x:v>1324.81</x:v>
      </x:c>
    </x:row>
    <x:row r="1178">
      <x:c r="A1178" s="9" t="str">
        <x:v>1174</x:v>
      </x:c>
      <x:c r="B1178" s="9" t="str">
        <x:v>604</x:v>
      </x:c>
      <x:c r="C1178" s="11" t="n">
        <x:v>46164</x:v>
      </x:c>
      <x:c r="D1178" s="13" t="n">
        <x:v>1093.93</x:v>
      </x:c>
    </x:row>
    <x:row r="1179">
      <x:c r="A1179" s="9" t="str">
        <x:v>1175</x:v>
      </x:c>
      <x:c r="B1179" s="9" t="str">
        <x:v>604</x:v>
      </x:c>
      <x:c r="C1179" s="11" t="n">
        <x:v>46159</x:v>
      </x:c>
      <x:c r="D1179" s="13" t="n">
        <x:v>780.59</x:v>
      </x:c>
    </x:row>
    <x:row r="1180">
      <x:c r="A1180" s="9" t="str">
        <x:v>1176</x:v>
      </x:c>
      <x:c r="B1180" s="9" t="str">
        <x:v>604</x:v>
      </x:c>
      <x:c r="C1180" s="11" t="n">
        <x:v>46182</x:v>
      </x:c>
      <x:c r="D1180" s="13" t="n">
        <x:v>842</x:v>
      </x:c>
    </x:row>
    <x:row r="1181">
      <x:c r="A1181" s="9" t="str">
        <x:v>1177</x:v>
      </x:c>
      <x:c r="B1181" s="9" t="str">
        <x:v>604</x:v>
      </x:c>
      <x:c r="C1181" s="11" t="n">
        <x:v>46175</x:v>
      </x:c>
      <x:c r="D1181" s="13" t="n">
        <x:v>440.9</x:v>
      </x:c>
    </x:row>
    <x:row r="1182">
      <x:c r="A1182" s="9" t="str">
        <x:v>1178</x:v>
      </x:c>
      <x:c r="B1182" s="9" t="str">
        <x:v>605</x:v>
      </x:c>
      <x:c r="C1182" s="11" t="n">
        <x:v>46202</x:v>
      </x:c>
      <x:c r="D1182" s="13" t="n">
        <x:v>216.06</x:v>
      </x:c>
    </x:row>
    <x:row r="1183">
      <x:c r="A1183" s="9" t="str">
        <x:v>1179</x:v>
      </x:c>
      <x:c r="B1183" s="9" t="str">
        <x:v>605</x:v>
      </x:c>
      <x:c r="C1183" s="11" t="n">
        <x:v>46193</x:v>
      </x:c>
      <x:c r="D1183" s="13" t="n">
        <x:v>1285.43</x:v>
      </x:c>
    </x:row>
    <x:row r="1184">
      <x:c r="A1184" s="9" t="str">
        <x:v>1180</x:v>
      </x:c>
      <x:c r="B1184" s="9" t="str">
        <x:v>605</x:v>
      </x:c>
      <x:c r="C1184" s="11" t="n">
        <x:v>46132</x:v>
      </x:c>
      <x:c r="D1184" s="13" t="n">
        <x:v>915.18</x:v>
      </x:c>
    </x:row>
    <x:row r="1185">
      <x:c r="A1185" s="9" t="str">
        <x:v>1181</x:v>
      </x:c>
      <x:c r="B1185" s="9" t="str">
        <x:v>605</x:v>
      </x:c>
      <x:c r="C1185" s="11" t="n">
        <x:v>46189</x:v>
      </x:c>
      <x:c r="D1185" s="13" t="n">
        <x:v>554.08</x:v>
      </x:c>
    </x:row>
    <x:row r="1186">
      <x:c r="A1186" s="9" t="str">
        <x:v>1182</x:v>
      </x:c>
      <x:c r="B1186" s="9" t="str">
        <x:v>606</x:v>
      </x:c>
      <x:c r="C1186" s="11" t="n">
        <x:v>46181</x:v>
      </x:c>
      <x:c r="D1186" s="13" t="n">
        <x:v>625.3</x:v>
      </x:c>
    </x:row>
    <x:row r="1187">
      <x:c r="A1187" s="9" t="str">
        <x:v>1183</x:v>
      </x:c>
      <x:c r="B1187" s="9" t="str">
        <x:v>606</x:v>
      </x:c>
      <x:c r="C1187" s="11" t="n">
        <x:v>46149</x:v>
      </x:c>
      <x:c r="D1187" s="13" t="n">
        <x:v>1419.26</x:v>
      </x:c>
    </x:row>
    <x:row r="1188">
      <x:c r="A1188" s="9" t="str">
        <x:v>1184</x:v>
      </x:c>
      <x:c r="B1188" s="9" t="str">
        <x:v>606</x:v>
      </x:c>
      <x:c r="C1188" s="11" t="n">
        <x:v>46148</x:v>
      </x:c>
      <x:c r="D1188" s="13" t="n">
        <x:v>1002.02</x:v>
      </x:c>
    </x:row>
    <x:row r="1189">
      <x:c r="A1189" s="9" t="str">
        <x:v>1185</x:v>
      </x:c>
      <x:c r="B1189" s="9" t="str">
        <x:v>607</x:v>
      </x:c>
      <x:c r="C1189" s="11" t="n">
        <x:v>46191</x:v>
      </x:c>
      <x:c r="D1189" s="13" t="n">
        <x:v>2113</x:v>
      </x:c>
    </x:row>
    <x:row r="1190">
      <x:c r="A1190" s="9" t="str">
        <x:v>1186</x:v>
      </x:c>
      <x:c r="B1190" s="9" t="str">
        <x:v>608</x:v>
      </x:c>
      <x:c r="C1190" s="11" t="n">
        <x:v>46148</x:v>
      </x:c>
      <x:c r="D1190" s="13" t="n">
        <x:v>832.96</x:v>
      </x:c>
    </x:row>
    <x:row r="1191">
      <x:c r="A1191" s="9" t="str">
        <x:v>1187</x:v>
      </x:c>
      <x:c r="B1191" s="9" t="str">
        <x:v>608</x:v>
      </x:c>
      <x:c r="C1191" s="11" t="n">
        <x:v>46162</x:v>
      </x:c>
      <x:c r="D1191" s="13" t="n">
        <x:v>2107.43</x:v>
      </x:c>
    </x:row>
    <x:row r="1192">
      <x:c r="A1192" s="9" t="str">
        <x:v>1188</x:v>
      </x:c>
      <x:c r="B1192" s="9" t="str">
        <x:v>608</x:v>
      </x:c>
      <x:c r="C1192" s="11" t="n">
        <x:v>46194</x:v>
      </x:c>
      <x:c r="D1192" s="13" t="n">
        <x:v>27.49</x:v>
      </x:c>
    </x:row>
    <x:row r="1193">
      <x:c r="A1193" s="9" t="str">
        <x:v>1189</x:v>
      </x:c>
      <x:c r="B1193" s="9" t="str">
        <x:v>609</x:v>
      </x:c>
      <x:c r="C1193" s="11" t="n">
        <x:v>46100</x:v>
      </x:c>
      <x:c r="D1193" s="13" t="n">
        <x:v>1320.4</x:v>
      </x:c>
    </x:row>
    <x:row r="1194">
      <x:c r="A1194" s="9" t="str">
        <x:v>1190</x:v>
      </x:c>
      <x:c r="B1194" s="9" t="str">
        <x:v>609</x:v>
      </x:c>
      <x:c r="C1194" s="11" t="n">
        <x:v>46081</x:v>
      </x:c>
      <x:c r="D1194" s="13" t="n">
        <x:v>2484.18</x:v>
      </x:c>
    </x:row>
    <x:row r="1195">
      <x:c r="A1195" s="9" t="str">
        <x:v>1191</x:v>
      </x:c>
      <x:c r="B1195" s="9" t="str">
        <x:v>611</x:v>
      </x:c>
      <x:c r="C1195" s="11" t="n">
        <x:v>46180</x:v>
      </x:c>
      <x:c r="D1195" s="13" t="n">
        <x:v>170.47</x:v>
      </x:c>
    </x:row>
    <x:row r="1196">
      <x:c r="A1196" s="9" t="str">
        <x:v>1192</x:v>
      </x:c>
      <x:c r="B1196" s="9" t="str">
        <x:v>612</x:v>
      </x:c>
      <x:c r="C1196" s="11" t="n">
        <x:v>46195</x:v>
      </x:c>
      <x:c r="D1196" s="13" t="n">
        <x:v>1373.3</x:v>
      </x:c>
    </x:row>
    <x:row r="1197">
      <x:c r="A1197" s="9" t="str">
        <x:v>1193</x:v>
      </x:c>
      <x:c r="B1197" s="9" t="str">
        <x:v>612</x:v>
      </x:c>
      <x:c r="C1197" s="11" t="n">
        <x:v>46195</x:v>
      </x:c>
      <x:c r="D1197" s="13" t="n">
        <x:v>644.29</x:v>
      </x:c>
    </x:row>
    <x:row r="1198">
      <x:c r="A1198" s="9" t="str">
        <x:v>1194</x:v>
      </x:c>
      <x:c r="B1198" s="9" t="str">
        <x:v>612</x:v>
      </x:c>
      <x:c r="C1198" s="11" t="n">
        <x:v>46183</x:v>
      </x:c>
      <x:c r="D1198" s="13" t="n">
        <x:v>134.36</x:v>
      </x:c>
    </x:row>
    <x:row r="1199">
      <x:c r="A1199" s="9" t="str">
        <x:v>1195</x:v>
      </x:c>
      <x:c r="B1199" s="9" t="str">
        <x:v>613</x:v>
      </x:c>
      <x:c r="C1199" s="11" t="n">
        <x:v>46192</x:v>
      </x:c>
      <x:c r="D1199" s="13" t="n">
        <x:v>440.26</x:v>
      </x:c>
    </x:row>
    <x:row r="1200">
      <x:c r="A1200" s="9" t="str">
        <x:v>1196</x:v>
      </x:c>
      <x:c r="B1200" s="9" t="str">
        <x:v>613</x:v>
      </x:c>
      <x:c r="C1200" s="11" t="n">
        <x:v>46186</x:v>
      </x:c>
      <x:c r="D1200" s="13" t="n">
        <x:v>103.02</x:v>
      </x:c>
    </x:row>
    <x:row r="1201">
      <x:c r="A1201" s="9" t="str">
        <x:v>1197</x:v>
      </x:c>
      <x:c r="B1201" s="9" t="str">
        <x:v>613</x:v>
      </x:c>
      <x:c r="C1201" s="11" t="n">
        <x:v>46201</x:v>
      </x:c>
      <x:c r="D1201" s="13" t="n">
        <x:v>531.37</x:v>
      </x:c>
    </x:row>
    <x:row r="1202">
      <x:c r="A1202" s="9" t="str">
        <x:v>1198</x:v>
      </x:c>
      <x:c r="B1202" s="9" t="str">
        <x:v>614</x:v>
      </x:c>
      <x:c r="C1202" s="11" t="n">
        <x:v>46122</x:v>
      </x:c>
      <x:c r="D1202" s="13" t="n">
        <x:v>1843.85</x:v>
      </x:c>
    </x:row>
    <x:row r="1203">
      <x:c r="A1203" s="9" t="str">
        <x:v>1199</x:v>
      </x:c>
      <x:c r="B1203" s="9" t="str">
        <x:v>614</x:v>
      </x:c>
      <x:c r="C1203" s="11" t="n">
        <x:v>46124</x:v>
      </x:c>
      <x:c r="D1203" s="13" t="n">
        <x:v>1499.58</x:v>
      </x:c>
    </x:row>
    <x:row r="1204">
      <x:c r="A1204" s="9" t="str">
        <x:v>1200</x:v>
      </x:c>
      <x:c r="B1204" s="9" t="str">
        <x:v>614</x:v>
      </x:c>
      <x:c r="C1204" s="11" t="n">
        <x:v>46093</x:v>
      </x:c>
      <x:c r="D1204" s="13" t="n">
        <x:v>1568.25</x:v>
      </x:c>
    </x:row>
    <x:row r="1205">
      <x:c r="A1205" s="9" t="str">
        <x:v>1201</x:v>
      </x:c>
      <x:c r="B1205" s="9" t="str">
        <x:v>615</x:v>
      </x:c>
      <x:c r="C1205" s="11" t="n">
        <x:v>46198</x:v>
      </x:c>
      <x:c r="D1205" s="13" t="n">
        <x:v>2986.06</x:v>
      </x:c>
    </x:row>
    <x:row r="1206">
      <x:c r="A1206" s="9" t="str">
        <x:v>1202</x:v>
      </x:c>
      <x:c r="B1206" s="9" t="str">
        <x:v>616</x:v>
      </x:c>
      <x:c r="C1206" s="11" t="n">
        <x:v>46162</x:v>
      </x:c>
      <x:c r="D1206" s="13" t="n">
        <x:v>204.46</x:v>
      </x:c>
    </x:row>
    <x:row r="1207">
      <x:c r="A1207" s="9" t="str">
        <x:v>1203</x:v>
      </x:c>
      <x:c r="B1207" s="9" t="str">
        <x:v>616</x:v>
      </x:c>
      <x:c r="C1207" s="11" t="n">
        <x:v>46121</x:v>
      </x:c>
      <x:c r="D1207" s="13" t="n">
        <x:v>25.81</x:v>
      </x:c>
    </x:row>
    <x:row r="1208">
      <x:c r="A1208" s="9" t="str">
        <x:v>1204</x:v>
      </x:c>
      <x:c r="B1208" s="9" t="str">
        <x:v>617</x:v>
      </x:c>
      <x:c r="C1208" s="11" t="n">
        <x:v>46161</x:v>
      </x:c>
      <x:c r="D1208" s="13" t="n">
        <x:v>1709.68</x:v>
      </x:c>
    </x:row>
    <x:row r="1209">
      <x:c r="A1209" s="9" t="str">
        <x:v>1205</x:v>
      </x:c>
      <x:c r="B1209" s="9" t="str">
        <x:v>617</x:v>
      </x:c>
      <x:c r="C1209" s="11" t="n">
        <x:v>46181</x:v>
      </x:c>
      <x:c r="D1209" s="13" t="n">
        <x:v>1386.87</x:v>
      </x:c>
    </x:row>
    <x:row r="1210">
      <x:c r="A1210" s="9" t="str">
        <x:v>1206</x:v>
      </x:c>
      <x:c r="B1210" s="9" t="str">
        <x:v>617</x:v>
      </x:c>
      <x:c r="C1210" s="11" t="n">
        <x:v>46181</x:v>
      </x:c>
      <x:c r="D1210" s="13" t="n">
        <x:v>469.76</x:v>
      </x:c>
    </x:row>
    <x:row r="1211">
      <x:c r="A1211" s="9" t="str">
        <x:v>1207</x:v>
      </x:c>
      <x:c r="B1211" s="9" t="str">
        <x:v>618</x:v>
      </x:c>
      <x:c r="C1211" s="11" t="n">
        <x:v>46139</x:v>
      </x:c>
      <x:c r="D1211" s="13" t="n">
        <x:v>1207.32</x:v>
      </x:c>
    </x:row>
    <x:row r="1212">
      <x:c r="A1212" s="9" t="str">
        <x:v>1208</x:v>
      </x:c>
      <x:c r="B1212" s="9" t="str">
        <x:v>618</x:v>
      </x:c>
      <x:c r="C1212" s="11" t="n">
        <x:v>46199</x:v>
      </x:c>
      <x:c r="D1212" s="13" t="n">
        <x:v>1916.1</x:v>
      </x:c>
    </x:row>
    <x:row r="1213">
      <x:c r="A1213" s="9" t="str">
        <x:v>1209</x:v>
      </x:c>
      <x:c r="B1213" s="9" t="str">
        <x:v>618</x:v>
      </x:c>
      <x:c r="C1213" s="11" t="n">
        <x:v>46165</x:v>
      </x:c>
      <x:c r="D1213" s="13" t="n">
        <x:v>182.17</x:v>
      </x:c>
    </x:row>
    <x:row r="1214">
      <x:c r="A1214" s="9" t="str">
        <x:v>1210</x:v>
      </x:c>
      <x:c r="B1214" s="9" t="str">
        <x:v>618</x:v>
      </x:c>
      <x:c r="C1214" s="11" t="n">
        <x:v>46156</x:v>
      </x:c>
      <x:c r="D1214" s="13" t="n">
        <x:v>528.2</x:v>
      </x:c>
    </x:row>
    <x:row r="1215">
      <x:c r="A1215" s="9" t="str">
        <x:v>1211</x:v>
      </x:c>
      <x:c r="B1215" s="9" t="str">
        <x:v>619</x:v>
      </x:c>
      <x:c r="C1215" s="11" t="n">
        <x:v>46116</x:v>
      </x:c>
      <x:c r="D1215" s="13" t="n">
        <x:v>1456.97</x:v>
      </x:c>
    </x:row>
    <x:row r="1216">
      <x:c r="A1216" s="9" t="str">
        <x:v>1212</x:v>
      </x:c>
      <x:c r="B1216" s="9" t="str">
        <x:v>619</x:v>
      </x:c>
      <x:c r="C1216" s="11" t="n">
        <x:v>46176</x:v>
      </x:c>
      <x:c r="D1216" s="13" t="n">
        <x:v>249.49</x:v>
      </x:c>
    </x:row>
    <x:row r="1217">
      <x:c r="A1217" s="9" t="str">
        <x:v>1213</x:v>
      </x:c>
      <x:c r="B1217" s="9" t="str">
        <x:v>620</x:v>
      </x:c>
      <x:c r="C1217" s="11" t="n">
        <x:v>46156</x:v>
      </x:c>
      <x:c r="D1217" s="13" t="n">
        <x:v>635.58</x:v>
      </x:c>
    </x:row>
    <x:row r="1218">
      <x:c r="A1218" s="9" t="str">
        <x:v>1214</x:v>
      </x:c>
      <x:c r="B1218" s="9" t="str">
        <x:v>620</x:v>
      </x:c>
      <x:c r="C1218" s="11" t="n">
        <x:v>46175</x:v>
      </x:c>
      <x:c r="D1218" s="13" t="n">
        <x:v>138.8</x:v>
      </x:c>
    </x:row>
    <x:row r="1219">
      <x:c r="A1219" s="9" t="str">
        <x:v>1215</x:v>
      </x:c>
      <x:c r="B1219" s="9" t="str">
        <x:v>620</x:v>
      </x:c>
      <x:c r="C1219" s="11" t="n">
        <x:v>46051</x:v>
      </x:c>
      <x:c r="D1219" s="13" t="n">
        <x:v>1034.21</x:v>
      </x:c>
    </x:row>
    <x:row r="1220">
      <x:c r="A1220" s="9" t="str">
        <x:v>1216</x:v>
      </x:c>
      <x:c r="B1220" s="9" t="str">
        <x:v>620</x:v>
      </x:c>
      <x:c r="C1220" s="11" t="n">
        <x:v>46200</x:v>
      </x:c>
      <x:c r="D1220" s="13" t="n">
        <x:v>427.93</x:v>
      </x:c>
    </x:row>
    <x:row r="1221">
      <x:c r="A1221" s="9" t="str">
        <x:v>1217</x:v>
      </x:c>
      <x:c r="B1221" s="9" t="str">
        <x:v>621</x:v>
      </x:c>
      <x:c r="C1221" s="11" t="n">
        <x:v>46163</x:v>
      </x:c>
      <x:c r="D1221" s="13" t="n">
        <x:v>396.25</x:v>
      </x:c>
    </x:row>
    <x:row r="1222">
      <x:c r="A1222" s="9" t="str">
        <x:v>1218</x:v>
      </x:c>
      <x:c r="B1222" s="9" t="str">
        <x:v>621</x:v>
      </x:c>
      <x:c r="C1222" s="11" t="n">
        <x:v>46198</x:v>
      </x:c>
      <x:c r="D1222" s="13" t="n">
        <x:v>402.09</x:v>
      </x:c>
    </x:row>
    <x:row r="1223">
      <x:c r="A1223" s="9" t="str">
        <x:v>1219</x:v>
      </x:c>
      <x:c r="B1223" s="9" t="str">
        <x:v>621</x:v>
      </x:c>
      <x:c r="C1223" s="11" t="n">
        <x:v>46137</x:v>
      </x:c>
      <x:c r="D1223" s="13" t="n">
        <x:v>206.58</x:v>
      </x:c>
    </x:row>
    <x:row r="1224">
      <x:c r="A1224" s="9" t="str">
        <x:v>1220</x:v>
      </x:c>
      <x:c r="B1224" s="9" t="str">
        <x:v>621</x:v>
      </x:c>
      <x:c r="C1224" s="11" t="n">
        <x:v>46191</x:v>
      </x:c>
      <x:c r="D1224" s="13" t="n">
        <x:v>391.23</x:v>
      </x:c>
    </x:row>
    <x:row r="1225">
      <x:c r="A1225" s="9" t="str">
        <x:v>1221</x:v>
      </x:c>
      <x:c r="B1225" s="9" t="str">
        <x:v>622</x:v>
      </x:c>
      <x:c r="C1225" s="11" t="n">
        <x:v>46141</x:v>
      </x:c>
      <x:c r="D1225" s="13" t="n">
        <x:v>1586.41</x:v>
      </x:c>
    </x:row>
    <x:row r="1226">
      <x:c r="A1226" s="9" t="str">
        <x:v>1222</x:v>
      </x:c>
      <x:c r="B1226" s="9" t="str">
        <x:v>622</x:v>
      </x:c>
      <x:c r="C1226" s="11" t="n">
        <x:v>46117</x:v>
      </x:c>
      <x:c r="D1226" s="13" t="n">
        <x:v>1301.33</x:v>
      </x:c>
    </x:row>
    <x:row r="1227">
      <x:c r="A1227" s="9" t="str">
        <x:v>1223</x:v>
      </x:c>
      <x:c r="B1227" s="9" t="str">
        <x:v>622</x:v>
      </x:c>
      <x:c r="C1227" s="11" t="n">
        <x:v>46201</x:v>
      </x:c>
      <x:c r="D1227" s="13" t="n">
        <x:v>871.5</x:v>
      </x:c>
    </x:row>
    <x:row r="1228">
      <x:c r="A1228" s="9" t="str">
        <x:v>1224</x:v>
      </x:c>
      <x:c r="B1228" s="9" t="str">
        <x:v>624</x:v>
      </x:c>
      <x:c r="C1228" s="11" t="n">
        <x:v>46127</x:v>
      </x:c>
      <x:c r="D1228" s="13" t="n">
        <x:v>1607.83</x:v>
      </x:c>
    </x:row>
    <x:row r="1229">
      <x:c r="A1229" s="9" t="str">
        <x:v>1225</x:v>
      </x:c>
      <x:c r="B1229" s="9" t="str">
        <x:v>624</x:v>
      </x:c>
      <x:c r="C1229" s="11" t="n">
        <x:v>46187</x:v>
      </x:c>
      <x:c r="D1229" s="13" t="n">
        <x:v>1506.86</x:v>
      </x:c>
    </x:row>
    <x:row r="1230">
      <x:c r="A1230" s="9" t="str">
        <x:v>1226</x:v>
      </x:c>
      <x:c r="B1230" s="9" t="str">
        <x:v>625</x:v>
      </x:c>
      <x:c r="C1230" s="11" t="n">
        <x:v>46172</x:v>
      </x:c>
      <x:c r="D1230" s="13" t="n">
        <x:v>630.98</x:v>
      </x:c>
    </x:row>
    <x:row r="1231">
      <x:c r="A1231" s="9" t="str">
        <x:v>1227</x:v>
      </x:c>
      <x:c r="B1231" s="9" t="str">
        <x:v>625</x:v>
      </x:c>
      <x:c r="C1231" s="11" t="n">
        <x:v>46124</x:v>
      </x:c>
      <x:c r="D1231" s="13" t="n">
        <x:v>363.08</x:v>
      </x:c>
    </x:row>
    <x:row r="1232">
      <x:c r="A1232" s="9" t="str">
        <x:v>1228</x:v>
      </x:c>
      <x:c r="B1232" s="9" t="str">
        <x:v>625</x:v>
      </x:c>
      <x:c r="C1232" s="11" t="n">
        <x:v>46186</x:v>
      </x:c>
      <x:c r="D1232" s="13" t="n">
        <x:v>354.52</x:v>
      </x:c>
    </x:row>
    <x:row r="1233">
      <x:c r="A1233" s="9" t="str">
        <x:v>1229</x:v>
      </x:c>
      <x:c r="B1233" s="9" t="str">
        <x:v>625</x:v>
      </x:c>
      <x:c r="C1233" s="11" t="n">
        <x:v>46160</x:v>
      </x:c>
      <x:c r="D1233" s="13" t="n">
        <x:v>407.95</x:v>
      </x:c>
    </x:row>
    <x:row r="1234">
      <x:c r="A1234" s="9" t="str">
        <x:v>1230</x:v>
      </x:c>
      <x:c r="B1234" s="9" t="str">
        <x:v>626</x:v>
      </x:c>
      <x:c r="C1234" s="11" t="n">
        <x:v>46156</x:v>
      </x:c>
      <x:c r="D1234" s="13" t="n">
        <x:v>2009.35</x:v>
      </x:c>
    </x:row>
    <x:row r="1235">
      <x:c r="A1235" s="9" t="str">
        <x:v>1231</x:v>
      </x:c>
      <x:c r="B1235" s="9" t="str">
        <x:v>626</x:v>
      </x:c>
      <x:c r="C1235" s="11" t="n">
        <x:v>46200</x:v>
      </x:c>
      <x:c r="D1235" s="13" t="n">
        <x:v>24.87</x:v>
      </x:c>
    </x:row>
    <x:row r="1236">
      <x:c r="A1236" s="9" t="str">
        <x:v>1232</x:v>
      </x:c>
      <x:c r="B1236" s="9" t="str">
        <x:v>626</x:v>
      </x:c>
      <x:c r="C1236" s="11" t="n">
        <x:v>46110</x:v>
      </x:c>
      <x:c r="D1236" s="13" t="n">
        <x:v>1069.27</x:v>
      </x:c>
    </x:row>
    <x:row r="1237">
      <x:c r="A1237" s="9" t="str">
        <x:v>1233</x:v>
      </x:c>
      <x:c r="B1237" s="9" t="str">
        <x:v>627</x:v>
      </x:c>
      <x:c r="C1237" s="11" t="n">
        <x:v>46080</x:v>
      </x:c>
      <x:c r="D1237" s="13" t="n">
        <x:v>1477.93</x:v>
      </x:c>
    </x:row>
    <x:row r="1238">
      <x:c r="A1238" s="9" t="str">
        <x:v>1234</x:v>
      </x:c>
      <x:c r="B1238" s="9" t="str">
        <x:v>627</x:v>
      </x:c>
      <x:c r="C1238" s="11" t="n">
        <x:v>46187</x:v>
      </x:c>
      <x:c r="D1238" s="13" t="n">
        <x:v>573.55</x:v>
      </x:c>
    </x:row>
    <x:row r="1239">
      <x:c r="A1239" s="9" t="str">
        <x:v>1235</x:v>
      </x:c>
      <x:c r="B1239" s="9" t="str">
        <x:v>627</x:v>
      </x:c>
      <x:c r="C1239" s="11" t="n">
        <x:v>46141</x:v>
      </x:c>
      <x:c r="D1239" s="13" t="n">
        <x:v>1328.43</x:v>
      </x:c>
    </x:row>
    <x:row r="1240">
      <x:c r="A1240" s="9" t="str">
        <x:v>1236</x:v>
      </x:c>
      <x:c r="B1240" s="9" t="str">
        <x:v>627</x:v>
      </x:c>
      <x:c r="C1240" s="11" t="n">
        <x:v>46056</x:v>
      </x:c>
      <x:c r="D1240" s="13" t="n">
        <x:v>728.17</x:v>
      </x:c>
    </x:row>
    <x:row r="1241">
      <x:c r="A1241" s="9" t="str">
        <x:v>1237</x:v>
      </x:c>
      <x:c r="B1241" s="9" t="str">
        <x:v>628</x:v>
      </x:c>
      <x:c r="C1241" s="11" t="n">
        <x:v>46162</x:v>
      </x:c>
      <x:c r="D1241" s="13" t="n">
        <x:v>664.95</x:v>
      </x:c>
    </x:row>
    <x:row r="1242">
      <x:c r="A1242" s="9" t="str">
        <x:v>1238</x:v>
      </x:c>
      <x:c r="B1242" s="9" t="str">
        <x:v>628</x:v>
      </x:c>
      <x:c r="C1242" s="11" t="n">
        <x:v>46182</x:v>
      </x:c>
      <x:c r="D1242" s="13" t="n">
        <x:v>1600.44</x:v>
      </x:c>
    </x:row>
    <x:row r="1243">
      <x:c r="A1243" s="9" t="str">
        <x:v>1239</x:v>
      </x:c>
      <x:c r="B1243" s="9" t="str">
        <x:v>628</x:v>
      </x:c>
      <x:c r="C1243" s="11" t="n">
        <x:v>46148</x:v>
      </x:c>
      <x:c r="D1243" s="13" t="n">
        <x:v>993.08</x:v>
      </x:c>
    </x:row>
    <x:row r="1244">
      <x:c r="A1244" s="9" t="str">
        <x:v>1240</x:v>
      </x:c>
      <x:c r="B1244" s="9" t="str">
        <x:v>629</x:v>
      </x:c>
      <x:c r="C1244" s="11" t="n">
        <x:v>46153</x:v>
      </x:c>
      <x:c r="D1244" s="13" t="n">
        <x:v>592.12</x:v>
      </x:c>
    </x:row>
    <x:row r="1245">
      <x:c r="A1245" s="9" t="str">
        <x:v>1241</x:v>
      </x:c>
      <x:c r="B1245" s="9" t="str">
        <x:v>629</x:v>
      </x:c>
      <x:c r="C1245" s="11" t="n">
        <x:v>46188</x:v>
      </x:c>
      <x:c r="D1245" s="13" t="n">
        <x:v>714.03</x:v>
      </x:c>
    </x:row>
    <x:row r="1246">
      <x:c r="A1246" s="9" t="str">
        <x:v>1242</x:v>
      </x:c>
      <x:c r="B1246" s="9" t="str">
        <x:v>630</x:v>
      </x:c>
      <x:c r="C1246" s="11" t="n">
        <x:v>46139</x:v>
      </x:c>
      <x:c r="D1246" s="13" t="n">
        <x:v>746.41</x:v>
      </x:c>
    </x:row>
    <x:row r="1247">
      <x:c r="A1247" s="9" t="str">
        <x:v>1243</x:v>
      </x:c>
      <x:c r="B1247" s="9" t="str">
        <x:v>631</x:v>
      </x:c>
      <x:c r="C1247" s="11" t="n">
        <x:v>46144</x:v>
      </x:c>
      <x:c r="D1247" s="13" t="n">
        <x:v>1237.68</x:v>
      </x:c>
    </x:row>
    <x:row r="1248">
      <x:c r="A1248" s="9" t="str">
        <x:v>1244</x:v>
      </x:c>
      <x:c r="B1248" s="9" t="str">
        <x:v>631</x:v>
      </x:c>
      <x:c r="C1248" s="11" t="n">
        <x:v>46161</x:v>
      </x:c>
      <x:c r="D1248" s="13" t="n">
        <x:v>1217.96</x:v>
      </x:c>
    </x:row>
    <x:row r="1249">
      <x:c r="A1249" s="9" t="str">
        <x:v>1245</x:v>
      </x:c>
      <x:c r="B1249" s="9" t="str">
        <x:v>632</x:v>
      </x:c>
      <x:c r="C1249" s="11" t="n">
        <x:v>46043</x:v>
      </x:c>
      <x:c r="D1249" s="13" t="n">
        <x:v>2302.22</x:v>
      </x:c>
    </x:row>
    <x:row r="1250">
      <x:c r="A1250" s="9" t="str">
        <x:v>1246</x:v>
      </x:c>
      <x:c r="B1250" s="9" t="str">
        <x:v>632</x:v>
      </x:c>
      <x:c r="C1250" s="11" t="n">
        <x:v>46118</x:v>
      </x:c>
      <x:c r="D1250" s="13" t="n">
        <x:v>2653.52</x:v>
      </x:c>
    </x:row>
    <x:row r="1251">
      <x:c r="A1251" s="9" t="str">
        <x:v>1247</x:v>
      </x:c>
      <x:c r="B1251" s="9" t="str">
        <x:v>632</x:v>
      </x:c>
      <x:c r="C1251" s="11" t="n">
        <x:v>46107</x:v>
      </x:c>
      <x:c r="D1251" s="13" t="n">
        <x:v>2589.54</x:v>
      </x:c>
    </x:row>
    <x:row r="1252">
      <x:c r="A1252" s="9" t="str">
        <x:v>1248</x:v>
      </x:c>
      <x:c r="B1252" s="9" t="str">
        <x:v>632</x:v>
      </x:c>
      <x:c r="C1252" s="11" t="n">
        <x:v>46197</x:v>
      </x:c>
      <x:c r="D1252" s="13" t="n">
        <x:v>1759.82</x:v>
      </x:c>
    </x:row>
    <x:row r="1253">
      <x:c r="A1253" s="9" t="str">
        <x:v>1249</x:v>
      </x:c>
      <x:c r="B1253" s="9" t="str">
        <x:v>633</x:v>
      </x:c>
      <x:c r="C1253" s="11" t="n">
        <x:v>46170</x:v>
      </x:c>
      <x:c r="D1253" s="13" t="n">
        <x:v>564.63</x:v>
      </x:c>
    </x:row>
    <x:row r="1254">
      <x:c r="A1254" s="9" t="str">
        <x:v>1250</x:v>
      </x:c>
      <x:c r="B1254" s="9" t="str">
        <x:v>633</x:v>
      </x:c>
      <x:c r="C1254" s="11" t="n">
        <x:v>46194</x:v>
      </x:c>
      <x:c r="D1254" s="13" t="n">
        <x:v>386.12</x:v>
      </x:c>
    </x:row>
    <x:row r="1255">
      <x:c r="A1255" s="9" t="str">
        <x:v>1251</x:v>
      </x:c>
      <x:c r="B1255" s="9" t="str">
        <x:v>633</x:v>
      </x:c>
      <x:c r="C1255" s="11" t="n">
        <x:v>46177</x:v>
      </x:c>
      <x:c r="D1255" s="13" t="n">
        <x:v>409.79</x:v>
      </x:c>
    </x:row>
    <x:row r="1256">
      <x:c r="A1256" s="9" t="str">
        <x:v>1252</x:v>
      </x:c>
      <x:c r="B1256" s="9" t="str">
        <x:v>633</x:v>
      </x:c>
      <x:c r="C1256" s="11" t="n">
        <x:v>46169</x:v>
      </x:c>
      <x:c r="D1256" s="13" t="n">
        <x:v>502.77</x:v>
      </x:c>
    </x:row>
    <x:row r="1257">
      <x:c r="A1257" s="9" t="str">
        <x:v>1253</x:v>
      </x:c>
      <x:c r="B1257" s="9" t="str">
        <x:v>634</x:v>
      </x:c>
      <x:c r="C1257" s="11" t="n">
        <x:v>46126</x:v>
      </x:c>
      <x:c r="D1257" s="13" t="n">
        <x:v>108.94</x:v>
      </x:c>
    </x:row>
    <x:row r="1258">
      <x:c r="A1258" s="9" t="str">
        <x:v>1254</x:v>
      </x:c>
      <x:c r="B1258" s="9" t="str">
        <x:v>634</x:v>
      </x:c>
      <x:c r="C1258" s="11" t="n">
        <x:v>46166</x:v>
      </x:c>
      <x:c r="D1258" s="13" t="n">
        <x:v>1190.85</x:v>
      </x:c>
    </x:row>
    <x:row r="1259">
      <x:c r="A1259" s="9" t="str">
        <x:v>1255</x:v>
      </x:c>
      <x:c r="B1259" s="9" t="str">
        <x:v>634</x:v>
      </x:c>
      <x:c r="C1259" s="11" t="n">
        <x:v>46144</x:v>
      </x:c>
      <x:c r="D1259" s="13" t="n">
        <x:v>2249.49</x:v>
      </x:c>
    </x:row>
    <x:row r="1260">
      <x:c r="A1260" s="9" t="str">
        <x:v>1256</x:v>
      </x:c>
      <x:c r="B1260" s="9" t="str">
        <x:v>635</x:v>
      </x:c>
      <x:c r="C1260" s="11" t="n">
        <x:v>46176</x:v>
      </x:c>
      <x:c r="D1260" s="13" t="n">
        <x:v>248</x:v>
      </x:c>
    </x:row>
    <x:row r="1261">
      <x:c r="A1261" s="9" t="str">
        <x:v>1257</x:v>
      </x:c>
      <x:c r="B1261" s="9" t="str">
        <x:v>635</x:v>
      </x:c>
      <x:c r="C1261" s="11" t="n">
        <x:v>46172</x:v>
      </x:c>
      <x:c r="D1261" s="13" t="n">
        <x:v>44.37</x:v>
      </x:c>
    </x:row>
    <x:row r="1262">
      <x:c r="A1262" s="9" t="str">
        <x:v>1258</x:v>
      </x:c>
      <x:c r="B1262" s="9" t="str">
        <x:v>636</x:v>
      </x:c>
      <x:c r="C1262" s="11" t="n">
        <x:v>46110</x:v>
      </x:c>
      <x:c r="D1262" s="13" t="n">
        <x:v>365.3</x:v>
      </x:c>
    </x:row>
    <x:row r="1263">
      <x:c r="A1263" s="9" t="str">
        <x:v>1259</x:v>
      </x:c>
      <x:c r="B1263" s="9" t="str">
        <x:v>636</x:v>
      </x:c>
      <x:c r="C1263" s="11" t="n">
        <x:v>46179</x:v>
      </x:c>
      <x:c r="D1263" s="13" t="n">
        <x:v>294.73</x:v>
      </x:c>
    </x:row>
    <x:row r="1264">
      <x:c r="A1264" s="9" t="str">
        <x:v>1260</x:v>
      </x:c>
      <x:c r="B1264" s="9" t="str">
        <x:v>636</x:v>
      </x:c>
      <x:c r="C1264" s="11" t="n">
        <x:v>46084</x:v>
      </x:c>
      <x:c r="D1264" s="13" t="n">
        <x:v>475.75</x:v>
      </x:c>
    </x:row>
    <x:row r="1265">
      <x:c r="A1265" s="9" t="str">
        <x:v>1261</x:v>
      </x:c>
      <x:c r="B1265" s="9" t="str">
        <x:v>638</x:v>
      </x:c>
      <x:c r="C1265" s="11" t="n">
        <x:v>46153</x:v>
      </x:c>
      <x:c r="D1265" s="13" t="n">
        <x:v>561.36</x:v>
      </x:c>
    </x:row>
    <x:row r="1266">
      <x:c r="A1266" s="9" t="str">
        <x:v>1262</x:v>
      </x:c>
      <x:c r="B1266" s="9" t="str">
        <x:v>639</x:v>
      </x:c>
      <x:c r="C1266" s="11" t="n">
        <x:v>46159</x:v>
      </x:c>
      <x:c r="D1266" s="13" t="n">
        <x:v>1158.11</x:v>
      </x:c>
    </x:row>
    <x:row r="1267">
      <x:c r="A1267" s="9" t="str">
        <x:v>1263</x:v>
      </x:c>
      <x:c r="B1267" s="9" t="str">
        <x:v>639</x:v>
      </x:c>
      <x:c r="C1267" s="11" t="n">
        <x:v>46134</x:v>
      </x:c>
      <x:c r="D1267" s="13" t="n">
        <x:v>30.77</x:v>
      </x:c>
    </x:row>
    <x:row r="1268">
      <x:c r="A1268" s="9" t="str">
        <x:v>1264</x:v>
      </x:c>
      <x:c r="B1268" s="9" t="str">
        <x:v>639</x:v>
      </x:c>
      <x:c r="C1268" s="11" t="n">
        <x:v>46181</x:v>
      </x:c>
      <x:c r="D1268" s="13" t="n">
        <x:v>966.33</x:v>
      </x:c>
    </x:row>
    <x:row r="1269">
      <x:c r="A1269" s="9" t="str">
        <x:v>1265</x:v>
      </x:c>
      <x:c r="B1269" s="9" t="str">
        <x:v>640</x:v>
      </x:c>
      <x:c r="C1269" s="11" t="n">
        <x:v>46078</x:v>
      </x:c>
      <x:c r="D1269" s="13" t="n">
        <x:v>553.78</x:v>
      </x:c>
    </x:row>
    <x:row r="1270">
      <x:c r="A1270" s="9" t="str">
        <x:v>1266</x:v>
      </x:c>
      <x:c r="B1270" s="9" t="str">
        <x:v>640</x:v>
      </x:c>
      <x:c r="C1270" s="11" t="n">
        <x:v>46082</x:v>
      </x:c>
      <x:c r="D1270" s="13" t="n">
        <x:v>559.5</x:v>
      </x:c>
    </x:row>
    <x:row r="1271">
      <x:c r="A1271" s="9" t="str">
        <x:v>1267</x:v>
      </x:c>
      <x:c r="B1271" s="9" t="str">
        <x:v>640</x:v>
      </x:c>
      <x:c r="C1271" s="11" t="n">
        <x:v>46170</x:v>
      </x:c>
      <x:c r="D1271" s="13" t="n">
        <x:v>238.9</x:v>
      </x:c>
    </x:row>
    <x:row r="1272">
      <x:c r="A1272" s="9" t="str">
        <x:v>1268</x:v>
      </x:c>
      <x:c r="B1272" s="9" t="str">
        <x:v>640</x:v>
      </x:c>
      <x:c r="C1272" s="11" t="n">
        <x:v>46084</x:v>
      </x:c>
      <x:c r="D1272" s="13" t="n">
        <x:v>208.41</x:v>
      </x:c>
    </x:row>
    <x:row r="1273">
      <x:c r="A1273" s="9" t="str">
        <x:v>1269</x:v>
      </x:c>
      <x:c r="B1273" s="9" t="str">
        <x:v>641</x:v>
      </x:c>
      <x:c r="C1273" s="11" t="n">
        <x:v>46066</x:v>
      </x:c>
      <x:c r="D1273" s="13" t="n">
        <x:v>21.21</x:v>
      </x:c>
    </x:row>
    <x:row r="1274">
      <x:c r="A1274" s="9" t="str">
        <x:v>1270</x:v>
      </x:c>
      <x:c r="B1274" s="9" t="str">
        <x:v>641</x:v>
      </x:c>
      <x:c r="C1274" s="11" t="n">
        <x:v>46041</x:v>
      </x:c>
      <x:c r="D1274" s="13" t="n">
        <x:v>143.58</x:v>
      </x:c>
    </x:row>
    <x:row r="1275">
      <x:c r="A1275" s="9" t="str">
        <x:v>1271</x:v>
      </x:c>
      <x:c r="B1275" s="9" t="str">
        <x:v>641</x:v>
      </x:c>
      <x:c r="C1275" s="11" t="n">
        <x:v>46126</x:v>
      </x:c>
      <x:c r="D1275" s="13" t="n">
        <x:v>186.77</x:v>
      </x:c>
    </x:row>
    <x:row r="1276">
      <x:c r="A1276" s="9" t="str">
        <x:v>1272</x:v>
      </x:c>
      <x:c r="B1276" s="9" t="str">
        <x:v>642</x:v>
      </x:c>
      <x:c r="C1276" s="11" t="n">
        <x:v>46105</x:v>
      </x:c>
      <x:c r="D1276" s="13" t="n">
        <x:v>346.06</x:v>
      </x:c>
    </x:row>
    <x:row r="1277">
      <x:c r="A1277" s="9" t="str">
        <x:v>1273</x:v>
      </x:c>
      <x:c r="B1277" s="9" t="str">
        <x:v>642</x:v>
      </x:c>
      <x:c r="C1277" s="11" t="n">
        <x:v>46116</x:v>
      </x:c>
      <x:c r="D1277" s="13" t="n">
        <x:v>1425.54</x:v>
      </x:c>
    </x:row>
    <x:row r="1278">
      <x:c r="A1278" s="9" t="str">
        <x:v>1274</x:v>
      </x:c>
      <x:c r="B1278" s="9" t="str">
        <x:v>643</x:v>
      </x:c>
      <x:c r="C1278" s="11" t="n">
        <x:v>46178</x:v>
      </x:c>
      <x:c r="D1278" s="13" t="n">
        <x:v>1065.71</x:v>
      </x:c>
    </x:row>
    <x:row r="1279">
      <x:c r="A1279" s="9" t="str">
        <x:v>1275</x:v>
      </x:c>
      <x:c r="B1279" s="9" t="str">
        <x:v>644</x:v>
      </x:c>
      <x:c r="C1279" s="11" t="n">
        <x:v>46162</x:v>
      </x:c>
      <x:c r="D1279" s="13" t="n">
        <x:v>886.02</x:v>
      </x:c>
    </x:row>
    <x:row r="1280">
      <x:c r="A1280" s="9" t="str">
        <x:v>1276</x:v>
      </x:c>
      <x:c r="B1280" s="9" t="str">
        <x:v>644</x:v>
      </x:c>
      <x:c r="C1280" s="11" t="n">
        <x:v>46153</x:v>
      </x:c>
      <x:c r="D1280" s="13" t="n">
        <x:v>691.46</x:v>
      </x:c>
    </x:row>
    <x:row r="1281">
      <x:c r="A1281" s="9" t="str">
        <x:v>1277</x:v>
      </x:c>
      <x:c r="B1281" s="9" t="str">
        <x:v>644</x:v>
      </x:c>
      <x:c r="C1281" s="11" t="n">
        <x:v>46200</x:v>
      </x:c>
      <x:c r="D1281" s="13" t="n">
        <x:v>766.5</x:v>
      </x:c>
    </x:row>
    <x:row r="1282">
      <x:c r="A1282" s="9" t="str">
        <x:v>1278</x:v>
      </x:c>
      <x:c r="B1282" s="9" t="str">
        <x:v>645</x:v>
      </x:c>
      <x:c r="C1282" s="11" t="n">
        <x:v>46034</x:v>
      </x:c>
      <x:c r="D1282" s="13" t="n">
        <x:v>487.55</x:v>
      </x:c>
    </x:row>
    <x:row r="1283">
      <x:c r="A1283" s="9" t="str">
        <x:v>1279</x:v>
      </x:c>
      <x:c r="B1283" s="9" t="str">
        <x:v>646</x:v>
      </x:c>
      <x:c r="C1283" s="11" t="n">
        <x:v>46185</x:v>
      </x:c>
      <x:c r="D1283" s="13" t="n">
        <x:v>40.76</x:v>
      </x:c>
    </x:row>
    <x:row r="1284">
      <x:c r="A1284" s="9" t="str">
        <x:v>1280</x:v>
      </x:c>
      <x:c r="B1284" s="9" t="str">
        <x:v>646</x:v>
      </x:c>
      <x:c r="C1284" s="11" t="n">
        <x:v>46156</x:v>
      </x:c>
      <x:c r="D1284" s="13" t="n">
        <x:v>104.56</x:v>
      </x:c>
    </x:row>
    <x:row r="1285">
      <x:c r="A1285" s="9" t="str">
        <x:v>1281</x:v>
      </x:c>
      <x:c r="B1285" s="9" t="str">
        <x:v>647</x:v>
      </x:c>
      <x:c r="C1285" s="11" t="n">
        <x:v>46147</x:v>
      </x:c>
      <x:c r="D1285" s="13" t="n">
        <x:v>182.27</x:v>
      </x:c>
    </x:row>
    <x:row r="1286">
      <x:c r="A1286" s="9" t="str">
        <x:v>1282</x:v>
      </x:c>
      <x:c r="B1286" s="9" t="str">
        <x:v>647</x:v>
      </x:c>
      <x:c r="C1286" s="11" t="n">
        <x:v>46185</x:v>
      </x:c>
      <x:c r="D1286" s="13" t="n">
        <x:v>522.46</x:v>
      </x:c>
    </x:row>
    <x:row r="1287">
      <x:c r="A1287" s="9" t="str">
        <x:v>1283</x:v>
      </x:c>
      <x:c r="B1287" s="9" t="str">
        <x:v>647</x:v>
      </x:c>
      <x:c r="C1287" s="11" t="n">
        <x:v>46142</x:v>
      </x:c>
      <x:c r="D1287" s="13" t="n">
        <x:v>289.52</x:v>
      </x:c>
    </x:row>
    <x:row r="1288">
      <x:c r="A1288" s="9" t="str">
        <x:v>1284</x:v>
      </x:c>
      <x:c r="B1288" s="9" t="str">
        <x:v>647</x:v>
      </x:c>
      <x:c r="C1288" s="11" t="n">
        <x:v>46155</x:v>
      </x:c>
      <x:c r="D1288" s="13" t="n">
        <x:v>366.06</x:v>
      </x:c>
    </x:row>
    <x:row r="1289">
      <x:c r="A1289" s="9" t="str">
        <x:v>1285</x:v>
      </x:c>
      <x:c r="B1289" s="9" t="str">
        <x:v>648</x:v>
      </x:c>
      <x:c r="C1289" s="11" t="n">
        <x:v>46166</x:v>
      </x:c>
      <x:c r="D1289" s="13" t="n">
        <x:v>412.43</x:v>
      </x:c>
    </x:row>
    <x:row r="1290">
      <x:c r="A1290" s="9" t="str">
        <x:v>1286</x:v>
      </x:c>
      <x:c r="B1290" s="9" t="str">
        <x:v>648</x:v>
      </x:c>
      <x:c r="C1290" s="11" t="n">
        <x:v>46192</x:v>
      </x:c>
      <x:c r="D1290" s="13" t="n">
        <x:v>581.68</x:v>
      </x:c>
    </x:row>
    <x:row r="1291">
      <x:c r="A1291" s="9" t="str">
        <x:v>1287</x:v>
      </x:c>
      <x:c r="B1291" s="9" t="str">
        <x:v>650</x:v>
      </x:c>
      <x:c r="C1291" s="11" t="n">
        <x:v>46168</x:v>
      </x:c>
      <x:c r="D1291" s="13" t="n">
        <x:v>2793.28</x:v>
      </x:c>
    </x:row>
    <x:row r="1292">
      <x:c r="A1292" s="9" t="str">
        <x:v>1288</x:v>
      </x:c>
      <x:c r="B1292" s="9" t="str">
        <x:v>651</x:v>
      </x:c>
      <x:c r="C1292" s="11" t="n">
        <x:v>46181</x:v>
      </x:c>
      <x:c r="D1292" s="13" t="n">
        <x:v>1377.73</x:v>
      </x:c>
    </x:row>
    <x:row r="1293">
      <x:c r="A1293" s="9" t="str">
        <x:v>1289</x:v>
      </x:c>
      <x:c r="B1293" s="9" t="str">
        <x:v>651</x:v>
      </x:c>
      <x:c r="C1293" s="11" t="n">
        <x:v>46193</x:v>
      </x:c>
      <x:c r="D1293" s="13" t="n">
        <x:v>1259.23</x:v>
      </x:c>
    </x:row>
    <x:row r="1294">
      <x:c r="A1294" s="9" t="str">
        <x:v>1290</x:v>
      </x:c>
      <x:c r="B1294" s="9" t="str">
        <x:v>651</x:v>
      </x:c>
      <x:c r="C1294" s="11" t="n">
        <x:v>46108</x:v>
      </x:c>
      <x:c r="D1294" s="13" t="n">
        <x:v>853.89</x:v>
      </x:c>
    </x:row>
    <x:row r="1295">
      <x:c r="A1295" s="9" t="str">
        <x:v>1291</x:v>
      </x:c>
      <x:c r="B1295" s="9" t="str">
        <x:v>652</x:v>
      </x:c>
      <x:c r="C1295" s="11" t="n">
        <x:v>46172</x:v>
      </x:c>
      <x:c r="D1295" s="13" t="n">
        <x:v>856.83</x:v>
      </x:c>
    </x:row>
    <x:row r="1296">
      <x:c r="A1296" s="9" t="str">
        <x:v>1292</x:v>
      </x:c>
      <x:c r="B1296" s="9" t="str">
        <x:v>653</x:v>
      </x:c>
      <x:c r="C1296" s="11" t="n">
        <x:v>46144</x:v>
      </x:c>
      <x:c r="D1296" s="13" t="n">
        <x:v>1006.91</x:v>
      </x:c>
    </x:row>
    <x:row r="1297">
      <x:c r="A1297" s="9" t="str">
        <x:v>1293</x:v>
      </x:c>
      <x:c r="B1297" s="9" t="str">
        <x:v>653</x:v>
      </x:c>
      <x:c r="C1297" s="11" t="n">
        <x:v>46091</x:v>
      </x:c>
      <x:c r="D1297" s="13" t="n">
        <x:v>24.11</x:v>
      </x:c>
    </x:row>
    <x:row r="1298">
      <x:c r="A1298" s="9" t="str">
        <x:v>1294</x:v>
      </x:c>
      <x:c r="B1298" s="9" t="str">
        <x:v>654</x:v>
      </x:c>
      <x:c r="C1298" s="11" t="n">
        <x:v>46160</x:v>
      </x:c>
      <x:c r="D1298" s="13" t="n">
        <x:v>1998.25</x:v>
      </x:c>
    </x:row>
    <x:row r="1299">
      <x:c r="A1299" s="9" t="str">
        <x:v>1295</x:v>
      </x:c>
      <x:c r="B1299" s="9" t="str">
        <x:v>654</x:v>
      </x:c>
      <x:c r="C1299" s="11" t="n">
        <x:v>46175</x:v>
      </x:c>
      <x:c r="D1299" s="13" t="n">
        <x:v>598.86</x:v>
      </x:c>
    </x:row>
    <x:row r="1300">
      <x:c r="A1300" s="9" t="str">
        <x:v>1296</x:v>
      </x:c>
      <x:c r="B1300" s="9" t="str">
        <x:v>654</x:v>
      </x:c>
      <x:c r="C1300" s="11" t="n">
        <x:v>46147</x:v>
      </x:c>
      <x:c r="D1300" s="13" t="n">
        <x:v>280.13</x:v>
      </x:c>
    </x:row>
    <x:row r="1301">
      <x:c r="A1301" s="9" t="str">
        <x:v>1297</x:v>
      </x:c>
      <x:c r="B1301" s="9" t="str">
        <x:v>655</x:v>
      </x:c>
      <x:c r="C1301" s="11" t="n">
        <x:v>46104</x:v>
      </x:c>
      <x:c r="D1301" s="13" t="n">
        <x:v>944.96</x:v>
      </x:c>
    </x:row>
    <x:row r="1302">
      <x:c r="A1302" s="9" t="str">
        <x:v>1298</x:v>
      </x:c>
      <x:c r="B1302" s="9" t="str">
        <x:v>655</x:v>
      </x:c>
      <x:c r="C1302" s="11" t="n">
        <x:v>46106</x:v>
      </x:c>
      <x:c r="D1302" s="13" t="n">
        <x:v>43.88</x:v>
      </x:c>
    </x:row>
    <x:row r="1303">
      <x:c r="A1303" s="9" t="str">
        <x:v>1299</x:v>
      </x:c>
      <x:c r="B1303" s="9" t="str">
        <x:v>657</x:v>
      </x:c>
      <x:c r="C1303" s="11" t="n">
        <x:v>46179</x:v>
      </x:c>
      <x:c r="D1303" s="13" t="n">
        <x:v>1892.95</x:v>
      </x:c>
    </x:row>
    <x:row r="1304">
      <x:c r="A1304" s="9" t="str">
        <x:v>1300</x:v>
      </x:c>
      <x:c r="B1304" s="9" t="str">
        <x:v>657</x:v>
      </x:c>
      <x:c r="C1304" s="11" t="n">
        <x:v>46128</x:v>
      </x:c>
      <x:c r="D1304" s="13" t="n">
        <x:v>114.5</x:v>
      </x:c>
    </x:row>
    <x:row r="1305">
      <x:c r="A1305" s="9" t="str">
        <x:v>1301</x:v>
      </x:c>
      <x:c r="B1305" s="9" t="str">
        <x:v>657</x:v>
      </x:c>
      <x:c r="C1305" s="11" t="n">
        <x:v>46184</x:v>
      </x:c>
      <x:c r="D1305" s="13" t="n">
        <x:v>1706.3</x:v>
      </x:c>
    </x:row>
    <x:row r="1306">
      <x:c r="A1306" s="9" t="str">
        <x:v>1302</x:v>
      </x:c>
      <x:c r="B1306" s="9" t="str">
        <x:v>659</x:v>
      </x:c>
      <x:c r="C1306" s="11" t="n">
        <x:v>46194</x:v>
      </x:c>
      <x:c r="D1306" s="13" t="n">
        <x:v>461.03</x:v>
      </x:c>
    </x:row>
    <x:row r="1307">
      <x:c r="A1307" s="9" t="str">
        <x:v>1303</x:v>
      </x:c>
      <x:c r="B1307" s="9" t="str">
        <x:v>659</x:v>
      </x:c>
      <x:c r="C1307" s="11" t="n">
        <x:v>46184</x:v>
      </x:c>
      <x:c r="D1307" s="13" t="n">
        <x:v>242.96</x:v>
      </x:c>
    </x:row>
    <x:row r="1308">
      <x:c r="A1308" s="9" t="str">
        <x:v>1304</x:v>
      </x:c>
      <x:c r="B1308" s="9" t="str">
        <x:v>660</x:v>
      </x:c>
      <x:c r="C1308" s="11" t="n">
        <x:v>46156</x:v>
      </x:c>
      <x:c r="D1308" s="13" t="n">
        <x:v>929.06</x:v>
      </x:c>
    </x:row>
    <x:row r="1309">
      <x:c r="A1309" s="9" t="str">
        <x:v>1305</x:v>
      </x:c>
      <x:c r="B1309" s="9" t="str">
        <x:v>660</x:v>
      </x:c>
      <x:c r="C1309" s="11" t="n">
        <x:v>46162</x:v>
      </x:c>
      <x:c r="D1309" s="13" t="n">
        <x:v>1157.58</x:v>
      </x:c>
    </x:row>
    <x:row r="1310">
      <x:c r="A1310" s="9" t="str">
        <x:v>1306</x:v>
      </x:c>
      <x:c r="B1310" s="9" t="str">
        <x:v>660</x:v>
      </x:c>
      <x:c r="C1310" s="11" t="n">
        <x:v>46110</x:v>
      </x:c>
      <x:c r="D1310" s="13" t="n">
        <x:v>1988.58</x:v>
      </x:c>
    </x:row>
    <x:row r="1311">
      <x:c r="A1311" s="9" t="str">
        <x:v>1307</x:v>
      </x:c>
      <x:c r="B1311" s="9" t="str">
        <x:v>661</x:v>
      </x:c>
      <x:c r="C1311" s="11" t="n">
        <x:v>46164</x:v>
      </x:c>
      <x:c r="D1311" s="13" t="n">
        <x:v>408.11</x:v>
      </x:c>
    </x:row>
    <x:row r="1312">
      <x:c r="A1312" s="9" t="str">
        <x:v>1308</x:v>
      </x:c>
      <x:c r="B1312" s="9" t="str">
        <x:v>661</x:v>
      </x:c>
      <x:c r="C1312" s="11" t="n">
        <x:v>46157</x:v>
      </x:c>
      <x:c r="D1312" s="13" t="n">
        <x:v>499.49</x:v>
      </x:c>
    </x:row>
    <x:row r="1313">
      <x:c r="A1313" s="9" t="str">
        <x:v>1309</x:v>
      </x:c>
      <x:c r="B1313" s="9" t="str">
        <x:v>661</x:v>
      </x:c>
      <x:c r="C1313" s="11" t="n">
        <x:v>46168</x:v>
      </x:c>
      <x:c r="D1313" s="13" t="n">
        <x:v>2131.46</x:v>
      </x:c>
    </x:row>
    <x:row r="1314">
      <x:c r="A1314" s="9" t="str">
        <x:v>1310</x:v>
      </x:c>
      <x:c r="B1314" s="9" t="str">
        <x:v>661</x:v>
      </x:c>
      <x:c r="C1314" s="11" t="n">
        <x:v>46197</x:v>
      </x:c>
      <x:c r="D1314" s="13" t="n">
        <x:v>774.23</x:v>
      </x:c>
    </x:row>
    <x:row r="1315">
      <x:c r="A1315" s="9" t="str">
        <x:v>1311</x:v>
      </x:c>
      <x:c r="B1315" s="9" t="str">
        <x:v>663</x:v>
      </x:c>
      <x:c r="C1315" s="11" t="n">
        <x:v>46080</x:v>
      </x:c>
      <x:c r="D1315" s="13" t="n">
        <x:v>391.09</x:v>
      </x:c>
    </x:row>
    <x:row r="1316">
      <x:c r="A1316" s="9" t="str">
        <x:v>1312</x:v>
      </x:c>
      <x:c r="B1316" s="9" t="str">
        <x:v>664</x:v>
      </x:c>
      <x:c r="C1316" s="11" t="n">
        <x:v>46193</x:v>
      </x:c>
      <x:c r="D1316" s="13" t="n">
        <x:v>771.39</x:v>
      </x:c>
    </x:row>
    <x:row r="1317">
      <x:c r="A1317" s="9" t="str">
        <x:v>1313</x:v>
      </x:c>
      <x:c r="B1317" s="9" t="str">
        <x:v>664</x:v>
      </x:c>
      <x:c r="C1317" s="11" t="n">
        <x:v>46192</x:v>
      </x:c>
      <x:c r="D1317" s="13" t="n">
        <x:v>832.15</x:v>
      </x:c>
    </x:row>
    <x:row r="1318">
      <x:c r="A1318" s="9" t="str">
        <x:v>1314</x:v>
      </x:c>
      <x:c r="B1318" s="9" t="str">
        <x:v>664</x:v>
      </x:c>
      <x:c r="C1318" s="11" t="n">
        <x:v>46184</x:v>
      </x:c>
      <x:c r="D1318" s="13" t="n">
        <x:v>988.83</x:v>
      </x:c>
    </x:row>
    <x:row r="1319">
      <x:c r="A1319" s="9" t="str">
        <x:v>1315</x:v>
      </x:c>
      <x:c r="B1319" s="9" t="str">
        <x:v>664</x:v>
      </x:c>
      <x:c r="C1319" s="11" t="n">
        <x:v>46191</x:v>
      </x:c>
      <x:c r="D1319" s="13" t="n">
        <x:v>936.34</x:v>
      </x:c>
    </x:row>
    <x:row r="1320">
      <x:c r="A1320" s="9" t="str">
        <x:v>1316</x:v>
      </x:c>
      <x:c r="B1320" s="9" t="str">
        <x:v>665</x:v>
      </x:c>
      <x:c r="C1320" s="11" t="n">
        <x:v>46154</x:v>
      </x:c>
      <x:c r="D1320" s="13" t="n">
        <x:v>2504.23</x:v>
      </x:c>
    </x:row>
    <x:row r="1321">
      <x:c r="A1321" s="9" t="str">
        <x:v>1317</x:v>
      </x:c>
      <x:c r="B1321" s="9" t="str">
        <x:v>665</x:v>
      </x:c>
      <x:c r="C1321" s="11" t="n">
        <x:v>46099</x:v>
      </x:c>
      <x:c r="D1321" s="13" t="n">
        <x:v>1653.56</x:v>
      </x:c>
    </x:row>
    <x:row r="1322">
      <x:c r="A1322" s="9" t="str">
        <x:v>1318</x:v>
      </x:c>
      <x:c r="B1322" s="9" t="str">
        <x:v>665</x:v>
      </x:c>
      <x:c r="C1322" s="11" t="n">
        <x:v>46178</x:v>
      </x:c>
      <x:c r="D1322" s="13" t="n">
        <x:v>1204.45</x:v>
      </x:c>
    </x:row>
    <x:row r="1323">
      <x:c r="A1323" s="9" t="str">
        <x:v>1319</x:v>
      </x:c>
      <x:c r="B1323" s="9" t="str">
        <x:v>665</x:v>
      </x:c>
      <x:c r="C1323" s="11" t="n">
        <x:v>46177</x:v>
      </x:c>
      <x:c r="D1323" s="13" t="n">
        <x:v>1836.31</x:v>
      </x:c>
    </x:row>
    <x:row r="1324">
      <x:c r="A1324" s="9" t="str">
        <x:v>1320</x:v>
      </x:c>
      <x:c r="B1324" s="9" t="str">
        <x:v>666</x:v>
      </x:c>
      <x:c r="C1324" s="11" t="n">
        <x:v>46161</x:v>
      </x:c>
      <x:c r="D1324" s="13" t="n">
        <x:v>756.78</x:v>
      </x:c>
    </x:row>
    <x:row r="1325">
      <x:c r="A1325" s="9" t="str">
        <x:v>1321</x:v>
      </x:c>
      <x:c r="B1325" s="9" t="str">
        <x:v>666</x:v>
      </x:c>
      <x:c r="C1325" s="11" t="n">
        <x:v>46190</x:v>
      </x:c>
      <x:c r="D1325" s="13" t="n">
        <x:v>46.14</x:v>
      </x:c>
    </x:row>
    <x:row r="1326">
      <x:c r="A1326" s="9" t="str">
        <x:v>1322</x:v>
      </x:c>
      <x:c r="B1326" s="9" t="str">
        <x:v>668</x:v>
      </x:c>
      <x:c r="C1326" s="11" t="n">
        <x:v>46138</x:v>
      </x:c>
      <x:c r="D1326" s="13" t="n">
        <x:v>221.29</x:v>
      </x:c>
    </x:row>
    <x:row r="1327">
      <x:c r="A1327" s="9" t="str">
        <x:v>1323</x:v>
      </x:c>
      <x:c r="B1327" s="9" t="str">
        <x:v>668</x:v>
      </x:c>
      <x:c r="C1327" s="11" t="n">
        <x:v>46190</x:v>
      </x:c>
      <x:c r="D1327" s="13" t="n">
        <x:v>336.1</x:v>
      </x:c>
    </x:row>
    <x:row r="1328">
      <x:c r="A1328" s="9" t="str">
        <x:v>1324</x:v>
      </x:c>
      <x:c r="B1328" s="9" t="str">
        <x:v>668</x:v>
      </x:c>
      <x:c r="C1328" s="11" t="n">
        <x:v>46137</x:v>
      </x:c>
      <x:c r="D1328" s="13" t="n">
        <x:v>245.06</x:v>
      </x:c>
    </x:row>
    <x:row r="1329">
      <x:c r="A1329" s="9" t="str">
        <x:v>1325</x:v>
      </x:c>
      <x:c r="B1329" s="9" t="str">
        <x:v>669</x:v>
      </x:c>
      <x:c r="C1329" s="11" t="n">
        <x:v>46200</x:v>
      </x:c>
      <x:c r="D1329" s="13" t="n">
        <x:v>517.83</x:v>
      </x:c>
    </x:row>
    <x:row r="1330">
      <x:c r="A1330" s="9" t="str">
        <x:v>1326</x:v>
      </x:c>
      <x:c r="B1330" s="9" t="str">
        <x:v>669</x:v>
      </x:c>
      <x:c r="C1330" s="11" t="n">
        <x:v>46173</x:v>
      </x:c>
      <x:c r="D1330" s="13" t="n">
        <x:v>544.21</x:v>
      </x:c>
    </x:row>
    <x:row r="1331">
      <x:c r="A1331" s="9" t="str">
        <x:v>1327</x:v>
      </x:c>
      <x:c r="B1331" s="9" t="str">
        <x:v>669</x:v>
      </x:c>
      <x:c r="C1331" s="11" t="n">
        <x:v>46157</x:v>
      </x:c>
      <x:c r="D1331" s="13" t="n">
        <x:v>631.81</x:v>
      </x:c>
    </x:row>
    <x:row r="1332">
      <x:c r="A1332" s="9" t="str">
        <x:v>1328</x:v>
      </x:c>
      <x:c r="B1332" s="9" t="str">
        <x:v>670</x:v>
      </x:c>
      <x:c r="C1332" s="11" t="n">
        <x:v>46148</x:v>
      </x:c>
      <x:c r="D1332" s="13" t="n">
        <x:v>256.48</x:v>
      </x:c>
    </x:row>
    <x:row r="1333">
      <x:c r="A1333" s="9" t="str">
        <x:v>1329</x:v>
      </x:c>
      <x:c r="B1333" s="9" t="str">
        <x:v>670</x:v>
      </x:c>
      <x:c r="C1333" s="11" t="n">
        <x:v>46083</x:v>
      </x:c>
      <x:c r="D1333" s="13" t="n">
        <x:v>685.72</x:v>
      </x:c>
    </x:row>
    <x:row r="1334">
      <x:c r="A1334" s="9" t="str">
        <x:v>1330</x:v>
      </x:c>
      <x:c r="B1334" s="9" t="str">
        <x:v>670</x:v>
      </x:c>
      <x:c r="C1334" s="11" t="n">
        <x:v>46088</x:v>
      </x:c>
      <x:c r="D1334" s="13" t="n">
        <x:v>1599.01</x:v>
      </x:c>
    </x:row>
    <x:row r="1335">
      <x:c r="A1335" s="9" t="str">
        <x:v>1331</x:v>
      </x:c>
      <x:c r="B1335" s="9" t="str">
        <x:v>672</x:v>
      </x:c>
      <x:c r="C1335" s="11" t="n">
        <x:v>46098</x:v>
      </x:c>
      <x:c r="D1335" s="13" t="n">
        <x:v>213.28</x:v>
      </x:c>
    </x:row>
    <x:row r="1336">
      <x:c r="A1336" s="9" t="str">
        <x:v>1332</x:v>
      </x:c>
      <x:c r="B1336" s="9" t="str">
        <x:v>672</x:v>
      </x:c>
      <x:c r="C1336" s="11" t="n">
        <x:v>46142</x:v>
      </x:c>
      <x:c r="D1336" s="13" t="n">
        <x:v>1644.02</x:v>
      </x:c>
    </x:row>
    <x:row r="1337">
      <x:c r="A1337" s="9" t="str">
        <x:v>1333</x:v>
      </x:c>
      <x:c r="B1337" s="9" t="str">
        <x:v>672</x:v>
      </x:c>
      <x:c r="C1337" s="11" t="n">
        <x:v>46157</x:v>
      </x:c>
      <x:c r="D1337" s="13" t="n">
        <x:v>575.05</x:v>
      </x:c>
    </x:row>
    <x:row r="1338">
      <x:c r="A1338" s="9" t="str">
        <x:v>1334</x:v>
      </x:c>
      <x:c r="B1338" s="9" t="str">
        <x:v>672</x:v>
      </x:c>
      <x:c r="C1338" s="11" t="n">
        <x:v>46200</x:v>
      </x:c>
      <x:c r="D1338" s="13" t="n">
        <x:v>955.9</x:v>
      </x:c>
    </x:row>
    <x:row r="1339">
      <x:c r="A1339" s="9" t="str">
        <x:v>1335</x:v>
      </x:c>
      <x:c r="B1339" s="9" t="str">
        <x:v>673</x:v>
      </x:c>
      <x:c r="C1339" s="11" t="n">
        <x:v>46194</x:v>
      </x:c>
      <x:c r="D1339" s="13" t="n">
        <x:v>315.08</x:v>
      </x:c>
    </x:row>
    <x:row r="1340">
      <x:c r="A1340" s="9" t="str">
        <x:v>1336</x:v>
      </x:c>
      <x:c r="B1340" s="9" t="str">
        <x:v>673</x:v>
      </x:c>
      <x:c r="C1340" s="11" t="n">
        <x:v>46117</x:v>
      </x:c>
      <x:c r="D1340" s="13" t="n">
        <x:v>1463.48</x:v>
      </x:c>
    </x:row>
    <x:row r="1341">
      <x:c r="A1341" s="9" t="str">
        <x:v>1337</x:v>
      </x:c>
      <x:c r="B1341" s="9" t="str">
        <x:v>673</x:v>
      </x:c>
      <x:c r="C1341" s="11" t="n">
        <x:v>46140</x:v>
      </x:c>
      <x:c r="D1341" s="13" t="n">
        <x:v>896.94</x:v>
      </x:c>
    </x:row>
    <x:row r="1342">
      <x:c r="A1342" s="9" t="str">
        <x:v>1338</x:v>
      </x:c>
      <x:c r="B1342" s="9" t="str">
        <x:v>674</x:v>
      </x:c>
      <x:c r="C1342" s="11" t="n">
        <x:v>46148</x:v>
      </x:c>
      <x:c r="D1342" s="13" t="n">
        <x:v>2745.06</x:v>
      </x:c>
    </x:row>
    <x:row r="1343">
      <x:c r="A1343" s="9" t="str">
        <x:v>1339</x:v>
      </x:c>
      <x:c r="B1343" s="9" t="str">
        <x:v>674</x:v>
      </x:c>
      <x:c r="C1343" s="11" t="n">
        <x:v>46120</x:v>
      </x:c>
      <x:c r="D1343" s="13" t="n">
        <x:v>1063.46</x:v>
      </x:c>
    </x:row>
    <x:row r="1344">
      <x:c r="A1344" s="9" t="str">
        <x:v>1340</x:v>
      </x:c>
      <x:c r="B1344" s="9" t="str">
        <x:v>674</x:v>
      </x:c>
      <x:c r="C1344" s="11" t="n">
        <x:v>46082</x:v>
      </x:c>
      <x:c r="D1344" s="13" t="n">
        <x:v>1689.38</x:v>
      </x:c>
    </x:row>
    <x:row r="1345">
      <x:c r="A1345" s="9" t="str">
        <x:v>1341</x:v>
      </x:c>
      <x:c r="B1345" s="9" t="str">
        <x:v>674</x:v>
      </x:c>
      <x:c r="C1345" s="11" t="n">
        <x:v>46098</x:v>
      </x:c>
      <x:c r="D1345" s="13" t="n">
        <x:v>2358.3</x:v>
      </x:c>
    </x:row>
    <x:row r="1346">
      <x:c r="A1346" s="9" t="str">
        <x:v>1342</x:v>
      </x:c>
      <x:c r="B1346" s="9" t="str">
        <x:v>676</x:v>
      </x:c>
      <x:c r="C1346" s="11" t="n">
        <x:v>46047</x:v>
      </x:c>
      <x:c r="D1346" s="13" t="n">
        <x:v>1795.55</x:v>
      </x:c>
    </x:row>
    <x:row r="1347">
      <x:c r="A1347" s="9" t="str">
        <x:v>1343</x:v>
      </x:c>
      <x:c r="B1347" s="9" t="str">
        <x:v>676</x:v>
      </x:c>
      <x:c r="C1347" s="11" t="n">
        <x:v>46061</x:v>
      </x:c>
      <x:c r="D1347" s="13" t="n">
        <x:v>572.28</x:v>
      </x:c>
    </x:row>
    <x:row r="1348">
      <x:c r="A1348" s="9" t="str">
        <x:v>1344</x:v>
      </x:c>
      <x:c r="B1348" s="9" t="str">
        <x:v>677</x:v>
      </x:c>
      <x:c r="C1348" s="11" t="n">
        <x:v>46119</x:v>
      </x:c>
      <x:c r="D1348" s="13" t="n">
        <x:v>608.66</x:v>
      </x:c>
    </x:row>
    <x:row r="1349">
      <x:c r="A1349" s="9" t="str">
        <x:v>1345</x:v>
      </x:c>
      <x:c r="B1349" s="9" t="str">
        <x:v>677</x:v>
      </x:c>
      <x:c r="C1349" s="11" t="n">
        <x:v>46035</x:v>
      </x:c>
      <x:c r="D1349" s="13" t="n">
        <x:v>1063.71</x:v>
      </x:c>
    </x:row>
    <x:row r="1350">
      <x:c r="A1350" s="9" t="str">
        <x:v>1346</x:v>
      </x:c>
      <x:c r="B1350" s="9" t="str">
        <x:v>677</x:v>
      </x:c>
      <x:c r="C1350" s="11" t="n">
        <x:v>46060</x:v>
      </x:c>
      <x:c r="D1350" s="13" t="n">
        <x:v>418.75</x:v>
      </x:c>
    </x:row>
    <x:row r="1351">
      <x:c r="A1351" s="9" t="str">
        <x:v>1347</x:v>
      </x:c>
      <x:c r="B1351" s="9" t="str">
        <x:v>678</x:v>
      </x:c>
      <x:c r="C1351" s="11" t="n">
        <x:v>46127</x:v>
      </x:c>
      <x:c r="D1351" s="13" t="n">
        <x:v>998.62</x:v>
      </x:c>
    </x:row>
    <x:row r="1352">
      <x:c r="A1352" s="9" t="str">
        <x:v>1348</x:v>
      </x:c>
      <x:c r="B1352" s="9" t="str">
        <x:v>678</x:v>
      </x:c>
      <x:c r="C1352" s="11" t="n">
        <x:v>46196</x:v>
      </x:c>
      <x:c r="D1352" s="13" t="n">
        <x:v>506.75</x:v>
      </x:c>
    </x:row>
    <x:row r="1353">
      <x:c r="A1353" s="9" t="str">
        <x:v>1349</x:v>
      </x:c>
      <x:c r="B1353" s="9" t="str">
        <x:v>678</x:v>
      </x:c>
      <x:c r="C1353" s="11" t="n">
        <x:v>46154</x:v>
      </x:c>
      <x:c r="D1353" s="13" t="n">
        <x:v>2052.69</x:v>
      </x:c>
    </x:row>
    <x:row r="1354">
      <x:c r="A1354" s="9" t="str">
        <x:v>1350</x:v>
      </x:c>
      <x:c r="B1354" s="9" t="str">
        <x:v>679</x:v>
      </x:c>
      <x:c r="C1354" s="11" t="n">
        <x:v>46088</x:v>
      </x:c>
      <x:c r="D1354" s="13" t="n">
        <x:v>330.16</x:v>
      </x:c>
    </x:row>
    <x:row r="1355">
      <x:c r="A1355" s="9" t="str">
        <x:v>1351</x:v>
      </x:c>
      <x:c r="B1355" s="9" t="str">
        <x:v>680</x:v>
      </x:c>
      <x:c r="C1355" s="11" t="n">
        <x:v>46137</x:v>
      </x:c>
      <x:c r="D1355" s="13" t="n">
        <x:v>695.5</x:v>
      </x:c>
    </x:row>
    <x:row r="1356">
      <x:c r="A1356" s="9" t="str">
        <x:v>1352</x:v>
      </x:c>
      <x:c r="B1356" s="9" t="str">
        <x:v>680</x:v>
      </x:c>
      <x:c r="C1356" s="11" t="n">
        <x:v>46174</x:v>
      </x:c>
      <x:c r="D1356" s="13" t="n">
        <x:v>323</x:v>
      </x:c>
    </x:row>
    <x:row r="1357">
      <x:c r="A1357" s="9" t="str">
        <x:v>1353</x:v>
      </x:c>
      <x:c r="B1357" s="9" t="str">
        <x:v>680</x:v>
      </x:c>
      <x:c r="C1357" s="11" t="n">
        <x:v>46135</x:v>
      </x:c>
      <x:c r="D1357" s="13" t="n">
        <x:v>539.86</x:v>
      </x:c>
    </x:row>
    <x:row r="1358">
      <x:c r="A1358" s="9" t="str">
        <x:v>1354</x:v>
      </x:c>
      <x:c r="B1358" s="9" t="str">
        <x:v>680</x:v>
      </x:c>
      <x:c r="C1358" s="11" t="n">
        <x:v>46187</x:v>
      </x:c>
      <x:c r="D1358" s="13" t="n">
        <x:v>1464.24</x:v>
      </x:c>
    </x:row>
    <x:row r="1359">
      <x:c r="A1359" s="9" t="str">
        <x:v>1355</x:v>
      </x:c>
      <x:c r="B1359" s="9" t="str">
        <x:v>682</x:v>
      </x:c>
      <x:c r="C1359" s="11" t="n">
        <x:v>46178</x:v>
      </x:c>
      <x:c r="D1359" s="13" t="n">
        <x:v>239.41</x:v>
      </x:c>
    </x:row>
    <x:row r="1360">
      <x:c r="A1360" s="9" t="str">
        <x:v>1356</x:v>
      </x:c>
      <x:c r="B1360" s="9" t="str">
        <x:v>682</x:v>
      </x:c>
      <x:c r="C1360" s="11" t="n">
        <x:v>46072</x:v>
      </x:c>
      <x:c r="D1360" s="13" t="n">
        <x:v>84.5</x:v>
      </x:c>
    </x:row>
    <x:row r="1361">
      <x:c r="A1361" s="9" t="str">
        <x:v>1357</x:v>
      </x:c>
      <x:c r="B1361" s="9" t="str">
        <x:v>683</x:v>
      </x:c>
      <x:c r="C1361" s="11" t="n">
        <x:v>46191</x:v>
      </x:c>
      <x:c r="D1361" s="13" t="n">
        <x:v>43.17</x:v>
      </x:c>
    </x:row>
    <x:row r="1362">
      <x:c r="A1362" s="9" t="str">
        <x:v>1358</x:v>
      </x:c>
      <x:c r="B1362" s="9" t="str">
        <x:v>683</x:v>
      </x:c>
      <x:c r="C1362" s="11" t="n">
        <x:v>46088</x:v>
      </x:c>
      <x:c r="D1362" s="13" t="n">
        <x:v>587.41</x:v>
      </x:c>
    </x:row>
    <x:row r="1363">
      <x:c r="A1363" s="9" t="str">
        <x:v>1359</x:v>
      </x:c>
      <x:c r="B1363" s="9" t="str">
        <x:v>683</x:v>
      </x:c>
      <x:c r="C1363" s="11" t="n">
        <x:v>46157</x:v>
      </x:c>
      <x:c r="D1363" s="13" t="n">
        <x:v>332.14</x:v>
      </x:c>
    </x:row>
    <x:row r="1364">
      <x:c r="A1364" s="9" t="str">
        <x:v>1360</x:v>
      </x:c>
      <x:c r="B1364" s="9" t="str">
        <x:v>684</x:v>
      </x:c>
      <x:c r="C1364" s="11" t="n">
        <x:v>46148</x:v>
      </x:c>
      <x:c r="D1364" s="13" t="n">
        <x:v>86.56</x:v>
      </x:c>
    </x:row>
    <x:row r="1365">
      <x:c r="A1365" s="9" t="str">
        <x:v>1361</x:v>
      </x:c>
      <x:c r="B1365" s="9" t="str">
        <x:v>684</x:v>
      </x:c>
      <x:c r="C1365" s="11" t="n">
        <x:v>46194</x:v>
      </x:c>
      <x:c r="D1365" s="13" t="n">
        <x:v>1017.54</x:v>
      </x:c>
    </x:row>
    <x:row r="1366">
      <x:c r="A1366" s="9" t="str">
        <x:v>1362</x:v>
      </x:c>
      <x:c r="B1366" s="9" t="str">
        <x:v>684</x:v>
      </x:c>
      <x:c r="C1366" s="11" t="n">
        <x:v>46106</x:v>
      </x:c>
      <x:c r="D1366" s="13" t="n">
        <x:v>166.81</x:v>
      </x:c>
    </x:row>
    <x:row r="1367">
      <x:c r="A1367" s="9" t="str">
        <x:v>1363</x:v>
      </x:c>
      <x:c r="B1367" s="9" t="str">
        <x:v>684</x:v>
      </x:c>
      <x:c r="C1367" s="11" t="n">
        <x:v>46058</x:v>
      </x:c>
      <x:c r="D1367" s="13" t="n">
        <x:v>1008.99</x:v>
      </x:c>
    </x:row>
    <x:row r="1368">
      <x:c r="A1368" s="9" t="str">
        <x:v>1364</x:v>
      </x:c>
      <x:c r="B1368" s="9" t="str">
        <x:v>685</x:v>
      </x:c>
      <x:c r="C1368" s="11" t="n">
        <x:v>46147</x:v>
      </x:c>
      <x:c r="D1368" s="13" t="n">
        <x:v>519.15</x:v>
      </x:c>
    </x:row>
    <x:row r="1369">
      <x:c r="A1369" s="9" t="str">
        <x:v>1365</x:v>
      </x:c>
      <x:c r="B1369" s="9" t="str">
        <x:v>686</x:v>
      </x:c>
      <x:c r="C1369" s="11" t="n">
        <x:v>46161</x:v>
      </x:c>
      <x:c r="D1369" s="13" t="n">
        <x:v>84.37</x:v>
      </x:c>
    </x:row>
    <x:row r="1370">
      <x:c r="A1370" s="9" t="str">
        <x:v>1366</x:v>
      </x:c>
      <x:c r="B1370" s="9" t="str">
        <x:v>686</x:v>
      </x:c>
      <x:c r="C1370" s="11" t="n">
        <x:v>46149</x:v>
      </x:c>
      <x:c r="D1370" s="13" t="n">
        <x:v>50.96</x:v>
      </x:c>
    </x:row>
    <x:row r="1371">
      <x:c r="A1371" s="9" t="str">
        <x:v>1367</x:v>
      </x:c>
      <x:c r="B1371" s="9" t="str">
        <x:v>686</x:v>
      </x:c>
      <x:c r="C1371" s="11" t="n">
        <x:v>46162</x:v>
      </x:c>
      <x:c r="D1371" s="13" t="n">
        <x:v>78.19</x:v>
      </x:c>
    </x:row>
    <x:row r="1372">
      <x:c r="A1372" s="9" t="str">
        <x:v>1368</x:v>
      </x:c>
      <x:c r="B1372" s="9" t="str">
        <x:v>686</x:v>
      </x:c>
      <x:c r="C1372" s="11" t="n">
        <x:v>46165</x:v>
      </x:c>
      <x:c r="D1372" s="13" t="n">
        <x:v>147.99</x:v>
      </x:c>
    </x:row>
    <x:row r="1373">
      <x:c r="A1373" s="9" t="str">
        <x:v>1369</x:v>
      </x:c>
      <x:c r="B1373" s="9" t="str">
        <x:v>687</x:v>
      </x:c>
      <x:c r="C1373" s="11" t="n">
        <x:v>46166</x:v>
      </x:c>
      <x:c r="D1373" s="13" t="n">
        <x:v>569.71</x:v>
      </x:c>
    </x:row>
    <x:row r="1374">
      <x:c r="A1374" s="9" t="str">
        <x:v>1370</x:v>
      </x:c>
      <x:c r="B1374" s="9" t="str">
        <x:v>687</x:v>
      </x:c>
      <x:c r="C1374" s="11" t="n">
        <x:v>46176</x:v>
      </x:c>
      <x:c r="D1374" s="13" t="n">
        <x:v>380.49</x:v>
      </x:c>
    </x:row>
    <x:row r="1375">
      <x:c r="A1375" s="9" t="str">
        <x:v>1371</x:v>
      </x:c>
      <x:c r="B1375" s="9" t="str">
        <x:v>688</x:v>
      </x:c>
      <x:c r="C1375" s="11" t="n">
        <x:v>46119</x:v>
      </x:c>
      <x:c r="D1375" s="13" t="n">
        <x:v>1456.23</x:v>
      </x:c>
    </x:row>
    <x:row r="1376">
      <x:c r="A1376" s="9" t="str">
        <x:v>1372</x:v>
      </x:c>
      <x:c r="B1376" s="9" t="str">
        <x:v>688</x:v>
      </x:c>
      <x:c r="C1376" s="11" t="n">
        <x:v>46148</x:v>
      </x:c>
      <x:c r="D1376" s="13" t="n">
        <x:v>1739.23</x:v>
      </x:c>
    </x:row>
    <x:row r="1377">
      <x:c r="A1377" s="9" t="str">
        <x:v>1373</x:v>
      </x:c>
      <x:c r="B1377" s="9" t="str">
        <x:v>689</x:v>
      </x:c>
      <x:c r="C1377" s="11" t="n">
        <x:v>46168</x:v>
      </x:c>
      <x:c r="D1377" s="13" t="n">
        <x:v>1285.81</x:v>
      </x:c>
    </x:row>
    <x:row r="1378">
      <x:c r="A1378" s="9" t="str">
        <x:v>1374</x:v>
      </x:c>
      <x:c r="B1378" s="9" t="str">
        <x:v>690</x:v>
      </x:c>
      <x:c r="C1378" s="11" t="n">
        <x:v>46152</x:v>
      </x:c>
      <x:c r="D1378" s="13" t="n">
        <x:v>469.32</x:v>
      </x:c>
    </x:row>
    <x:row r="1379">
      <x:c r="A1379" s="9" t="str">
        <x:v>1375</x:v>
      </x:c>
      <x:c r="B1379" s="9" t="str">
        <x:v>690</x:v>
      </x:c>
      <x:c r="C1379" s="11" t="n">
        <x:v>46127</x:v>
      </x:c>
      <x:c r="D1379" s="13" t="n">
        <x:v>804.92</x:v>
      </x:c>
    </x:row>
    <x:row r="1380">
      <x:c r="A1380" s="9" t="str">
        <x:v>1376</x:v>
      </x:c>
      <x:c r="B1380" s="9" t="str">
        <x:v>691</x:v>
      </x:c>
      <x:c r="C1380" s="11" t="n">
        <x:v>46157</x:v>
      </x:c>
      <x:c r="D1380" s="13" t="n">
        <x:v>1249.45</x:v>
      </x:c>
    </x:row>
    <x:row r="1381">
      <x:c r="A1381" s="9" t="str">
        <x:v>1377</x:v>
      </x:c>
      <x:c r="B1381" s="9" t="str">
        <x:v>691</x:v>
      </x:c>
      <x:c r="C1381" s="11" t="n">
        <x:v>46103</x:v>
      </x:c>
      <x:c r="D1381" s="13" t="n">
        <x:v>1260.11</x:v>
      </x:c>
    </x:row>
    <x:row r="1382">
      <x:c r="A1382" s="9" t="str">
        <x:v>1378</x:v>
      </x:c>
      <x:c r="B1382" s="9" t="str">
        <x:v>691</x:v>
      </x:c>
      <x:c r="C1382" s="11" t="n">
        <x:v>46065</x:v>
      </x:c>
      <x:c r="D1382" s="13" t="n">
        <x:v>2021</x:v>
      </x:c>
    </x:row>
    <x:row r="1383">
      <x:c r="A1383" s="9" t="str">
        <x:v>1379</x:v>
      </x:c>
      <x:c r="B1383" s="9" t="str">
        <x:v>692</x:v>
      </x:c>
      <x:c r="C1383" s="11" t="n">
        <x:v>46068</x:v>
      </x:c>
      <x:c r="D1383" s="13" t="n">
        <x:v>205.93</x:v>
      </x:c>
    </x:row>
    <x:row r="1384">
      <x:c r="A1384" s="9" t="str">
        <x:v>1380</x:v>
      </x:c>
      <x:c r="B1384" s="9" t="str">
        <x:v>692</x:v>
      </x:c>
      <x:c r="C1384" s="11" t="n">
        <x:v>46090</x:v>
      </x:c>
      <x:c r="D1384" s="13" t="n">
        <x:v>886.74</x:v>
      </x:c>
    </x:row>
    <x:row r="1385">
      <x:c r="A1385" s="9" t="str">
        <x:v>1381</x:v>
      </x:c>
      <x:c r="B1385" s="9" t="str">
        <x:v>692</x:v>
      </x:c>
      <x:c r="C1385" s="11" t="n">
        <x:v>46122</x:v>
      </x:c>
      <x:c r="D1385" s="13" t="n">
        <x:v>841.28</x:v>
      </x:c>
    </x:row>
    <x:row r="1386">
      <x:c r="A1386" s="9" t="str">
        <x:v>1382</x:v>
      </x:c>
      <x:c r="B1386" s="9" t="str">
        <x:v>694</x:v>
      </x:c>
      <x:c r="C1386" s="11" t="n">
        <x:v>46189</x:v>
      </x:c>
      <x:c r="D1386" s="13" t="n">
        <x:v>37.99</x:v>
      </x:c>
    </x:row>
    <x:row r="1387">
      <x:c r="A1387" s="9" t="str">
        <x:v>1383</x:v>
      </x:c>
      <x:c r="B1387" s="9" t="str">
        <x:v>694</x:v>
      </x:c>
      <x:c r="C1387" s="11" t="n">
        <x:v>46120</x:v>
      </x:c>
      <x:c r="D1387" s="13" t="n">
        <x:v>60.36</x:v>
      </x:c>
    </x:row>
    <x:row r="1388">
      <x:c r="A1388" s="9" t="str">
        <x:v>1384</x:v>
      </x:c>
      <x:c r="B1388" s="9" t="str">
        <x:v>694</x:v>
      </x:c>
      <x:c r="C1388" s="11" t="n">
        <x:v>46094</x:v>
      </x:c>
      <x:c r="D1388" s="13" t="n">
        <x:v>1007.9</x:v>
      </x:c>
    </x:row>
    <x:row r="1389">
      <x:c r="A1389" s="9" t="str">
        <x:v>1385</x:v>
      </x:c>
      <x:c r="B1389" s="9" t="str">
        <x:v>694</x:v>
      </x:c>
      <x:c r="C1389" s="11" t="n">
        <x:v>46140</x:v>
      </x:c>
      <x:c r="D1389" s="13" t="n">
        <x:v>1242.39</x:v>
      </x:c>
    </x:row>
    <x:row r="1390">
      <x:c r="A1390" s="9" t="str">
        <x:v>1386</x:v>
      </x:c>
      <x:c r="B1390" s="9" t="str">
        <x:v>695</x:v>
      </x:c>
      <x:c r="C1390" s="11" t="n">
        <x:v>46121</x:v>
      </x:c>
      <x:c r="D1390" s="13" t="n">
        <x:v>709.06</x:v>
      </x:c>
    </x:row>
    <x:row r="1391">
      <x:c r="A1391" s="9" t="str">
        <x:v>1387</x:v>
      </x:c>
      <x:c r="B1391" s="9" t="str">
        <x:v>695</x:v>
      </x:c>
      <x:c r="C1391" s="11" t="n">
        <x:v>46196</x:v>
      </x:c>
      <x:c r="D1391" s="13" t="n">
        <x:v>1189.31</x:v>
      </x:c>
    </x:row>
    <x:row r="1392">
      <x:c r="A1392" s="9" t="str">
        <x:v>1388</x:v>
      </x:c>
      <x:c r="B1392" s="9" t="str">
        <x:v>697</x:v>
      </x:c>
      <x:c r="C1392" s="11" t="n">
        <x:v>46060</x:v>
      </x:c>
      <x:c r="D1392" s="13" t="n">
        <x:v>111.16</x:v>
      </x:c>
    </x:row>
    <x:row r="1393">
      <x:c r="A1393" s="9" t="str">
        <x:v>1389</x:v>
      </x:c>
      <x:c r="B1393" s="9" t="str">
        <x:v>697</x:v>
      </x:c>
      <x:c r="C1393" s="11" t="n">
        <x:v>46191</x:v>
      </x:c>
      <x:c r="D1393" s="13" t="n">
        <x:v>35.59</x:v>
      </x:c>
    </x:row>
    <x:row r="1394">
      <x:c r="A1394" s="9" t="str">
        <x:v>1390</x:v>
      </x:c>
      <x:c r="B1394" s="9" t="str">
        <x:v>698</x:v>
      </x:c>
      <x:c r="C1394" s="11" t="n">
        <x:v>46169</x:v>
      </x:c>
      <x:c r="D1394" s="13" t="n">
        <x:v>1866.6</x:v>
      </x:c>
    </x:row>
    <x:row r="1395">
      <x:c r="A1395" s="9" t="str">
        <x:v>1391</x:v>
      </x:c>
      <x:c r="B1395" s="9" t="str">
        <x:v>699</x:v>
      </x:c>
      <x:c r="C1395" s="11" t="n">
        <x:v>46105</x:v>
      </x:c>
      <x:c r="D1395" s="13" t="n">
        <x:v>528.31</x:v>
      </x:c>
    </x:row>
    <x:row r="1396">
      <x:c r="A1396" s="9" t="str">
        <x:v>1392</x:v>
      </x:c>
      <x:c r="B1396" s="9" t="str">
        <x:v>700</x:v>
      </x:c>
      <x:c r="C1396" s="11" t="n">
        <x:v>46143</x:v>
      </x:c>
      <x:c r="D1396" s="13" t="n">
        <x:v>222.89</x:v>
      </x:c>
    </x:row>
    <x:row r="1397">
      <x:c r="A1397" s="9" t="str">
        <x:v>1393</x:v>
      </x:c>
      <x:c r="B1397" s="9" t="str">
        <x:v>702</x:v>
      </x:c>
      <x:c r="C1397" s="11" t="n">
        <x:v>46160</x:v>
      </x:c>
      <x:c r="D1397" s="13" t="n">
        <x:v>305.42</x:v>
      </x:c>
    </x:row>
    <x:row r="1398">
      <x:c r="A1398" s="9" t="str">
        <x:v>1394</x:v>
      </x:c>
      <x:c r="B1398" s="9" t="str">
        <x:v>702</x:v>
      </x:c>
      <x:c r="C1398" s="11" t="n">
        <x:v>46162</x:v>
      </x:c>
      <x:c r="D1398" s="13" t="n">
        <x:v>324.86</x:v>
      </x:c>
    </x:row>
    <x:row r="1399">
      <x:c r="A1399" s="9" t="str">
        <x:v>1395</x:v>
      </x:c>
      <x:c r="B1399" s="9" t="str">
        <x:v>703</x:v>
      </x:c>
      <x:c r="C1399" s="11" t="n">
        <x:v>46201</x:v>
      </x:c>
      <x:c r="D1399" s="13" t="n">
        <x:v>1109.94</x:v>
      </x:c>
    </x:row>
    <x:row r="1400">
      <x:c r="A1400" s="9" t="str">
        <x:v>1396</x:v>
      </x:c>
      <x:c r="B1400" s="9" t="str">
        <x:v>703</x:v>
      </x:c>
      <x:c r="C1400" s="11" t="n">
        <x:v>46196</x:v>
      </x:c>
      <x:c r="D1400" s="13" t="n">
        <x:v>74.17</x:v>
      </x:c>
    </x:row>
    <x:row r="1401">
      <x:c r="A1401" s="9" t="str">
        <x:v>1397</x:v>
      </x:c>
      <x:c r="B1401" s="9" t="str">
        <x:v>703</x:v>
      </x:c>
      <x:c r="C1401" s="11" t="n">
        <x:v>46191</x:v>
      </x:c>
      <x:c r="D1401" s="13" t="n">
        <x:v>375.51</x:v>
      </x:c>
    </x:row>
    <x:row r="1402">
      <x:c r="A1402" s="9" t="str">
        <x:v>1398</x:v>
      </x:c>
      <x:c r="B1402" s="9" t="str">
        <x:v>704</x:v>
      </x:c>
      <x:c r="C1402" s="11" t="n">
        <x:v>46139</x:v>
      </x:c>
      <x:c r="D1402" s="13" t="n">
        <x:v>206.47</x:v>
      </x:c>
    </x:row>
    <x:row r="1403">
      <x:c r="A1403" s="9" t="str">
        <x:v>1399</x:v>
      </x:c>
      <x:c r="B1403" s="9" t="str">
        <x:v>704</x:v>
      </x:c>
      <x:c r="C1403" s="11" t="n">
        <x:v>46120</x:v>
      </x:c>
      <x:c r="D1403" s="13" t="n">
        <x:v>452.12</x:v>
      </x:c>
    </x:row>
    <x:row r="1404">
      <x:c r="A1404" s="9" t="str">
        <x:v>1400</x:v>
      </x:c>
      <x:c r="B1404" s="9" t="str">
        <x:v>704</x:v>
      </x:c>
      <x:c r="C1404" s="11" t="n">
        <x:v>46197</x:v>
      </x:c>
      <x:c r="D1404" s="13" t="n">
        <x:v>38.41</x:v>
      </x:c>
    </x:row>
    <x:row r="1405">
      <x:c r="A1405" s="9" t="str">
        <x:v>1401</x:v>
      </x:c>
      <x:c r="B1405" s="9" t="str">
        <x:v>705</x:v>
      </x:c>
      <x:c r="C1405" s="11" t="n">
        <x:v>46110</x:v>
      </x:c>
      <x:c r="D1405" s="13" t="n">
        <x:v>102.71</x:v>
      </x:c>
    </x:row>
    <x:row r="1406">
      <x:c r="A1406" s="9" t="str">
        <x:v>1402</x:v>
      </x:c>
      <x:c r="B1406" s="9" t="str">
        <x:v>705</x:v>
      </x:c>
      <x:c r="C1406" s="11" t="n">
        <x:v>46176</x:v>
      </x:c>
      <x:c r="D1406" s="13" t="n">
        <x:v>349.97</x:v>
      </x:c>
    </x:row>
    <x:row r="1407">
      <x:c r="A1407" s="9" t="str">
        <x:v>1403</x:v>
      </x:c>
      <x:c r="B1407" s="9" t="str">
        <x:v>706</x:v>
      </x:c>
      <x:c r="C1407" s="11" t="n">
        <x:v>46179</x:v>
      </x:c>
      <x:c r="D1407" s="13" t="n">
        <x:v>457.08</x:v>
      </x:c>
    </x:row>
    <x:row r="1408">
      <x:c r="A1408" s="9" t="str">
        <x:v>1404</x:v>
      </x:c>
      <x:c r="B1408" s="9" t="str">
        <x:v>706</x:v>
      </x:c>
      <x:c r="C1408" s="11" t="n">
        <x:v>46179</x:v>
      </x:c>
      <x:c r="D1408" s="13" t="n">
        <x:v>177.94</x:v>
      </x:c>
    </x:row>
    <x:row r="1409">
      <x:c r="A1409" s="9" t="str">
        <x:v>1405</x:v>
      </x:c>
      <x:c r="B1409" s="9" t="str">
        <x:v>707</x:v>
      </x:c>
      <x:c r="C1409" s="11" t="n">
        <x:v>46197</x:v>
      </x:c>
      <x:c r="D1409" s="13" t="n">
        <x:v>310.05</x:v>
      </x:c>
    </x:row>
    <x:row r="1410">
      <x:c r="A1410" s="9" t="str">
        <x:v>1406</x:v>
      </x:c>
      <x:c r="B1410" s="9" t="str">
        <x:v>707</x:v>
      </x:c>
      <x:c r="C1410" s="11" t="n">
        <x:v>46185</x:v>
      </x:c>
      <x:c r="D1410" s="13" t="n">
        <x:v>787.04</x:v>
      </x:c>
    </x:row>
    <x:row r="1411">
      <x:c r="A1411" s="9" t="str">
        <x:v>1407</x:v>
      </x:c>
      <x:c r="B1411" s="9" t="str">
        <x:v>707</x:v>
      </x:c>
      <x:c r="C1411" s="11" t="n">
        <x:v>46138</x:v>
      </x:c>
      <x:c r="D1411" s="13" t="n">
        <x:v>320.66</x:v>
      </x:c>
    </x:row>
    <x:row r="1412">
      <x:c r="A1412" s="9" t="str">
        <x:v>1408</x:v>
      </x:c>
      <x:c r="B1412" s="9" t="str">
        <x:v>707</x:v>
      </x:c>
      <x:c r="C1412" s="11" t="n">
        <x:v>46179</x:v>
      </x:c>
      <x:c r="D1412" s="13" t="n">
        <x:v>650.4</x:v>
      </x:c>
    </x:row>
    <x:row r="1413">
      <x:c r="A1413" s="9" t="str">
        <x:v>1409</x:v>
      </x:c>
      <x:c r="B1413" s="9" t="str">
        <x:v>709</x:v>
      </x:c>
      <x:c r="C1413" s="11" t="n">
        <x:v>46182</x:v>
      </x:c>
      <x:c r="D1413" s="13" t="n">
        <x:v>1382.32</x:v>
      </x:c>
    </x:row>
    <x:row r="1414">
      <x:c r="A1414" s="9" t="str">
        <x:v>1410</x:v>
      </x:c>
      <x:c r="B1414" s="9" t="str">
        <x:v>710</x:v>
      </x:c>
      <x:c r="C1414" s="11" t="n">
        <x:v>46066</x:v>
      </x:c>
      <x:c r="D1414" s="13" t="n">
        <x:v>162.35</x:v>
      </x:c>
    </x:row>
    <x:row r="1415">
      <x:c r="A1415" s="9" t="str">
        <x:v>1411</x:v>
      </x:c>
      <x:c r="B1415" s="9" t="str">
        <x:v>710</x:v>
      </x:c>
      <x:c r="C1415" s="11" t="n">
        <x:v>46189</x:v>
      </x:c>
      <x:c r="D1415" s="13" t="n">
        <x:v>156.36</x:v>
      </x:c>
    </x:row>
    <x:row r="1416">
      <x:c r="A1416" s="9" t="str">
        <x:v>1412</x:v>
      </x:c>
      <x:c r="B1416" s="9" t="str">
        <x:v>711</x:v>
      </x:c>
      <x:c r="C1416" s="11" t="n">
        <x:v>46166</x:v>
      </x:c>
      <x:c r="D1416" s="13" t="n">
        <x:v>100.53</x:v>
      </x:c>
    </x:row>
    <x:row r="1417">
      <x:c r="A1417" s="9" t="str">
        <x:v>1413</x:v>
      </x:c>
      <x:c r="B1417" s="9" t="str">
        <x:v>711</x:v>
      </x:c>
      <x:c r="C1417" s="11" t="n">
        <x:v>46123</x:v>
      </x:c>
      <x:c r="D1417" s="13" t="n">
        <x:v>70.42</x:v>
      </x:c>
    </x:row>
    <x:row r="1418">
      <x:c r="A1418" s="9" t="str">
        <x:v>1414</x:v>
      </x:c>
      <x:c r="B1418" s="9" t="str">
        <x:v>712</x:v>
      </x:c>
      <x:c r="C1418" s="11" t="n">
        <x:v>46187</x:v>
      </x:c>
      <x:c r="D1418" s="13" t="n">
        <x:v>156.43</x:v>
      </x:c>
    </x:row>
    <x:row r="1419">
      <x:c r="A1419" s="9" t="str">
        <x:v>1415</x:v>
      </x:c>
      <x:c r="B1419" s="9" t="str">
        <x:v>712</x:v>
      </x:c>
      <x:c r="C1419" s="11" t="n">
        <x:v>46158</x:v>
      </x:c>
      <x:c r="D1419" s="13" t="n">
        <x:v>355.68</x:v>
      </x:c>
    </x:row>
    <x:row r="1420">
      <x:c r="A1420" s="9" t="str">
        <x:v>1416</x:v>
      </x:c>
      <x:c r="B1420" s="9" t="str">
        <x:v>712</x:v>
      </x:c>
      <x:c r="C1420" s="11" t="n">
        <x:v>46103</x:v>
      </x:c>
      <x:c r="D1420" s="13" t="n">
        <x:v>177.45</x:v>
      </x:c>
    </x:row>
    <x:row r="1421">
      <x:c r="A1421" s="9" t="str">
        <x:v>1417</x:v>
      </x:c>
      <x:c r="B1421" s="9" t="str">
        <x:v>712</x:v>
      </x:c>
      <x:c r="C1421" s="11" t="n">
        <x:v>46114</x:v>
      </x:c>
      <x:c r="D1421" s="13" t="n">
        <x:v>376.76</x:v>
      </x:c>
    </x:row>
    <x:row r="1422">
      <x:c r="A1422" s="9" t="str">
        <x:v>1418</x:v>
      </x:c>
      <x:c r="B1422" s="9" t="str">
        <x:v>714</x:v>
      </x:c>
      <x:c r="C1422" s="11" t="n">
        <x:v>46137</x:v>
      </x:c>
      <x:c r="D1422" s="13" t="n">
        <x:v>606.1</x:v>
      </x:c>
    </x:row>
    <x:row r="1423">
      <x:c r="A1423" s="9" t="str">
        <x:v>1419</x:v>
      </x:c>
      <x:c r="B1423" s="9" t="str">
        <x:v>714</x:v>
      </x:c>
      <x:c r="C1423" s="11" t="n">
        <x:v>46082</x:v>
      </x:c>
      <x:c r="D1423" s="13" t="n">
        <x:v>158.14</x:v>
      </x:c>
    </x:row>
    <x:row r="1424">
      <x:c r="A1424" s="9" t="str">
        <x:v>1420</x:v>
      </x:c>
      <x:c r="B1424" s="9" t="str">
        <x:v>715</x:v>
      </x:c>
      <x:c r="C1424" s="11" t="n">
        <x:v>46099</x:v>
      </x:c>
      <x:c r="D1424" s="13" t="n">
        <x:v>2500.27</x:v>
      </x:c>
    </x:row>
    <x:row r="1425">
      <x:c r="A1425" s="9" t="str">
        <x:v>1421</x:v>
      </x:c>
      <x:c r="B1425" s="9" t="str">
        <x:v>718</x:v>
      </x:c>
      <x:c r="C1425" s="11" t="n">
        <x:v>46109</x:v>
      </x:c>
      <x:c r="D1425" s="13" t="n">
        <x:v>1193.97</x:v>
      </x:c>
    </x:row>
    <x:row r="1426">
      <x:c r="A1426" s="9" t="str">
        <x:v>1422</x:v>
      </x:c>
      <x:c r="B1426" s="9" t="str">
        <x:v>718</x:v>
      </x:c>
      <x:c r="C1426" s="11" t="n">
        <x:v>46183</x:v>
      </x:c>
      <x:c r="D1426" s="13" t="n">
        <x:v>1177.96</x:v>
      </x:c>
    </x:row>
    <x:row r="1427">
      <x:c r="A1427" s="9" t="str">
        <x:v>1423</x:v>
      </x:c>
      <x:c r="B1427" s="9" t="str">
        <x:v>719</x:v>
      </x:c>
      <x:c r="C1427" s="11" t="n">
        <x:v>46180</x:v>
      </x:c>
      <x:c r="D1427" s="13" t="n">
        <x:v>578.34</x:v>
      </x:c>
    </x:row>
    <x:row r="1428">
      <x:c r="A1428" s="9" t="str">
        <x:v>1424</x:v>
      </x:c>
      <x:c r="B1428" s="9" t="str">
        <x:v>719</x:v>
      </x:c>
      <x:c r="C1428" s="11" t="n">
        <x:v>46154</x:v>
      </x:c>
      <x:c r="D1428" s="13" t="n">
        <x:v>72.42</x:v>
      </x:c>
    </x:row>
    <x:row r="1429">
      <x:c r="A1429" s="9" t="str">
        <x:v>1425</x:v>
      </x:c>
      <x:c r="B1429" s="9" t="str">
        <x:v>720</x:v>
      </x:c>
      <x:c r="C1429" s="11" t="n">
        <x:v>46119</x:v>
      </x:c>
      <x:c r="D1429" s="13" t="n">
        <x:v>953.67</x:v>
      </x:c>
    </x:row>
    <x:row r="1430">
      <x:c r="A1430" s="9" t="str">
        <x:v>1426</x:v>
      </x:c>
      <x:c r="B1430" s="9" t="str">
        <x:v>720</x:v>
      </x:c>
      <x:c r="C1430" s="11" t="n">
        <x:v>46203</x:v>
      </x:c>
      <x:c r="D1430" s="13" t="n">
        <x:v>610.15</x:v>
      </x:c>
    </x:row>
    <x:row r="1431">
      <x:c r="A1431" s="9" t="str">
        <x:v>1427</x:v>
      </x:c>
      <x:c r="B1431" s="9" t="str">
        <x:v>720</x:v>
      </x:c>
      <x:c r="C1431" s="11" t="n">
        <x:v>46155</x:v>
      </x:c>
      <x:c r="D1431" s="13" t="n">
        <x:v>522.16</x:v>
      </x:c>
    </x:row>
    <x:row r="1432">
      <x:c r="A1432" s="9" t="str">
        <x:v>1428</x:v>
      </x:c>
      <x:c r="B1432" s="9" t="str">
        <x:v>722</x:v>
      </x:c>
      <x:c r="C1432" s="11" t="n">
        <x:v>46180</x:v>
      </x:c>
      <x:c r="D1432" s="13" t="n">
        <x:v>72.49</x:v>
      </x:c>
    </x:row>
    <x:row r="1433">
      <x:c r="A1433" s="9" t="str">
        <x:v>1429</x:v>
      </x:c>
      <x:c r="B1433" s="9" t="str">
        <x:v>722</x:v>
      </x:c>
      <x:c r="C1433" s="11" t="n">
        <x:v>46059</x:v>
      </x:c>
      <x:c r="D1433" s="13" t="n">
        <x:v>36.13</x:v>
      </x:c>
    </x:row>
    <x:row r="1434">
      <x:c r="A1434" s="9" t="str">
        <x:v>1430</x:v>
      </x:c>
      <x:c r="B1434" s="9" t="str">
        <x:v>722</x:v>
      </x:c>
      <x:c r="C1434" s="11" t="n">
        <x:v>46129</x:v>
      </x:c>
      <x:c r="D1434" s="13" t="n">
        <x:v>18.77</x:v>
      </x:c>
    </x:row>
    <x:row r="1435">
      <x:c r="A1435" s="9" t="str">
        <x:v>1431</x:v>
      </x:c>
      <x:c r="B1435" s="9" t="str">
        <x:v>724</x:v>
      </x:c>
      <x:c r="C1435" s="11" t="n">
        <x:v>46193</x:v>
      </x:c>
      <x:c r="D1435" s="13" t="n">
        <x:v>465.42</x:v>
      </x:c>
    </x:row>
    <x:row r="1436">
      <x:c r="A1436" s="9" t="str">
        <x:v>1432</x:v>
      </x:c>
      <x:c r="B1436" s="9" t="str">
        <x:v>724</x:v>
      </x:c>
      <x:c r="C1436" s="11" t="n">
        <x:v>46120</x:v>
      </x:c>
      <x:c r="D1436" s="13" t="n">
        <x:v>189</x:v>
      </x:c>
    </x:row>
    <x:row r="1437">
      <x:c r="A1437" s="9" t="str">
        <x:v>1433</x:v>
      </x:c>
      <x:c r="B1437" s="9" t="str">
        <x:v>724</x:v>
      </x:c>
      <x:c r="C1437" s="11" t="n">
        <x:v>46195</x:v>
      </x:c>
      <x:c r="D1437" s="13" t="n">
        <x:v>24.78</x:v>
      </x:c>
    </x:row>
    <x:row r="1438">
      <x:c r="A1438" s="9" t="str">
        <x:v>1434</x:v>
      </x:c>
      <x:c r="B1438" s="9" t="str">
        <x:v>724</x:v>
      </x:c>
      <x:c r="C1438" s="11" t="n">
        <x:v>46067</x:v>
      </x:c>
      <x:c r="D1438" s="13" t="n">
        <x:v>324.39</x:v>
      </x:c>
    </x:row>
    <x:row r="1439">
      <x:c r="A1439" s="9" t="str">
        <x:v>1435</x:v>
      </x:c>
      <x:c r="B1439" s="9" t="str">
        <x:v>726</x:v>
      </x:c>
      <x:c r="C1439" s="11" t="n">
        <x:v>46107</x:v>
      </x:c>
      <x:c r="D1439" s="13" t="n">
        <x:v>541.36</x:v>
      </x:c>
    </x:row>
    <x:row r="1440">
      <x:c r="A1440" s="9" t="str">
        <x:v>1436</x:v>
      </x:c>
      <x:c r="B1440" s="9" t="str">
        <x:v>726</x:v>
      </x:c>
      <x:c r="C1440" s="11" t="n">
        <x:v>46108</x:v>
      </x:c>
      <x:c r="D1440" s="13" t="n">
        <x:v>73.99</x:v>
      </x:c>
    </x:row>
    <x:row r="1441">
      <x:c r="A1441" s="9" t="str">
        <x:v>1437</x:v>
      </x:c>
      <x:c r="B1441" s="9" t="str">
        <x:v>726</x:v>
      </x:c>
      <x:c r="C1441" s="11" t="n">
        <x:v>46099</x:v>
      </x:c>
      <x:c r="D1441" s="13" t="n">
        <x:v>503.01</x:v>
      </x:c>
    </x:row>
    <x:row r="1442">
      <x:c r="A1442" s="9" t="str">
        <x:v>1438</x:v>
      </x:c>
      <x:c r="B1442" s="9" t="str">
        <x:v>727</x:v>
      </x:c>
      <x:c r="C1442" s="11" t="n">
        <x:v>46171</x:v>
      </x:c>
      <x:c r="D1442" s="13" t="n">
        <x:v>718.79</x:v>
      </x:c>
    </x:row>
    <x:row r="1443">
      <x:c r="A1443" s="9" t="str">
        <x:v>1439</x:v>
      </x:c>
      <x:c r="B1443" s="9" t="str">
        <x:v>727</x:v>
      </x:c>
      <x:c r="C1443" s="11" t="n">
        <x:v>46202</x:v>
      </x:c>
      <x:c r="D1443" s="13" t="n">
        <x:v>430.36</x:v>
      </x:c>
    </x:row>
    <x:row r="1444">
      <x:c r="A1444" s="9" t="str">
        <x:v>1440</x:v>
      </x:c>
      <x:c r="B1444" s="9" t="str">
        <x:v>727</x:v>
      </x:c>
      <x:c r="C1444" s="11" t="n">
        <x:v>46188</x:v>
      </x:c>
      <x:c r="D1444" s="13" t="n">
        <x:v>464.54</x:v>
      </x:c>
    </x:row>
    <x:row r="1445">
      <x:c r="A1445" s="9" t="str">
        <x:v>1441</x:v>
      </x:c>
      <x:c r="B1445" s="9" t="str">
        <x:v>727</x:v>
      </x:c>
      <x:c r="C1445" s="11" t="n">
        <x:v>46199</x:v>
      </x:c>
      <x:c r="D1445" s="13" t="n">
        <x:v>238.01</x:v>
      </x:c>
    </x:row>
    <x:row r="1446">
      <x:c r="A1446" s="9" t="str">
        <x:v>1442</x:v>
      </x:c>
      <x:c r="B1446" s="9" t="str">
        <x:v>728</x:v>
      </x:c>
      <x:c r="C1446" s="11" t="n">
        <x:v>46183</x:v>
      </x:c>
      <x:c r="D1446" s="13" t="n">
        <x:v>600.83</x:v>
      </x:c>
    </x:row>
    <x:row r="1447">
      <x:c r="A1447" s="9" t="str">
        <x:v>1443</x:v>
      </x:c>
      <x:c r="B1447" s="9" t="str">
        <x:v>728</x:v>
      </x:c>
      <x:c r="C1447" s="11" t="n">
        <x:v>46197</x:v>
      </x:c>
      <x:c r="D1447" s="13" t="n">
        <x:v>716.75</x:v>
      </x:c>
    </x:row>
    <x:row r="1448">
      <x:c r="A1448" s="9" t="str">
        <x:v>1444</x:v>
      </x:c>
      <x:c r="B1448" s="9" t="str">
        <x:v>728</x:v>
      </x:c>
      <x:c r="C1448" s="11" t="n">
        <x:v>46200</x:v>
      </x:c>
      <x:c r="D1448" s="13" t="n">
        <x:v>225.32</x:v>
      </x:c>
    </x:row>
    <x:row r="1449">
      <x:c r="A1449" s="9" t="str">
        <x:v>1445</x:v>
      </x:c>
      <x:c r="B1449" s="9" t="str">
        <x:v>729</x:v>
      </x:c>
      <x:c r="C1449" s="11" t="n">
        <x:v>46183</x:v>
      </x:c>
      <x:c r="D1449" s="13" t="n">
        <x:v>845.86</x:v>
      </x:c>
    </x:row>
    <x:row r="1450">
      <x:c r="A1450" s="9" t="str">
        <x:v>1446</x:v>
      </x:c>
      <x:c r="B1450" s="9" t="str">
        <x:v>729</x:v>
      </x:c>
      <x:c r="C1450" s="11" t="n">
        <x:v>46136</x:v>
      </x:c>
      <x:c r="D1450" s="13" t="n">
        <x:v>741.49</x:v>
      </x:c>
    </x:row>
    <x:row r="1451">
      <x:c r="A1451" s="9" t="str">
        <x:v>1447</x:v>
      </x:c>
      <x:c r="B1451" s="9" t="str">
        <x:v>730</x:v>
      </x:c>
      <x:c r="C1451" s="11" t="n">
        <x:v>46200</x:v>
      </x:c>
      <x:c r="D1451" s="13" t="n">
        <x:v>1447.73</x:v>
      </x:c>
    </x:row>
    <x:row r="1452">
      <x:c r="A1452" s="9" t="str">
        <x:v>1448</x:v>
      </x:c>
      <x:c r="B1452" s="9" t="str">
        <x:v>730</x:v>
      </x:c>
      <x:c r="C1452" s="11" t="n">
        <x:v>46147</x:v>
      </x:c>
      <x:c r="D1452" s="13" t="n">
        <x:v>1045.36</x:v>
      </x:c>
    </x:row>
    <x:row r="1453">
      <x:c r="A1453" s="9" t="str">
        <x:v>1449</x:v>
      </x:c>
      <x:c r="B1453" s="9" t="str">
        <x:v>731</x:v>
      </x:c>
      <x:c r="C1453" s="11" t="n">
        <x:v>46149</x:v>
      </x:c>
      <x:c r="D1453" s="13" t="n">
        <x:v>15.91</x:v>
      </x:c>
    </x:row>
    <x:row r="1454">
      <x:c r="A1454" s="9" t="str">
        <x:v>1450</x:v>
      </x:c>
      <x:c r="B1454" s="9" t="str">
        <x:v>733</x:v>
      </x:c>
      <x:c r="C1454" s="11" t="n">
        <x:v>46174</x:v>
      </x:c>
      <x:c r="D1454" s="13" t="n">
        <x:v>796.99</x:v>
      </x:c>
    </x:row>
    <x:row r="1455">
      <x:c r="A1455" s="9" t="str">
        <x:v>1451</x:v>
      </x:c>
      <x:c r="B1455" s="9" t="str">
        <x:v>733</x:v>
      </x:c>
      <x:c r="C1455" s="11" t="n">
        <x:v>46178</x:v>
      </x:c>
      <x:c r="D1455" s="13" t="n">
        <x:v>1026.45</x:v>
      </x:c>
    </x:row>
    <x:row r="1456">
      <x:c r="A1456" s="9" t="str">
        <x:v>1452</x:v>
      </x:c>
      <x:c r="B1456" s="9" t="str">
        <x:v>733</x:v>
      </x:c>
      <x:c r="C1456" s="11" t="n">
        <x:v>46169</x:v>
      </x:c>
      <x:c r="D1456" s="13" t="n">
        <x:v>556.43</x:v>
      </x:c>
    </x:row>
    <x:row r="1457">
      <x:c r="A1457" s="9" t="str">
        <x:v>1453</x:v>
      </x:c>
      <x:c r="B1457" s="9" t="str">
        <x:v>733</x:v>
      </x:c>
      <x:c r="C1457" s="11" t="n">
        <x:v>46192</x:v>
      </x:c>
      <x:c r="D1457" s="13" t="n">
        <x:v>1133.34</x:v>
      </x:c>
    </x:row>
    <x:row r="1458">
      <x:c r="A1458" s="9" t="str">
        <x:v>1454</x:v>
      </x:c>
      <x:c r="B1458" s="9" t="str">
        <x:v>735</x:v>
      </x:c>
      <x:c r="C1458" s="11" t="n">
        <x:v>46172</x:v>
      </x:c>
      <x:c r="D1458" s="13" t="n">
        <x:v>465.23</x:v>
      </x:c>
    </x:row>
    <x:row r="1459">
      <x:c r="A1459" s="9" t="str">
        <x:v>1455</x:v>
      </x:c>
      <x:c r="B1459" s="9" t="str">
        <x:v>735</x:v>
      </x:c>
      <x:c r="C1459" s="11" t="n">
        <x:v>46181</x:v>
      </x:c>
      <x:c r="D1459" s="13" t="n">
        <x:v>1332.02</x:v>
      </x:c>
    </x:row>
    <x:row r="1460">
      <x:c r="A1460" s="9" t="str">
        <x:v>1456</x:v>
      </x:c>
      <x:c r="B1460" s="9" t="str">
        <x:v>735</x:v>
      </x:c>
      <x:c r="C1460" s="11" t="n">
        <x:v>46122</x:v>
      </x:c>
      <x:c r="D1460" s="13" t="n">
        <x:v>492.6</x:v>
      </x:c>
    </x:row>
    <x:row r="1461">
      <x:c r="A1461" s="9" t="str">
        <x:v>1457</x:v>
      </x:c>
      <x:c r="B1461" s="9" t="str">
        <x:v>736</x:v>
      </x:c>
      <x:c r="C1461" s="11" t="n">
        <x:v>46182</x:v>
      </x:c>
      <x:c r="D1461" s="13" t="n">
        <x:v>80.96</x:v>
      </x:c>
    </x:row>
    <x:row r="1462">
      <x:c r="A1462" s="9" t="str">
        <x:v>1458</x:v>
      </x:c>
      <x:c r="B1462" s="9" t="str">
        <x:v>736</x:v>
      </x:c>
      <x:c r="C1462" s="11" t="n">
        <x:v>46149</x:v>
      </x:c>
      <x:c r="D1462" s="13" t="n">
        <x:v>144.54</x:v>
      </x:c>
    </x:row>
    <x:row r="1463">
      <x:c r="A1463" s="9" t="str">
        <x:v>1459</x:v>
      </x:c>
      <x:c r="B1463" s="9" t="str">
        <x:v>736</x:v>
      </x:c>
      <x:c r="C1463" s="11" t="n">
        <x:v>46186</x:v>
      </x:c>
      <x:c r="D1463" s="13" t="n">
        <x:v>13.37</x:v>
      </x:c>
    </x:row>
    <x:row r="1464">
      <x:c r="A1464" s="9" t="str">
        <x:v>1460</x:v>
      </x:c>
      <x:c r="B1464" s="9" t="str">
        <x:v>737</x:v>
      </x:c>
      <x:c r="C1464" s="11" t="n">
        <x:v>46188</x:v>
      </x:c>
      <x:c r="D1464" s="13" t="n">
        <x:v>1837.48</x:v>
      </x:c>
    </x:row>
    <x:row r="1465">
      <x:c r="A1465" s="9" t="str">
        <x:v>1461</x:v>
      </x:c>
      <x:c r="B1465" s="9" t="str">
        <x:v>737</x:v>
      </x:c>
      <x:c r="C1465" s="11" t="n">
        <x:v>46203</x:v>
      </x:c>
      <x:c r="D1465" s="13" t="n">
        <x:v>1027.58</x:v>
      </x:c>
    </x:row>
    <x:row r="1466">
      <x:c r="A1466" s="9" t="str">
        <x:v>1462</x:v>
      </x:c>
      <x:c r="B1466" s="9" t="str">
        <x:v>739</x:v>
      </x:c>
      <x:c r="C1466" s="11" t="n">
        <x:v>46168</x:v>
      </x:c>
      <x:c r="D1466" s="13" t="n">
        <x:v>490.6</x:v>
      </x:c>
    </x:row>
    <x:row r="1467">
      <x:c r="A1467" s="9" t="str">
        <x:v>1463</x:v>
      </x:c>
      <x:c r="B1467" s="9" t="str">
        <x:v>739</x:v>
      </x:c>
      <x:c r="C1467" s="11" t="n">
        <x:v>46192</x:v>
      </x:c>
      <x:c r="D1467" s="13" t="n">
        <x:v>36.91</x:v>
      </x:c>
    </x:row>
    <x:row r="1468">
      <x:c r="A1468" s="9" t="str">
        <x:v>1464</x:v>
      </x:c>
      <x:c r="B1468" s="9" t="str">
        <x:v>739</x:v>
      </x:c>
      <x:c r="C1468" s="11" t="n">
        <x:v>46197</x:v>
      </x:c>
      <x:c r="D1468" s="13" t="n">
        <x:v>492.72</x:v>
      </x:c>
    </x:row>
    <x:row r="1469">
      <x:c r="A1469" s="9" t="str">
        <x:v>1465</x:v>
      </x:c>
      <x:c r="B1469" s="9" t="str">
        <x:v>741</x:v>
      </x:c>
      <x:c r="C1469" s="11" t="n">
        <x:v>46117</x:v>
      </x:c>
      <x:c r="D1469" s="13" t="n">
        <x:v>327.22</x:v>
      </x:c>
    </x:row>
    <x:row r="1470">
      <x:c r="A1470" s="9" t="str">
        <x:v>1466</x:v>
      </x:c>
      <x:c r="B1470" s="9" t="str">
        <x:v>743</x:v>
      </x:c>
      <x:c r="C1470" s="11" t="n">
        <x:v>46169</x:v>
      </x:c>
      <x:c r="D1470" s="13" t="n">
        <x:v>24.67</x:v>
      </x:c>
    </x:row>
    <x:row r="1471">
      <x:c r="A1471" s="9" t="str">
        <x:v>1467</x:v>
      </x:c>
      <x:c r="B1471" s="9" t="str">
        <x:v>743</x:v>
      </x:c>
      <x:c r="C1471" s="11" t="n">
        <x:v>46077</x:v>
      </x:c>
      <x:c r="D1471" s="13" t="n">
        <x:v>88.63</x:v>
      </x:c>
    </x:row>
    <x:row r="1472">
      <x:c r="A1472" s="9" t="str">
        <x:v>1468</x:v>
      </x:c>
      <x:c r="B1472" s="9" t="str">
        <x:v>743</x:v>
      </x:c>
      <x:c r="C1472" s="11" t="n">
        <x:v>46142</x:v>
      </x:c>
      <x:c r="D1472" s="13" t="n">
        <x:v>157.78</x:v>
      </x:c>
    </x:row>
    <x:row r="1473">
      <x:c r="A1473" s="9" t="str">
        <x:v>1469</x:v>
      </x:c>
      <x:c r="B1473" s="9" t="str">
        <x:v>744</x:v>
      </x:c>
      <x:c r="C1473" s="11" t="n">
        <x:v>46199</x:v>
      </x:c>
      <x:c r="D1473" s="13" t="n">
        <x:v>390.58</x:v>
      </x:c>
    </x:row>
    <x:row r="1474">
      <x:c r="A1474" s="9" t="str">
        <x:v>1470</x:v>
      </x:c>
      <x:c r="B1474" s="9" t="str">
        <x:v>744</x:v>
      </x:c>
      <x:c r="C1474" s="11" t="n">
        <x:v>46118</x:v>
      </x:c>
      <x:c r="D1474" s="13" t="n">
        <x:v>873.67</x:v>
      </x:c>
    </x:row>
    <x:row r="1475">
      <x:c r="A1475" s="9" t="str">
        <x:v>1471</x:v>
      </x:c>
      <x:c r="B1475" s="9" t="str">
        <x:v>744</x:v>
      </x:c>
      <x:c r="C1475" s="11" t="n">
        <x:v>46147</x:v>
      </x:c>
      <x:c r="D1475" s="13" t="n">
        <x:v>2177.97</x:v>
      </x:c>
    </x:row>
    <x:row r="1476">
      <x:c r="A1476" s="9" t="str">
        <x:v>1472</x:v>
      </x:c>
      <x:c r="B1476" s="9" t="str">
        <x:v>744</x:v>
      </x:c>
      <x:c r="C1476" s="11" t="n">
        <x:v>46122</x:v>
      </x:c>
      <x:c r="D1476" s="13" t="n">
        <x:v>1191.44</x:v>
      </x:c>
    </x:row>
    <x:row r="1477">
      <x:c r="A1477" s="9" t="str">
        <x:v>1473</x:v>
      </x:c>
      <x:c r="B1477" s="9" t="str">
        <x:v>745</x:v>
      </x:c>
      <x:c r="C1477" s="11" t="n">
        <x:v>46171</x:v>
      </x:c>
      <x:c r="D1477" s="13" t="n">
        <x:v>1376.44</x:v>
      </x:c>
    </x:row>
    <x:row r="1478">
      <x:c r="A1478" s="9" t="str">
        <x:v>1474</x:v>
      </x:c>
      <x:c r="B1478" s="9" t="str">
        <x:v>745</x:v>
      </x:c>
      <x:c r="C1478" s="11" t="n">
        <x:v>46202</x:v>
      </x:c>
      <x:c r="D1478" s="13" t="n">
        <x:v>1313.2</x:v>
      </x:c>
    </x:row>
    <x:row r="1479">
      <x:c r="A1479" s="9" t="str">
        <x:v>1475</x:v>
      </x:c>
      <x:c r="B1479" s="9" t="str">
        <x:v>745</x:v>
      </x:c>
      <x:c r="C1479" s="11" t="n">
        <x:v>46180</x:v>
      </x:c>
      <x:c r="D1479" s="13" t="n">
        <x:v>206.75</x:v>
      </x:c>
    </x:row>
    <x:row r="1480">
      <x:c r="A1480" s="9" t="str">
        <x:v>1476</x:v>
      </x:c>
      <x:c r="B1480" s="9" t="str">
        <x:v>745</x:v>
      </x:c>
      <x:c r="C1480" s="11" t="n">
        <x:v>46154</x:v>
      </x:c>
      <x:c r="D1480" s="13" t="n">
        <x:v>1582.39</x:v>
      </x:c>
    </x:row>
    <x:row r="1481">
      <x:c r="A1481" s="9" t="str">
        <x:v>1477</x:v>
      </x:c>
      <x:c r="B1481" s="9" t="str">
        <x:v>746</x:v>
      </x:c>
      <x:c r="C1481" s="11" t="n">
        <x:v>46175</x:v>
      </x:c>
      <x:c r="D1481" s="13" t="n">
        <x:v>1241.84</x:v>
      </x:c>
    </x:row>
    <x:row r="1482">
      <x:c r="A1482" s="9" t="str">
        <x:v>1478</x:v>
      </x:c>
      <x:c r="B1482" s="9" t="str">
        <x:v>746</x:v>
      </x:c>
      <x:c r="C1482" s="11" t="n">
        <x:v>46159</x:v>
      </x:c>
      <x:c r="D1482" s="13" t="n">
        <x:v>1288.7</x:v>
      </x:c>
    </x:row>
    <x:row r="1483">
      <x:c r="A1483" s="9" t="str">
        <x:v>1479</x:v>
      </x:c>
      <x:c r="B1483" s="9" t="str">
        <x:v>747</x:v>
      </x:c>
      <x:c r="C1483" s="11" t="n">
        <x:v>46166</x:v>
      </x:c>
      <x:c r="D1483" s="13" t="n">
        <x:v>751.88</x:v>
      </x:c>
    </x:row>
    <x:row r="1484">
      <x:c r="A1484" s="9" t="str">
        <x:v>1480</x:v>
      </x:c>
      <x:c r="B1484" s="9" t="str">
        <x:v>748</x:v>
      </x:c>
      <x:c r="C1484" s="11" t="n">
        <x:v>46140</x:v>
      </x:c>
      <x:c r="D1484" s="13" t="n">
        <x:v>1459.4</x:v>
      </x:c>
    </x:row>
    <x:row r="1485">
      <x:c r="A1485" s="9" t="str">
        <x:v>1481</x:v>
      </x:c>
      <x:c r="B1485" s="9" t="str">
        <x:v>748</x:v>
      </x:c>
      <x:c r="C1485" s="11" t="n">
        <x:v>46176</x:v>
      </x:c>
      <x:c r="D1485" s="13" t="n">
        <x:v>545.99</x:v>
      </x:c>
    </x:row>
    <x:row r="1486">
      <x:c r="A1486" s="9" t="str">
        <x:v>1482</x:v>
      </x:c>
      <x:c r="B1486" s="9" t="str">
        <x:v>748</x:v>
      </x:c>
      <x:c r="C1486" s="11" t="n">
        <x:v>46191</x:v>
      </x:c>
      <x:c r="D1486" s="13" t="n">
        <x:v>1535.02</x:v>
      </x:c>
    </x:row>
    <x:row r="1487">
      <x:c r="A1487" s="9" t="str">
        <x:v>1483</x:v>
      </x:c>
      <x:c r="B1487" s="9" t="str">
        <x:v>748</x:v>
      </x:c>
      <x:c r="C1487" s="11" t="n">
        <x:v>46088</x:v>
      </x:c>
      <x:c r="D1487" s="13" t="n">
        <x:v>464.59</x:v>
      </x:c>
    </x:row>
    <x:row r="1488">
      <x:c r="A1488" s="9" t="str">
        <x:v>1484</x:v>
      </x:c>
      <x:c r="B1488" s="9" t="str">
        <x:v>749</x:v>
      </x:c>
      <x:c r="C1488" s="11" t="n">
        <x:v>46124</x:v>
      </x:c>
      <x:c r="D1488" s="13" t="n">
        <x:v>387.75</x:v>
      </x:c>
    </x:row>
    <x:row r="1489">
      <x:c r="A1489" s="9" t="str">
        <x:v>1485</x:v>
      </x:c>
      <x:c r="B1489" s="9" t="str">
        <x:v>749</x:v>
      </x:c>
      <x:c r="C1489" s="11" t="n">
        <x:v>46140</x:v>
      </x:c>
      <x:c r="D1489" s="13" t="n">
        <x:v>662.36</x:v>
      </x:c>
    </x:row>
    <x:row r="1490">
      <x:c r="A1490" s="9" t="str">
        <x:v>1486</x:v>
      </x:c>
      <x:c r="B1490" s="9" t="str">
        <x:v>750</x:v>
      </x:c>
      <x:c r="C1490" s="11" t="n">
        <x:v>46156</x:v>
      </x:c>
      <x:c r="D1490" s="13" t="n">
        <x:v>88.27</x:v>
      </x:c>
    </x:row>
    <x:row r="1491">
      <x:c r="A1491" s="9" t="str">
        <x:v>1487</x:v>
      </x:c>
      <x:c r="B1491" s="9" t="str">
        <x:v>750</x:v>
      </x:c>
      <x:c r="C1491" s="11" t="n">
        <x:v>46155</x:v>
      </x:c>
      <x:c r="D1491" s="13" t="n">
        <x:v>128.68</x:v>
      </x:c>
    </x:row>
    <x:row r="1492">
      <x:c r="A1492" s="9" t="str">
        <x:v>1488</x:v>
      </x:c>
      <x:c r="B1492" s="9" t="str">
        <x:v>752</x:v>
      </x:c>
      <x:c r="C1492" s="11" t="n">
        <x:v>46173</x:v>
      </x:c>
      <x:c r="D1492" s="13" t="n">
        <x:v>542.52</x:v>
      </x:c>
    </x:row>
    <x:row r="1493">
      <x:c r="A1493" s="9" t="str">
        <x:v>1489</x:v>
      </x:c>
      <x:c r="B1493" s="9" t="str">
        <x:v>752</x:v>
      </x:c>
      <x:c r="C1493" s="11" t="n">
        <x:v>46177</x:v>
      </x:c>
      <x:c r="D1493" s="13" t="n">
        <x:v>430.46</x:v>
      </x:c>
    </x:row>
    <x:row r="1494">
      <x:c r="A1494" s="9" t="str">
        <x:v>1490</x:v>
      </x:c>
      <x:c r="B1494" s="9" t="str">
        <x:v>752</x:v>
      </x:c>
      <x:c r="C1494" s="11" t="n">
        <x:v>46189</x:v>
      </x:c>
      <x:c r="D1494" s="13" t="n">
        <x:v>1507.47</x:v>
      </x:c>
    </x:row>
    <x:row r="1495">
      <x:c r="A1495" s="9" t="str">
        <x:v>1491</x:v>
      </x:c>
      <x:c r="B1495" s="9" t="str">
        <x:v>754</x:v>
      </x:c>
      <x:c r="C1495" s="11" t="n">
        <x:v>46123</x:v>
      </x:c>
      <x:c r="D1495" s="13" t="n">
        <x:v>1087.25</x:v>
      </x:c>
    </x:row>
    <x:row r="1496">
      <x:c r="A1496" s="9" t="str">
        <x:v>1492</x:v>
      </x:c>
      <x:c r="B1496" s="9" t="str">
        <x:v>754</x:v>
      </x:c>
      <x:c r="C1496" s="11" t="n">
        <x:v>46047</x:v>
      </x:c>
      <x:c r="D1496" s="13" t="n">
        <x:v>767.67</x:v>
      </x:c>
    </x:row>
    <x:row r="1497">
      <x:c r="A1497" s="9" t="str">
        <x:v>1493</x:v>
      </x:c>
      <x:c r="B1497" s="9" t="str">
        <x:v>754</x:v>
      </x:c>
      <x:c r="C1497" s="11" t="n">
        <x:v>46071</x:v>
      </x:c>
      <x:c r="D1497" s="13" t="n">
        <x:v>1990.04</x:v>
      </x:c>
    </x:row>
    <x:row r="1498">
      <x:c r="A1498" s="9" t="str">
        <x:v>1494</x:v>
      </x:c>
      <x:c r="B1498" s="9" t="str">
        <x:v>755</x:v>
      </x:c>
      <x:c r="C1498" s="11" t="n">
        <x:v>46131</x:v>
      </x:c>
      <x:c r="D1498" s="13" t="n">
        <x:v>236.21</x:v>
      </x:c>
    </x:row>
    <x:row r="1499">
      <x:c r="A1499" s="9" t="str">
        <x:v>1495</x:v>
      </x:c>
      <x:c r="B1499" s="9" t="str">
        <x:v>755</x:v>
      </x:c>
      <x:c r="C1499" s="11" t="n">
        <x:v>46087</x:v>
      </x:c>
      <x:c r="D1499" s="13" t="n">
        <x:v>259.67</x:v>
      </x:c>
    </x:row>
    <x:row r="1500">
      <x:c r="A1500" s="9" t="str">
        <x:v>1496</x:v>
      </x:c>
      <x:c r="B1500" s="9" t="str">
        <x:v>755</x:v>
      </x:c>
      <x:c r="C1500" s="11" t="n">
        <x:v>46140</x:v>
      </x:c>
      <x:c r="D1500" s="13" t="n">
        <x:v>331.75</x:v>
      </x:c>
    </x:row>
    <x:row r="1501">
      <x:c r="A1501" s="9" t="str">
        <x:v>1497</x:v>
      </x:c>
      <x:c r="B1501" s="9" t="str">
        <x:v>755</x:v>
      </x:c>
      <x:c r="C1501" s="11" t="n">
        <x:v>46201</x:v>
      </x:c>
      <x:c r="D1501" s="13" t="n">
        <x:v>301.84</x:v>
      </x:c>
    </x:row>
    <x:row r="1502">
      <x:c r="A1502" s="9" t="str">
        <x:v>1498</x:v>
      </x:c>
      <x:c r="B1502" s="9" t="str">
        <x:v>757</x:v>
      </x:c>
      <x:c r="C1502" s="11" t="n">
        <x:v>46105</x:v>
      </x:c>
      <x:c r="D1502" s="13" t="n">
        <x:v>202.12</x:v>
      </x:c>
    </x:row>
    <x:row r="1503">
      <x:c r="A1503" s="9" t="str">
        <x:v>1499</x:v>
      </x:c>
      <x:c r="B1503" s="9" t="str">
        <x:v>758</x:v>
      </x:c>
      <x:c r="C1503" s="11" t="n">
        <x:v>46072</x:v>
      </x:c>
      <x:c r="D1503" s="13" t="n">
        <x:v>629.3</x:v>
      </x:c>
    </x:row>
    <x:row r="1504">
      <x:c r="A1504" s="9" t="str">
        <x:v>1500</x:v>
      </x:c>
      <x:c r="B1504" s="9" t="str">
        <x:v>759</x:v>
      </x:c>
      <x:c r="C1504" s="11" t="n">
        <x:v>46156</x:v>
      </x:c>
      <x:c r="D1504" s="13" t="n">
        <x:v>989.4</x:v>
      </x:c>
    </x:row>
    <x:row r="1505">
      <x:c r="A1505" s="9" t="str">
        <x:v>1501</x:v>
      </x:c>
      <x:c r="B1505" s="9" t="str">
        <x:v>759</x:v>
      </x:c>
      <x:c r="C1505" s="11" t="n">
        <x:v>46161</x:v>
      </x:c>
      <x:c r="D1505" s="13" t="n">
        <x:v>55.85</x:v>
      </x:c>
    </x:row>
    <x:row r="1506">
      <x:c r="A1506" s="9" t="str">
        <x:v>1502</x:v>
      </x:c>
      <x:c r="B1506" s="9" t="str">
        <x:v>759</x:v>
      </x:c>
      <x:c r="C1506" s="11" t="n">
        <x:v>46190</x:v>
      </x:c>
      <x:c r="D1506" s="13" t="n">
        <x:v>910.69</x:v>
      </x:c>
    </x:row>
    <x:row r="1507">
      <x:c r="A1507" s="9" t="str">
        <x:v>1503</x:v>
      </x:c>
      <x:c r="B1507" s="9" t="str">
        <x:v>759</x:v>
      </x:c>
      <x:c r="C1507" s="11" t="n">
        <x:v>46173</x:v>
      </x:c>
      <x:c r="D1507" s="13" t="n">
        <x:v>1437.83</x:v>
      </x:c>
    </x:row>
    <x:row r="1508">
      <x:c r="A1508" s="9" t="str">
        <x:v>1504</x:v>
      </x:c>
      <x:c r="B1508" s="9" t="str">
        <x:v>760</x:v>
      </x:c>
      <x:c r="C1508" s="11" t="n">
        <x:v>46181</x:v>
      </x:c>
      <x:c r="D1508" s="13" t="n">
        <x:v>263.46</x:v>
      </x:c>
    </x:row>
    <x:row r="1509">
      <x:c r="A1509" s="9" t="str">
        <x:v>1505</x:v>
      </x:c>
      <x:c r="B1509" s="9" t="str">
        <x:v>761</x:v>
      </x:c>
      <x:c r="C1509" s="11" t="n">
        <x:v>46184</x:v>
      </x:c>
      <x:c r="D1509" s="13" t="n">
        <x:v>298.03</x:v>
      </x:c>
    </x:row>
    <x:row r="1510">
      <x:c r="A1510" s="9" t="str">
        <x:v>1506</x:v>
      </x:c>
      <x:c r="B1510" s="9" t="str">
        <x:v>762</x:v>
      </x:c>
      <x:c r="C1510" s="11" t="n">
        <x:v>46165</x:v>
      </x:c>
      <x:c r="D1510" s="13" t="n">
        <x:v>1452.61</x:v>
      </x:c>
    </x:row>
    <x:row r="1511">
      <x:c r="A1511" s="9" t="str">
        <x:v>1507</x:v>
      </x:c>
      <x:c r="B1511" s="9" t="str">
        <x:v>762</x:v>
      </x:c>
      <x:c r="C1511" s="11" t="n">
        <x:v>46147</x:v>
      </x:c>
      <x:c r="D1511" s="13" t="n">
        <x:v>1913.78</x:v>
      </x:c>
    </x:row>
    <x:row r="1512">
      <x:c r="A1512" s="9" t="str">
        <x:v>1508</x:v>
      </x:c>
      <x:c r="B1512" s="9" t="str">
        <x:v>762</x:v>
      </x:c>
      <x:c r="C1512" s="11" t="n">
        <x:v>46163</x:v>
      </x:c>
      <x:c r="D1512" s="13" t="n">
        <x:v>2339.91</x:v>
      </x:c>
    </x:row>
    <x:row r="1513">
      <x:c r="A1513" s="9" t="str">
        <x:v>1509</x:v>
      </x:c>
      <x:c r="B1513" s="9" t="str">
        <x:v>763</x:v>
      </x:c>
      <x:c r="C1513" s="11" t="n">
        <x:v>46186</x:v>
      </x:c>
      <x:c r="D1513" s="13" t="n">
        <x:v>161.43</x:v>
      </x:c>
    </x:row>
    <x:row r="1514">
      <x:c r="A1514" s="9" t="str">
        <x:v>1510</x:v>
      </x:c>
      <x:c r="B1514" s="9" t="str">
        <x:v>763</x:v>
      </x:c>
      <x:c r="C1514" s="11" t="n">
        <x:v>46129</x:v>
      </x:c>
      <x:c r="D1514" s="13" t="n">
        <x:v>550.55</x:v>
      </x:c>
    </x:row>
    <x:row r="1515">
      <x:c r="A1515" s="9" t="str">
        <x:v>1511</x:v>
      </x:c>
      <x:c r="B1515" s="9" t="str">
        <x:v>764</x:v>
      </x:c>
      <x:c r="C1515" s="11" t="n">
        <x:v>46132</x:v>
      </x:c>
      <x:c r="D1515" s="13" t="n">
        <x:v>1160.88</x:v>
      </x:c>
    </x:row>
    <x:row r="1516">
      <x:c r="A1516" s="9" t="str">
        <x:v>1512</x:v>
      </x:c>
      <x:c r="B1516" s="9" t="str">
        <x:v>765</x:v>
      </x:c>
      <x:c r="C1516" s="11" t="n">
        <x:v>46157</x:v>
      </x:c>
      <x:c r="D1516" s="13" t="n">
        <x:v>780.57</x:v>
      </x:c>
    </x:row>
    <x:row r="1517">
      <x:c r="A1517" s="9" t="str">
        <x:v>1513</x:v>
      </x:c>
      <x:c r="B1517" s="9" t="str">
        <x:v>765</x:v>
      </x:c>
      <x:c r="C1517" s="11" t="n">
        <x:v>46177</x:v>
      </x:c>
      <x:c r="D1517" s="13" t="n">
        <x:v>2162.44</x:v>
      </x:c>
    </x:row>
    <x:row r="1518">
      <x:c r="A1518" s="9" t="str">
        <x:v>1514</x:v>
      </x:c>
      <x:c r="B1518" s="9" t="str">
        <x:v>765</x:v>
      </x:c>
      <x:c r="C1518" s="11" t="n">
        <x:v>46173</x:v>
      </x:c>
      <x:c r="D1518" s="13" t="n">
        <x:v>1456</x:v>
      </x:c>
    </x:row>
    <x:row r="1519">
      <x:c r="A1519" s="9" t="str">
        <x:v>1515</x:v>
      </x:c>
      <x:c r="B1519" s="9" t="str">
        <x:v>765</x:v>
      </x:c>
      <x:c r="C1519" s="11" t="n">
        <x:v>46173</x:v>
      </x:c>
      <x:c r="D1519" s="13" t="n">
        <x:v>116.23</x:v>
      </x:c>
    </x:row>
    <x:row r="1520">
      <x:c r="A1520" s="9" t="str">
        <x:v>1516</x:v>
      </x:c>
      <x:c r="B1520" s="9" t="str">
        <x:v>766</x:v>
      </x:c>
      <x:c r="C1520" s="11" t="n">
        <x:v>46109</x:v>
      </x:c>
      <x:c r="D1520" s="13" t="n">
        <x:v>1423.52</x:v>
      </x:c>
    </x:row>
    <x:row r="1521">
      <x:c r="A1521" s="9" t="str">
        <x:v>1517</x:v>
      </x:c>
      <x:c r="B1521" s="9" t="str">
        <x:v>767</x:v>
      </x:c>
      <x:c r="C1521" s="11" t="n">
        <x:v>46174</x:v>
      </x:c>
      <x:c r="D1521" s="13" t="n">
        <x:v>538.76</x:v>
      </x:c>
    </x:row>
    <x:row r="1522">
      <x:c r="A1522" s="9" t="str">
        <x:v>1518</x:v>
      </x:c>
      <x:c r="B1522" s="9" t="str">
        <x:v>767</x:v>
      </x:c>
      <x:c r="C1522" s="11" t="n">
        <x:v>46192</x:v>
      </x:c>
      <x:c r="D1522" s="13" t="n">
        <x:v>1056.62</x:v>
      </x:c>
    </x:row>
    <x:row r="1523">
      <x:c r="A1523" s="9" t="str">
        <x:v>1519</x:v>
      </x:c>
      <x:c r="B1523" s="9" t="str">
        <x:v>767</x:v>
      </x:c>
      <x:c r="C1523" s="11" t="n">
        <x:v>46175</x:v>
      </x:c>
      <x:c r="D1523" s="13" t="n">
        <x:v>613.31</x:v>
      </x:c>
    </x:row>
    <x:row r="1524">
      <x:c r="A1524" s="9" t="str">
        <x:v>1520</x:v>
      </x:c>
      <x:c r="B1524" s="9" t="str">
        <x:v>768</x:v>
      </x:c>
      <x:c r="C1524" s="11" t="n">
        <x:v>46191</x:v>
      </x:c>
      <x:c r="D1524" s="13" t="n">
        <x:v>1740.94</x:v>
      </x:c>
    </x:row>
    <x:row r="1525">
      <x:c r="A1525" s="9" t="str">
        <x:v>1521</x:v>
      </x:c>
      <x:c r="B1525" s="9" t="str">
        <x:v>768</x:v>
      </x:c>
      <x:c r="C1525" s="11" t="n">
        <x:v>46172</x:v>
      </x:c>
      <x:c r="D1525" s="13" t="n">
        <x:v>1410.4</x:v>
      </x:c>
    </x:row>
    <x:row r="1526">
      <x:c r="A1526" s="9" t="str">
        <x:v>1522</x:v>
      </x:c>
      <x:c r="B1526" s="9" t="str">
        <x:v>768</x:v>
      </x:c>
      <x:c r="C1526" s="11" t="n">
        <x:v>46175</x:v>
      </x:c>
      <x:c r="D1526" s="13" t="n">
        <x:v>755.59</x:v>
      </x:c>
    </x:row>
    <x:row r="1527">
      <x:c r="A1527" s="9" t="str">
        <x:v>1523</x:v>
      </x:c>
      <x:c r="B1527" s="9" t="str">
        <x:v>770</x:v>
      </x:c>
      <x:c r="C1527" s="11" t="n">
        <x:v>46077</x:v>
      </x:c>
      <x:c r="D1527" s="13" t="n">
        <x:v>11.48</x:v>
      </x:c>
    </x:row>
    <x:row r="1528">
      <x:c r="A1528" s="9" t="str">
        <x:v>1524</x:v>
      </x:c>
      <x:c r="B1528" s="9" t="str">
        <x:v>772</x:v>
      </x:c>
      <x:c r="C1528" s="11" t="n">
        <x:v>46134</x:v>
      </x:c>
      <x:c r="D1528" s="13" t="n">
        <x:v>1296.06</x:v>
      </x:c>
    </x:row>
    <x:row r="1529">
      <x:c r="A1529" s="9" t="str">
        <x:v>1525</x:v>
      </x:c>
      <x:c r="B1529" s="9" t="str">
        <x:v>772</x:v>
      </x:c>
      <x:c r="C1529" s="11" t="n">
        <x:v>46161</x:v>
      </x:c>
      <x:c r="D1529" s="13" t="n">
        <x:v>126.52</x:v>
      </x:c>
    </x:row>
    <x:row r="1530">
      <x:c r="A1530" s="9" t="str">
        <x:v>1526</x:v>
      </x:c>
      <x:c r="B1530" s="9" t="str">
        <x:v>772</x:v>
      </x:c>
      <x:c r="C1530" s="11" t="n">
        <x:v>46140</x:v>
      </x:c>
      <x:c r="D1530" s="13" t="n">
        <x:v>2544.38</x:v>
      </x:c>
    </x:row>
    <x:row r="1531">
      <x:c r="A1531" s="9" t="str">
        <x:v>1527</x:v>
      </x:c>
      <x:c r="B1531" s="9" t="str">
        <x:v>772</x:v>
      </x:c>
      <x:c r="C1531" s="11" t="n">
        <x:v>46171</x:v>
      </x:c>
      <x:c r="D1531" s="13" t="n">
        <x:v>1730.47</x:v>
      </x:c>
    </x:row>
    <x:row r="1532">
      <x:c r="A1532" s="9" t="str">
        <x:v>1528</x:v>
      </x:c>
      <x:c r="B1532" s="9" t="str">
        <x:v>773</x:v>
      </x:c>
      <x:c r="C1532" s="11" t="n">
        <x:v>46099</x:v>
      </x:c>
      <x:c r="D1532" s="13" t="n">
        <x:v>2444.51</x:v>
      </x:c>
    </x:row>
    <x:row r="1533">
      <x:c r="A1533" s="9" t="str">
        <x:v>1529</x:v>
      </x:c>
      <x:c r="B1533" s="9" t="str">
        <x:v>775</x:v>
      </x:c>
      <x:c r="C1533" s="11" t="n">
        <x:v>46148</x:v>
      </x:c>
      <x:c r="D1533" s="13" t="n">
        <x:v>495.46</x:v>
      </x:c>
    </x:row>
    <x:row r="1534">
      <x:c r="A1534" s="9" t="str">
        <x:v>1530</x:v>
      </x:c>
      <x:c r="B1534" s="9" t="str">
        <x:v>775</x:v>
      </x:c>
      <x:c r="C1534" s="11" t="n">
        <x:v>46163</x:v>
      </x:c>
      <x:c r="D1534" s="13" t="n">
        <x:v>413.71</x:v>
      </x:c>
    </x:row>
    <x:row r="1535">
      <x:c r="A1535" s="9" t="str">
        <x:v>1531</x:v>
      </x:c>
      <x:c r="B1535" s="9" t="str">
        <x:v>777</x:v>
      </x:c>
      <x:c r="C1535" s="11" t="n">
        <x:v>46102</x:v>
      </x:c>
      <x:c r="D1535" s="13" t="n">
        <x:v>239.42</x:v>
      </x:c>
    </x:row>
    <x:row r="1536">
      <x:c r="A1536" s="9" t="str">
        <x:v>1532</x:v>
      </x:c>
      <x:c r="B1536" s="9" t="str">
        <x:v>777</x:v>
      </x:c>
      <x:c r="C1536" s="11" t="n">
        <x:v>46136</x:v>
      </x:c>
      <x:c r="D1536" s="13" t="n">
        <x:v>443.11</x:v>
      </x:c>
    </x:row>
    <x:row r="1537">
      <x:c r="A1537" s="9" t="str">
        <x:v>1533</x:v>
      </x:c>
      <x:c r="B1537" s="9" t="str">
        <x:v>777</x:v>
      </x:c>
      <x:c r="C1537" s="11" t="n">
        <x:v>46109</x:v>
      </x:c>
      <x:c r="D1537" s="13" t="n">
        <x:v>875.44</x:v>
      </x:c>
    </x:row>
    <x:row r="1538">
      <x:c r="A1538" s="9" t="str">
        <x:v>1534</x:v>
      </x:c>
      <x:c r="B1538" s="9" t="str">
        <x:v>777</x:v>
      </x:c>
      <x:c r="C1538" s="11" t="n">
        <x:v>46171</x:v>
      </x:c>
      <x:c r="D1538" s="13" t="n">
        <x:v>112.08</x:v>
      </x:c>
    </x:row>
    <x:row r="1539">
      <x:c r="A1539" s="9" t="str">
        <x:v>1535</x:v>
      </x:c>
      <x:c r="B1539" s="9" t="str">
        <x:v>778</x:v>
      </x:c>
      <x:c r="C1539" s="11" t="n">
        <x:v>46146</x:v>
      </x:c>
      <x:c r="D1539" s="13" t="n">
        <x:v>787.74</x:v>
      </x:c>
    </x:row>
    <x:row r="1540">
      <x:c r="A1540" s="9" t="str">
        <x:v>1536</x:v>
      </x:c>
      <x:c r="B1540" s="9" t="str">
        <x:v>778</x:v>
      </x:c>
      <x:c r="C1540" s="11" t="n">
        <x:v>46090</x:v>
      </x:c>
      <x:c r="D1540" s="13" t="n">
        <x:v>816.66</x:v>
      </x:c>
    </x:row>
    <x:row r="1541">
      <x:c r="A1541" s="9" t="str">
        <x:v>1537</x:v>
      </x:c>
      <x:c r="B1541" s="9" t="str">
        <x:v>779</x:v>
      </x:c>
      <x:c r="C1541" s="11" t="n">
        <x:v>46122</x:v>
      </x:c>
      <x:c r="D1541" s="13" t="n">
        <x:v>1196.22</x:v>
      </x:c>
    </x:row>
    <x:row r="1542">
      <x:c r="A1542" s="9" t="str">
        <x:v>1538</x:v>
      </x:c>
      <x:c r="B1542" s="9" t="str">
        <x:v>779</x:v>
      </x:c>
      <x:c r="C1542" s="11" t="n">
        <x:v>46109</x:v>
      </x:c>
      <x:c r="D1542" s="13" t="n">
        <x:v>1343.98</x:v>
      </x:c>
    </x:row>
    <x:row r="1543">
      <x:c r="A1543" s="9" t="str">
        <x:v>1539</x:v>
      </x:c>
      <x:c r="B1543" s="9" t="str">
        <x:v>779</x:v>
      </x:c>
      <x:c r="C1543" s="11" t="n">
        <x:v>46198</x:v>
      </x:c>
      <x:c r="D1543" s="13" t="n">
        <x:v>779.79</x:v>
      </x:c>
    </x:row>
    <x:row r="1544">
      <x:c r="A1544" s="9" t="str">
        <x:v>1540</x:v>
      </x:c>
      <x:c r="B1544" s="9" t="str">
        <x:v>780</x:v>
      </x:c>
      <x:c r="C1544" s="11" t="n">
        <x:v>46125</x:v>
      </x:c>
      <x:c r="D1544" s="13" t="n">
        <x:v>106.26</x:v>
      </x:c>
    </x:row>
    <x:row r="1545">
      <x:c r="A1545" s="9" t="str">
        <x:v>1541</x:v>
      </x:c>
      <x:c r="B1545" s="9" t="str">
        <x:v>781</x:v>
      </x:c>
      <x:c r="C1545" s="11" t="n">
        <x:v>46125</x:v>
      </x:c>
      <x:c r="D1545" s="13" t="n">
        <x:v>1034.44</x:v>
      </x:c>
    </x:row>
    <x:row r="1546">
      <x:c r="A1546" s="9" t="str">
        <x:v>1542</x:v>
      </x:c>
      <x:c r="B1546" s="9" t="str">
        <x:v>782</x:v>
      </x:c>
      <x:c r="C1546" s="11" t="n">
        <x:v>46129</x:v>
      </x:c>
      <x:c r="D1546" s="13" t="n">
        <x:v>1844.62</x:v>
      </x:c>
    </x:row>
    <x:row r="1547">
      <x:c r="A1547" s="9" t="str">
        <x:v>1543</x:v>
      </x:c>
      <x:c r="B1547" s="9" t="str">
        <x:v>782</x:v>
      </x:c>
      <x:c r="C1547" s="11" t="n">
        <x:v>46127</x:v>
      </x:c>
      <x:c r="D1547" s="13" t="n">
        <x:v>29.5</x:v>
      </x:c>
    </x:row>
    <x:row r="1548">
      <x:c r="A1548" s="9" t="str">
        <x:v>1544</x:v>
      </x:c>
      <x:c r="B1548" s="9" t="str">
        <x:v>782</x:v>
      </x:c>
      <x:c r="C1548" s="11" t="n">
        <x:v>46159</x:v>
      </x:c>
      <x:c r="D1548" s="13" t="n">
        <x:v>666.93</x:v>
      </x:c>
    </x:row>
    <x:row r="1549">
      <x:c r="A1549" s="9" t="str">
        <x:v>1545</x:v>
      </x:c>
      <x:c r="B1549" s="9" t="str">
        <x:v>782</x:v>
      </x:c>
      <x:c r="C1549" s="11" t="n">
        <x:v>46168</x:v>
      </x:c>
      <x:c r="D1549" s="13" t="n">
        <x:v>254.36</x:v>
      </x:c>
    </x:row>
    <x:row r="1550">
      <x:c r="A1550" s="9" t="str">
        <x:v>1546</x:v>
      </x:c>
      <x:c r="B1550" s="9" t="str">
        <x:v>783</x:v>
      </x:c>
      <x:c r="C1550" s="11" t="n">
        <x:v>46127</x:v>
      </x:c>
      <x:c r="D1550" s="13" t="n">
        <x:v>110.74</x:v>
      </x:c>
    </x:row>
    <x:row r="1551">
      <x:c r="A1551" s="9" t="str">
        <x:v>1547</x:v>
      </x:c>
      <x:c r="B1551" s="9" t="str">
        <x:v>783</x:v>
      </x:c>
      <x:c r="C1551" s="11" t="n">
        <x:v>46032</x:v>
      </x:c>
      <x:c r="D1551" s="13" t="n">
        <x:v>65.24</x:v>
      </x:c>
    </x:row>
    <x:row r="1552">
      <x:c r="A1552" s="9" t="str">
        <x:v>1548</x:v>
      </x:c>
      <x:c r="B1552" s="9" t="str">
        <x:v>784</x:v>
      </x:c>
      <x:c r="C1552" s="11" t="n">
        <x:v>46184</x:v>
      </x:c>
      <x:c r="D1552" s="13" t="n">
        <x:v>368.41</x:v>
      </x:c>
    </x:row>
    <x:row r="1553">
      <x:c r="A1553" s="9" t="str">
        <x:v>1549</x:v>
      </x:c>
      <x:c r="B1553" s="9" t="str">
        <x:v>784</x:v>
      </x:c>
      <x:c r="C1553" s="11" t="n">
        <x:v>46184</x:v>
      </x:c>
      <x:c r="D1553" s="13" t="n">
        <x:v>522.08</x:v>
      </x:c>
    </x:row>
    <x:row r="1554">
      <x:c r="A1554" s="9" t="str">
        <x:v>1550</x:v>
      </x:c>
      <x:c r="B1554" s="9" t="str">
        <x:v>784</x:v>
      </x:c>
      <x:c r="C1554" s="11" t="n">
        <x:v>46190</x:v>
      </x:c>
      <x:c r="D1554" s="13" t="n">
        <x:v>783.96</x:v>
      </x:c>
    </x:row>
    <x:row r="1555">
      <x:c r="A1555" s="9" t="str">
        <x:v>1551</x:v>
      </x:c>
      <x:c r="B1555" s="9" t="str">
        <x:v>784</x:v>
      </x:c>
      <x:c r="C1555" s="11" t="n">
        <x:v>46163</x:v>
      </x:c>
      <x:c r="D1555" s="13" t="n">
        <x:v>812.45</x:v>
      </x:c>
    </x:row>
    <x:row r="1556">
      <x:c r="A1556" s="9" t="str">
        <x:v>1552</x:v>
      </x:c>
      <x:c r="B1556" s="9" t="str">
        <x:v>785</x:v>
      </x:c>
      <x:c r="C1556" s="11" t="n">
        <x:v>46156</x:v>
      </x:c>
      <x:c r="D1556" s="13" t="n">
        <x:v>384.79</x:v>
      </x:c>
    </x:row>
    <x:row r="1557">
      <x:c r="A1557" s="9" t="str">
        <x:v>1553</x:v>
      </x:c>
      <x:c r="B1557" s="9" t="str">
        <x:v>785</x:v>
      </x:c>
      <x:c r="C1557" s="11" t="n">
        <x:v>46202</x:v>
      </x:c>
      <x:c r="D1557" s="13" t="n">
        <x:v>216.55</x:v>
      </x:c>
    </x:row>
    <x:row r="1558">
      <x:c r="A1558" s="9" t="str">
        <x:v>1554</x:v>
      </x:c>
      <x:c r="B1558" s="9" t="str">
        <x:v>785</x:v>
      </x:c>
      <x:c r="C1558" s="11" t="n">
        <x:v>46184</x:v>
      </x:c>
      <x:c r="D1558" s="13" t="n">
        <x:v>156.07</x:v>
      </x:c>
    </x:row>
    <x:row r="1559">
      <x:c r="A1559" s="9" t="str">
        <x:v>1555</x:v>
      </x:c>
      <x:c r="B1559" s="9" t="str">
        <x:v>786</x:v>
      </x:c>
      <x:c r="C1559" s="11" t="n">
        <x:v>46136</x:v>
      </x:c>
      <x:c r="D1559" s="13" t="n">
        <x:v>10.73</x:v>
      </x:c>
    </x:row>
    <x:row r="1560">
      <x:c r="A1560" s="9" t="str">
        <x:v>1556</x:v>
      </x:c>
      <x:c r="B1560" s="9" t="str">
        <x:v>786</x:v>
      </x:c>
      <x:c r="C1560" s="11" t="n">
        <x:v>46203</x:v>
      </x:c>
      <x:c r="D1560" s="13" t="n">
        <x:v>25.65</x:v>
      </x:c>
    </x:row>
    <x:row r="1561">
      <x:c r="A1561" s="9" t="str">
        <x:v>1557</x:v>
      </x:c>
      <x:c r="B1561" s="9" t="str">
        <x:v>786</x:v>
      </x:c>
      <x:c r="C1561" s="11" t="n">
        <x:v>46183</x:v>
      </x:c>
      <x:c r="D1561" s="13" t="n">
        <x:v>34.93</x:v>
      </x:c>
    </x:row>
    <x:row r="1562">
      <x:c r="A1562" s="9" t="str">
        <x:v>1558</x:v>
      </x:c>
      <x:c r="B1562" s="9" t="str">
        <x:v>787</x:v>
      </x:c>
      <x:c r="C1562" s="11" t="n">
        <x:v>46200</x:v>
      </x:c>
      <x:c r="D1562" s="13" t="n">
        <x:v>104.22</x:v>
      </x:c>
    </x:row>
    <x:row r="1563">
      <x:c r="A1563" s="9" t="str">
        <x:v>1559</x:v>
      </x:c>
      <x:c r="B1563" s="9" t="str">
        <x:v>787</x:v>
      </x:c>
      <x:c r="C1563" s="11" t="n">
        <x:v>46131</x:v>
      </x:c>
      <x:c r="D1563" s="13" t="n">
        <x:v>47.96</x:v>
      </x:c>
    </x:row>
    <x:row r="1564">
      <x:c r="A1564" s="9" t="str">
        <x:v>1560</x:v>
      </x:c>
      <x:c r="B1564" s="9" t="str">
        <x:v>787</x:v>
      </x:c>
      <x:c r="C1564" s="11" t="n">
        <x:v>46150</x:v>
      </x:c>
      <x:c r="D1564" s="13" t="n">
        <x:v>313.31</x:v>
      </x:c>
    </x:row>
    <x:row r="1565">
      <x:c r="A1565" s="9" t="str">
        <x:v>1561</x:v>
      </x:c>
      <x:c r="B1565" s="9" t="str">
        <x:v>787</x:v>
      </x:c>
      <x:c r="C1565" s="11" t="n">
        <x:v>46193</x:v>
      </x:c>
      <x:c r="D1565" s="13" t="n">
        <x:v>193.74</x:v>
      </x:c>
    </x:row>
    <x:row r="1566">
      <x:c r="A1566" s="9" t="str">
        <x:v>1562</x:v>
      </x:c>
      <x:c r="B1566" s="9" t="str">
        <x:v>788</x:v>
      </x:c>
      <x:c r="C1566" s="11" t="n">
        <x:v>46097</x:v>
      </x:c>
      <x:c r="D1566" s="13" t="n">
        <x:v>1099.4</x:v>
      </x:c>
    </x:row>
    <x:row r="1567">
      <x:c r="A1567" s="9" t="str">
        <x:v>1563</x:v>
      </x:c>
      <x:c r="B1567" s="9" t="str">
        <x:v>788</x:v>
      </x:c>
      <x:c r="C1567" s="11" t="n">
        <x:v>46108</x:v>
      </x:c>
      <x:c r="D1567" s="13" t="n">
        <x:v>1127.91</x:v>
      </x:c>
    </x:row>
    <x:row r="1568">
      <x:c r="A1568" s="9" t="str">
        <x:v>1564</x:v>
      </x:c>
      <x:c r="B1568" s="9" t="str">
        <x:v>789</x:v>
      </x:c>
      <x:c r="C1568" s="11" t="n">
        <x:v>46161</x:v>
      </x:c>
      <x:c r="D1568" s="13" t="n">
        <x:v>646.69</x:v>
      </x:c>
    </x:row>
    <x:row r="1569">
      <x:c r="A1569" s="9" t="str">
        <x:v>1565</x:v>
      </x:c>
      <x:c r="B1569" s="9" t="str">
        <x:v>791</x:v>
      </x:c>
      <x:c r="C1569" s="11" t="n">
        <x:v>46181</x:v>
      </x:c>
      <x:c r="D1569" s="13" t="n">
        <x:v>352.15</x:v>
      </x:c>
    </x:row>
    <x:row r="1570">
      <x:c r="A1570" s="9" t="str">
        <x:v>1566</x:v>
      </x:c>
      <x:c r="B1570" s="9" t="str">
        <x:v>792</x:v>
      </x:c>
      <x:c r="C1570" s="11" t="n">
        <x:v>46194</x:v>
      </x:c>
      <x:c r="D1570" s="13" t="n">
        <x:v>134.61</x:v>
      </x:c>
    </x:row>
    <x:row r="1571">
      <x:c r="A1571" s="9" t="str">
        <x:v>1567</x:v>
      </x:c>
      <x:c r="B1571" s="9" t="str">
        <x:v>793</x:v>
      </x:c>
      <x:c r="C1571" s="11" t="n">
        <x:v>46151</x:v>
      </x:c>
      <x:c r="D1571" s="13" t="n">
        <x:v>1053.92</x:v>
      </x:c>
    </x:row>
    <x:row r="1572">
      <x:c r="A1572" s="9" t="str">
        <x:v>1568</x:v>
      </x:c>
      <x:c r="B1572" s="9" t="str">
        <x:v>793</x:v>
      </x:c>
      <x:c r="C1572" s="11" t="n">
        <x:v>46177</x:v>
      </x:c>
      <x:c r="D1572" s="13" t="n">
        <x:v>200.73</x:v>
      </x:c>
    </x:row>
    <x:row r="1573">
      <x:c r="A1573" s="9" t="str">
        <x:v>1569</x:v>
      </x:c>
      <x:c r="B1573" s="9" t="str">
        <x:v>794</x:v>
      </x:c>
      <x:c r="C1573" s="11" t="n">
        <x:v>46195</x:v>
      </x:c>
      <x:c r="D1573" s="13" t="n">
        <x:v>25.72</x:v>
      </x:c>
    </x:row>
    <x:row r="1574">
      <x:c r="A1574" s="9" t="str">
        <x:v>1570</x:v>
      </x:c>
      <x:c r="B1574" s="9" t="str">
        <x:v>795</x:v>
      </x:c>
      <x:c r="C1574" s="11" t="n">
        <x:v>46089</x:v>
      </x:c>
      <x:c r="D1574" s="13" t="n">
        <x:v>258.76</x:v>
      </x:c>
    </x:row>
    <x:row r="1575">
      <x:c r="A1575" s="9" t="str">
        <x:v>1571</x:v>
      </x:c>
      <x:c r="B1575" s="9" t="str">
        <x:v>795</x:v>
      </x:c>
      <x:c r="C1575" s="11" t="n">
        <x:v>46137</x:v>
      </x:c>
      <x:c r="D1575" s="13" t="n">
        <x:v>193.93</x:v>
      </x:c>
    </x:row>
    <x:row r="1576">
      <x:c r="A1576" s="9" t="str">
        <x:v>1572</x:v>
      </x:c>
      <x:c r="B1576" s="9" t="str">
        <x:v>796</x:v>
      </x:c>
      <x:c r="C1576" s="11" t="n">
        <x:v>46178</x:v>
      </x:c>
      <x:c r="D1576" s="13" t="n">
        <x:v>513.31</x:v>
      </x:c>
    </x:row>
    <x:row r="1577">
      <x:c r="A1577" s="9" t="str">
        <x:v>1573</x:v>
      </x:c>
      <x:c r="B1577" s="9" t="str">
        <x:v>796</x:v>
      </x:c>
      <x:c r="C1577" s="11" t="n">
        <x:v>46164</x:v>
      </x:c>
      <x:c r="D1577" s="13" t="n">
        <x:v>218.6</x:v>
      </x:c>
    </x:row>
    <x:row r="1578">
      <x:c r="A1578" s="9" t="str">
        <x:v>1574</x:v>
      </x:c>
      <x:c r="B1578" s="9" t="str">
        <x:v>797</x:v>
      </x:c>
      <x:c r="C1578" s="11" t="n">
        <x:v>46181</x:v>
      </x:c>
      <x:c r="D1578" s="13" t="n">
        <x:v>1523.51</x:v>
      </x:c>
    </x:row>
    <x:row r="1579">
      <x:c r="A1579" s="9" t="str">
        <x:v>1575</x:v>
      </x:c>
      <x:c r="B1579" s="9" t="str">
        <x:v>797</x:v>
      </x:c>
      <x:c r="C1579" s="11" t="n">
        <x:v>46131</x:v>
      </x:c>
      <x:c r="D1579" s="13" t="n">
        <x:v>1441.47</x:v>
      </x:c>
    </x:row>
    <x:row r="1580">
      <x:c r="A1580" s="9" t="str">
        <x:v>1576</x:v>
      </x:c>
      <x:c r="B1580" s="9" t="str">
        <x:v>797</x:v>
      </x:c>
      <x:c r="C1580" s="11" t="n">
        <x:v>46177</x:v>
      </x:c>
      <x:c r="D1580" s="13" t="n">
        <x:v>1457.99</x:v>
      </x:c>
    </x:row>
    <x:row r="1581">
      <x:c r="A1581" s="9" t="str">
        <x:v>1577</x:v>
      </x:c>
      <x:c r="B1581" s="9" t="str">
        <x:v>797</x:v>
      </x:c>
      <x:c r="C1581" s="11" t="n">
        <x:v>46105</x:v>
      </x:c>
      <x:c r="D1581" s="13" t="n">
        <x:v>789.99</x:v>
      </x:c>
    </x:row>
    <x:row r="1582">
      <x:c r="A1582" s="9" t="str">
        <x:v>1578</x:v>
      </x:c>
      <x:c r="B1582" s="9" t="str">
        <x:v>798</x:v>
      </x:c>
      <x:c r="C1582" s="11" t="n">
        <x:v>46162</x:v>
      </x:c>
      <x:c r="D1582" s="13" t="n">
        <x:v>276.06</x:v>
      </x:c>
    </x:row>
    <x:row r="1583">
      <x:c r="A1583" s="9" t="str">
        <x:v>1579</x:v>
      </x:c>
      <x:c r="B1583" s="9" t="str">
        <x:v>798</x:v>
      </x:c>
      <x:c r="C1583" s="11" t="n">
        <x:v>46091</x:v>
      </x:c>
      <x:c r="D1583" s="13" t="n">
        <x:v>80.05</x:v>
      </x:c>
    </x:row>
    <x:row r="1584">
      <x:c r="A1584" s="9" t="str">
        <x:v>1580</x:v>
      </x:c>
      <x:c r="B1584" s="9" t="str">
        <x:v>800</x:v>
      </x:c>
      <x:c r="C1584" s="11" t="n">
        <x:v>46201</x:v>
      </x:c>
      <x:c r="D1584" s="13" t="n">
        <x:v>1070.42</x:v>
      </x:c>
    </x:row>
    <x:row r="1585">
      <x:c r="A1585" s="9" t="str">
        <x:v>1581</x:v>
      </x:c>
      <x:c r="B1585" s="9" t="str">
        <x:v>801</x:v>
      </x:c>
      <x:c r="C1585" s="11" t="n">
        <x:v>46149</x:v>
      </x:c>
      <x:c r="D1585" s="13" t="n">
        <x:v>765.78</x:v>
      </x:c>
    </x:row>
    <x:row r="1586">
      <x:c r="A1586" s="9" t="str">
        <x:v>1582</x:v>
      </x:c>
      <x:c r="B1586" s="9" t="str">
        <x:v>803</x:v>
      </x:c>
      <x:c r="C1586" s="11" t="n">
        <x:v>46164</x:v>
      </x:c>
      <x:c r="D1586" s="13" t="n">
        <x:v>436.13</x:v>
      </x:c>
    </x:row>
    <x:row r="1587">
      <x:c r="A1587" s="9" t="str">
        <x:v>1583</x:v>
      </x:c>
      <x:c r="B1587" s="9" t="str">
        <x:v>803</x:v>
      </x:c>
      <x:c r="C1587" s="11" t="n">
        <x:v>46191</x:v>
      </x:c>
      <x:c r="D1587" s="13" t="n">
        <x:v>506.4</x:v>
      </x:c>
    </x:row>
    <x:row r="1588">
      <x:c r="A1588" s="9" t="str">
        <x:v>1584</x:v>
      </x:c>
      <x:c r="B1588" s="9" t="str">
        <x:v>804</x:v>
      </x:c>
      <x:c r="C1588" s="11" t="n">
        <x:v>46113</x:v>
      </x:c>
      <x:c r="D1588" s="13" t="n">
        <x:v>1225.25</x:v>
      </x:c>
    </x:row>
    <x:row r="1589">
      <x:c r="A1589" s="9" t="str">
        <x:v>1585</x:v>
      </x:c>
      <x:c r="B1589" s="9" t="str">
        <x:v>804</x:v>
      </x:c>
      <x:c r="C1589" s="11" t="n">
        <x:v>46193</x:v>
      </x:c>
      <x:c r="D1589" s="13" t="n">
        <x:v>170.96</x:v>
      </x:c>
    </x:row>
    <x:row r="1590">
      <x:c r="A1590" s="9" t="str">
        <x:v>1586</x:v>
      </x:c>
      <x:c r="B1590" s="9" t="str">
        <x:v>804</x:v>
      </x:c>
      <x:c r="C1590" s="11" t="n">
        <x:v>46199</x:v>
      </x:c>
      <x:c r="D1590" s="13" t="n">
        <x:v>2340.29</x:v>
      </x:c>
    </x:row>
    <x:row r="1591">
      <x:c r="A1591" s="9" t="str">
        <x:v>1587</x:v>
      </x:c>
      <x:c r="B1591" s="9" t="str">
        <x:v>806</x:v>
      </x:c>
      <x:c r="C1591" s="11" t="n">
        <x:v>46173</x:v>
      </x:c>
      <x:c r="D1591" s="13" t="n">
        <x:v>732.5</x:v>
      </x:c>
    </x:row>
    <x:row r="1592">
      <x:c r="A1592" s="9" t="str">
        <x:v>1588</x:v>
      </x:c>
      <x:c r="B1592" s="9" t="str">
        <x:v>807</x:v>
      </x:c>
      <x:c r="C1592" s="11" t="n">
        <x:v>46085</x:v>
      </x:c>
      <x:c r="D1592" s="13" t="n">
        <x:v>462.13</x:v>
      </x:c>
    </x:row>
    <x:row r="1593">
      <x:c r="A1593" s="9" t="str">
        <x:v>1589</x:v>
      </x:c>
      <x:c r="B1593" s="9" t="str">
        <x:v>807</x:v>
      </x:c>
      <x:c r="C1593" s="11" t="n">
        <x:v>46192</x:v>
      </x:c>
      <x:c r="D1593" s="13" t="n">
        <x:v>188.13</x:v>
      </x:c>
    </x:row>
    <x:row r="1594">
      <x:c r="A1594" s="9" t="str">
        <x:v>1590</x:v>
      </x:c>
      <x:c r="B1594" s="9" t="str">
        <x:v>808</x:v>
      </x:c>
      <x:c r="C1594" s="11" t="n">
        <x:v>46165</x:v>
      </x:c>
      <x:c r="D1594" s="13" t="n">
        <x:v>2779.95</x:v>
      </x:c>
    </x:row>
    <x:row r="1595">
      <x:c r="A1595" s="9" t="str">
        <x:v>1591</x:v>
      </x:c>
      <x:c r="B1595" s="9" t="str">
        <x:v>808</x:v>
      </x:c>
      <x:c r="C1595" s="11" t="n">
        <x:v>46166</x:v>
      </x:c>
      <x:c r="D1595" s="13" t="n">
        <x:v>791.69</x:v>
      </x:c>
    </x:row>
    <x:row r="1596">
      <x:c r="A1596" s="9" t="str">
        <x:v>1592</x:v>
      </x:c>
      <x:c r="B1596" s="9" t="str">
        <x:v>808</x:v>
      </x:c>
      <x:c r="C1596" s="11" t="n">
        <x:v>46200</x:v>
      </x:c>
      <x:c r="D1596" s="13" t="n">
        <x:v>1726.39</x:v>
      </x:c>
    </x:row>
    <x:row r="1597">
      <x:c r="A1597" s="9" t="str">
        <x:v>1593</x:v>
      </x:c>
      <x:c r="B1597" s="9" t="str">
        <x:v>809</x:v>
      </x:c>
      <x:c r="C1597" s="11" t="n">
        <x:v>46182</x:v>
      </x:c>
      <x:c r="D1597" s="13" t="n">
        <x:v>1039.01</x:v>
      </x:c>
    </x:row>
    <x:row r="1598">
      <x:c r="A1598" s="9" t="str">
        <x:v>1594</x:v>
      </x:c>
      <x:c r="B1598" s="9" t="str">
        <x:v>809</x:v>
      </x:c>
      <x:c r="C1598" s="11" t="n">
        <x:v>46169</x:v>
      </x:c>
      <x:c r="D1598" s="13" t="n">
        <x:v>1712.44</x:v>
      </x:c>
    </x:row>
    <x:row r="1599">
      <x:c r="A1599" s="9" t="str">
        <x:v>1595</x:v>
      </x:c>
      <x:c r="B1599" s="9" t="str">
        <x:v>809</x:v>
      </x:c>
      <x:c r="C1599" s="11" t="n">
        <x:v>46189</x:v>
      </x:c>
      <x:c r="D1599" s="13" t="n">
        <x:v>1772.38</x:v>
      </x:c>
    </x:row>
    <x:row r="1600">
      <x:c r="A1600" s="9" t="str">
        <x:v>1596</x:v>
      </x:c>
      <x:c r="B1600" s="9" t="str">
        <x:v>810</x:v>
      </x:c>
      <x:c r="C1600" s="11" t="n">
        <x:v>46095</x:v>
      </x:c>
      <x:c r="D1600" s="13" t="n">
        <x:v>154.65</x:v>
      </x:c>
    </x:row>
    <x:row r="1601">
      <x:c r="A1601" s="9" t="str">
        <x:v>1597</x:v>
      </x:c>
      <x:c r="B1601" s="9" t="str">
        <x:v>811</x:v>
      </x:c>
      <x:c r="C1601" s="11" t="n">
        <x:v>46109</x:v>
      </x:c>
      <x:c r="D1601" s="13" t="n">
        <x:v>1613.72</x:v>
      </x:c>
    </x:row>
    <x:row r="1602">
      <x:c r="A1602" s="9" t="str">
        <x:v>1598</x:v>
      </x:c>
      <x:c r="B1602" s="9" t="str">
        <x:v>812</x:v>
      </x:c>
      <x:c r="C1602" s="11" t="n">
        <x:v>46202</x:v>
      </x:c>
      <x:c r="D1602" s="13" t="n">
        <x:v>447.87</x:v>
      </x:c>
    </x:row>
    <x:row r="1603">
      <x:c r="A1603" s="9" t="str">
        <x:v>1599</x:v>
      </x:c>
      <x:c r="B1603" s="9" t="str">
        <x:v>812</x:v>
      </x:c>
      <x:c r="C1603" s="11" t="n">
        <x:v>46191</x:v>
      </x:c>
      <x:c r="D1603" s="13" t="n">
        <x:v>26.66</x:v>
      </x:c>
    </x:row>
    <x:row r="1604">
      <x:c r="A1604" s="9" t="str">
        <x:v>1600</x:v>
      </x:c>
      <x:c r="B1604" s="9" t="str">
        <x:v>813</x:v>
      </x:c>
      <x:c r="C1604" s="11" t="n">
        <x:v>46198</x:v>
      </x:c>
      <x:c r="D1604" s="13" t="n">
        <x:v>945.59</x:v>
      </x:c>
    </x:row>
    <x:row r="1605">
      <x:c r="A1605" s="9" t="str">
        <x:v>1601</x:v>
      </x:c>
      <x:c r="B1605" s="9" t="str">
        <x:v>813</x:v>
      </x:c>
      <x:c r="C1605" s="11" t="n">
        <x:v>46180</x:v>
      </x:c>
      <x:c r="D1605" s="13" t="n">
        <x:v>1468.27</x:v>
      </x:c>
    </x:row>
    <x:row r="1606">
      <x:c r="A1606" s="9" t="str">
        <x:v>1602</x:v>
      </x:c>
      <x:c r="B1606" s="9" t="str">
        <x:v>814</x:v>
      </x:c>
      <x:c r="C1606" s="11" t="n">
        <x:v>46106</x:v>
      </x:c>
      <x:c r="D1606" s="13" t="n">
        <x:v>832.89</x:v>
      </x:c>
    </x:row>
    <x:row r="1607">
      <x:c r="A1607" s="9" t="str">
        <x:v>1603</x:v>
      </x:c>
      <x:c r="B1607" s="9" t="str">
        <x:v>815</x:v>
      </x:c>
      <x:c r="C1607" s="11" t="n">
        <x:v>46083</x:v>
      </x:c>
      <x:c r="D1607" s="13" t="n">
        <x:v>614.05</x:v>
      </x:c>
    </x:row>
    <x:row r="1608">
      <x:c r="A1608" s="9" t="str">
        <x:v>1604</x:v>
      </x:c>
      <x:c r="B1608" s="9" t="str">
        <x:v>815</x:v>
      </x:c>
      <x:c r="C1608" s="11" t="n">
        <x:v>46183</x:v>
      </x:c>
      <x:c r="D1608" s="13" t="n">
        <x:v>877.25</x:v>
      </x:c>
    </x:row>
    <x:row r="1609">
      <x:c r="A1609" s="9" t="str">
        <x:v>1605</x:v>
      </x:c>
      <x:c r="B1609" s="9" t="str">
        <x:v>816</x:v>
      </x:c>
      <x:c r="C1609" s="11" t="n">
        <x:v>46181</x:v>
      </x:c>
      <x:c r="D1609" s="13" t="n">
        <x:v>630.92</x:v>
      </x:c>
    </x:row>
    <x:row r="1610">
      <x:c r="A1610" s="9" t="str">
        <x:v>1606</x:v>
      </x:c>
      <x:c r="B1610" s="9" t="str">
        <x:v>817</x:v>
      </x:c>
      <x:c r="C1610" s="11" t="n">
        <x:v>46087</x:v>
      </x:c>
      <x:c r="D1610" s="13" t="n">
        <x:v>294.49</x:v>
      </x:c>
    </x:row>
    <x:row r="1611">
      <x:c r="A1611" s="9" t="str">
        <x:v>1607</x:v>
      </x:c>
      <x:c r="B1611" s="9" t="str">
        <x:v>817</x:v>
      </x:c>
      <x:c r="C1611" s="11" t="n">
        <x:v>46106</x:v>
      </x:c>
      <x:c r="D1611" s="13" t="n">
        <x:v>2013.87</x:v>
      </x:c>
    </x:row>
    <x:row r="1612">
      <x:c r="A1612" s="9" t="str">
        <x:v>1608</x:v>
      </x:c>
      <x:c r="B1612" s="9" t="str">
        <x:v>817</x:v>
      </x:c>
      <x:c r="C1612" s="11" t="n">
        <x:v>46084</x:v>
      </x:c>
      <x:c r="D1612" s="13" t="n">
        <x:v>565.18</x:v>
      </x:c>
    </x:row>
    <x:row r="1613">
      <x:c r="A1613" s="9" t="str">
        <x:v>1609</x:v>
      </x:c>
      <x:c r="B1613" s="9" t="str">
        <x:v>818</x:v>
      </x:c>
      <x:c r="C1613" s="11" t="n">
        <x:v>46201</x:v>
      </x:c>
      <x:c r="D1613" s="13" t="n">
        <x:v>422.6</x:v>
      </x:c>
    </x:row>
    <x:row r="1614">
      <x:c r="A1614" s="9" t="str">
        <x:v>1610</x:v>
      </x:c>
      <x:c r="B1614" s="9" t="str">
        <x:v>818</x:v>
      </x:c>
      <x:c r="C1614" s="11" t="n">
        <x:v>46179</x:v>
      </x:c>
      <x:c r="D1614" s="13" t="n">
        <x:v>575.14</x:v>
      </x:c>
    </x:row>
    <x:row r="1615">
      <x:c r="A1615" s="9" t="str">
        <x:v>1611</x:v>
      </x:c>
      <x:c r="B1615" s="9" t="str">
        <x:v>818</x:v>
      </x:c>
      <x:c r="C1615" s="11" t="n">
        <x:v>46109</x:v>
      </x:c>
      <x:c r="D1615" s="13" t="n">
        <x:v>1123.81</x:v>
      </x:c>
    </x:row>
    <x:row r="1616">
      <x:c r="A1616" s="9" t="str">
        <x:v>1612</x:v>
      </x:c>
      <x:c r="B1616" s="9" t="str">
        <x:v>819</x:v>
      </x:c>
      <x:c r="C1616" s="11" t="n">
        <x:v>46203</x:v>
      </x:c>
      <x:c r="D1616" s="13" t="n">
        <x:v>268.6</x:v>
      </x:c>
    </x:row>
    <x:row r="1617">
      <x:c r="A1617" s="9" t="str">
        <x:v>1613</x:v>
      </x:c>
      <x:c r="B1617" s="9" t="str">
        <x:v>819</x:v>
      </x:c>
      <x:c r="C1617" s="11" t="n">
        <x:v>46068</x:v>
      </x:c>
      <x:c r="D1617" s="13" t="n">
        <x:v>98.61</x:v>
      </x:c>
    </x:row>
    <x:row r="1618">
      <x:c r="A1618" s="9" t="str">
        <x:v>1614</x:v>
      </x:c>
      <x:c r="B1618" s="9" t="str">
        <x:v>819</x:v>
      </x:c>
      <x:c r="C1618" s="11" t="n">
        <x:v>46192</x:v>
      </x:c>
      <x:c r="D1618" s="13" t="n">
        <x:v>127.82</x:v>
      </x:c>
    </x:row>
    <x:row r="1619">
      <x:c r="A1619" s="9" t="str">
        <x:v>1615</x:v>
      </x:c>
      <x:c r="B1619" s="9" t="str">
        <x:v>820</x:v>
      </x:c>
      <x:c r="C1619" s="11" t="n">
        <x:v>46095</x:v>
      </x:c>
      <x:c r="D1619" s="13" t="n">
        <x:v>2828.39</x:v>
      </x:c>
    </x:row>
    <x:row r="1620">
      <x:c r="A1620" s="9" t="str">
        <x:v>1616</x:v>
      </x:c>
      <x:c r="B1620" s="9" t="str">
        <x:v>820</x:v>
      </x:c>
      <x:c r="C1620" s="11" t="n">
        <x:v>46117</x:v>
      </x:c>
      <x:c r="D1620" s="13" t="n">
        <x:v>1371.35</x:v>
      </x:c>
    </x:row>
    <x:row r="1621">
      <x:c r="A1621" s="9" t="str">
        <x:v>1617</x:v>
      </x:c>
      <x:c r="B1621" s="9" t="str">
        <x:v>820</x:v>
      </x:c>
      <x:c r="C1621" s="11" t="n">
        <x:v>46154</x:v>
      </x:c>
      <x:c r="D1621" s="13" t="n">
        <x:v>1751.03</x:v>
      </x:c>
    </x:row>
    <x:row r="1622">
      <x:c r="A1622" s="9" t="str">
        <x:v>1618</x:v>
      </x:c>
      <x:c r="B1622" s="9" t="str">
        <x:v>820</x:v>
      </x:c>
      <x:c r="C1622" s="11" t="n">
        <x:v>46189</x:v>
      </x:c>
      <x:c r="D1622" s="13" t="n">
        <x:v>723.97</x:v>
      </x:c>
    </x:row>
    <x:row r="1623">
      <x:c r="A1623" s="9" t="str">
        <x:v>1619</x:v>
      </x:c>
      <x:c r="B1623" s="9" t="str">
        <x:v>821</x:v>
      </x:c>
      <x:c r="C1623" s="11" t="n">
        <x:v>46171</x:v>
      </x:c>
      <x:c r="D1623" s="13" t="n">
        <x:v>828.99</x:v>
      </x:c>
    </x:row>
    <x:row r="1624">
      <x:c r="A1624" s="9" t="str">
        <x:v>1620</x:v>
      </x:c>
      <x:c r="B1624" s="9" t="str">
        <x:v>822</x:v>
      </x:c>
      <x:c r="C1624" s="11" t="n">
        <x:v>46179</x:v>
      </x:c>
      <x:c r="D1624" s="13" t="n">
        <x:v>456.52</x:v>
      </x:c>
    </x:row>
    <x:row r="1625">
      <x:c r="A1625" s="9" t="str">
        <x:v>1621</x:v>
      </x:c>
      <x:c r="B1625" s="9" t="str">
        <x:v>824</x:v>
      </x:c>
      <x:c r="C1625" s="11" t="n">
        <x:v>46179</x:v>
      </x:c>
      <x:c r="D1625" s="13" t="n">
        <x:v>411.62</x:v>
      </x:c>
    </x:row>
    <x:row r="1626">
      <x:c r="A1626" s="9" t="str">
        <x:v>1622</x:v>
      </x:c>
      <x:c r="B1626" s="9" t="str">
        <x:v>824</x:v>
      </x:c>
      <x:c r="C1626" s="11" t="n">
        <x:v>46188</x:v>
      </x:c>
      <x:c r="D1626" s="13" t="n">
        <x:v>931.3</x:v>
      </x:c>
    </x:row>
    <x:row r="1627">
      <x:c r="A1627" s="9" t="str">
        <x:v>1623</x:v>
      </x:c>
      <x:c r="B1627" s="9" t="str">
        <x:v>824</x:v>
      </x:c>
      <x:c r="C1627" s="11" t="n">
        <x:v>46172</x:v>
      </x:c>
      <x:c r="D1627" s="13" t="n">
        <x:v>2638.86</x:v>
      </x:c>
    </x:row>
    <x:row r="1628">
      <x:c r="A1628" s="9" t="str">
        <x:v>1624</x:v>
      </x:c>
      <x:c r="B1628" s="9" t="str">
        <x:v>824</x:v>
      </x:c>
      <x:c r="C1628" s="11" t="n">
        <x:v>46194</x:v>
      </x:c>
      <x:c r="D1628" s="13" t="n">
        <x:v>1656.86</x:v>
      </x:c>
    </x:row>
    <x:row r="1629">
      <x:c r="A1629" s="9" t="str">
        <x:v>1625</x:v>
      </x:c>
      <x:c r="B1629" s="9" t="str">
        <x:v>825</x:v>
      </x:c>
      <x:c r="C1629" s="11" t="n">
        <x:v>46129</x:v>
      </x:c>
      <x:c r="D1629" s="13" t="n">
        <x:v>401.31</x:v>
      </x:c>
    </x:row>
    <x:row r="1630">
      <x:c r="A1630" s="9" t="str">
        <x:v>1626</x:v>
      </x:c>
      <x:c r="B1630" s="9" t="str">
        <x:v>825</x:v>
      </x:c>
      <x:c r="C1630" s="11" t="n">
        <x:v>46119</x:v>
      </x:c>
      <x:c r="D1630" s="13" t="n">
        <x:v>1351.34</x:v>
      </x:c>
    </x:row>
    <x:row r="1631">
      <x:c r="A1631" s="9" t="str">
        <x:v>1627</x:v>
      </x:c>
      <x:c r="B1631" s="9" t="str">
        <x:v>825</x:v>
      </x:c>
      <x:c r="C1631" s="11" t="n">
        <x:v>46155</x:v>
      </x:c>
      <x:c r="D1631" s="13" t="n">
        <x:v>853.16</x:v>
      </x:c>
    </x:row>
    <x:row r="1632">
      <x:c r="A1632" s="9" t="str">
        <x:v>1628</x:v>
      </x:c>
      <x:c r="B1632" s="9" t="str">
        <x:v>828</x:v>
      </x:c>
      <x:c r="C1632" s="11" t="n">
        <x:v>46169</x:v>
      </x:c>
      <x:c r="D1632" s="13" t="n">
        <x:v>346.41</x:v>
      </x:c>
    </x:row>
    <x:row r="1633">
      <x:c r="A1633" s="9" t="str">
        <x:v>1629</x:v>
      </x:c>
      <x:c r="B1633" s="9" t="str">
        <x:v>829</x:v>
      </x:c>
      <x:c r="C1633" s="11" t="n">
        <x:v>46157</x:v>
      </x:c>
      <x:c r="D1633" s="13" t="n">
        <x:v>841.48</x:v>
      </x:c>
    </x:row>
    <x:row r="1634">
      <x:c r="A1634" s="9" t="str">
        <x:v>1630</x:v>
      </x:c>
      <x:c r="B1634" s="9" t="str">
        <x:v>829</x:v>
      </x:c>
      <x:c r="C1634" s="11" t="n">
        <x:v>46182</x:v>
      </x:c>
      <x:c r="D1634" s="13" t="n">
        <x:v>1282.53</x:v>
      </x:c>
    </x:row>
    <x:row r="1635">
      <x:c r="A1635" s="9" t="str">
        <x:v>1631</x:v>
      </x:c>
      <x:c r="B1635" s="9" t="str">
        <x:v>832</x:v>
      </x:c>
      <x:c r="C1635" s="11" t="n">
        <x:v>46179</x:v>
      </x:c>
      <x:c r="D1635" s="13" t="n">
        <x:v>171.29</x:v>
      </x:c>
    </x:row>
    <x:row r="1636">
      <x:c r="A1636" s="9" t="str">
        <x:v>1632</x:v>
      </x:c>
      <x:c r="B1636" s="9" t="str">
        <x:v>832</x:v>
      </x:c>
      <x:c r="C1636" s="11" t="n">
        <x:v>46097</x:v>
      </x:c>
      <x:c r="D1636" s="13" t="n">
        <x:v>901.1</x:v>
      </x:c>
    </x:row>
    <x:row r="1637">
      <x:c r="A1637" s="9" t="str">
        <x:v>1633</x:v>
      </x:c>
      <x:c r="B1637" s="9" t="str">
        <x:v>832</x:v>
      </x:c>
      <x:c r="C1637" s="11" t="n">
        <x:v>46180</x:v>
      </x:c>
      <x:c r="D1637" s="13" t="n">
        <x:v>769.42</x:v>
      </x:c>
    </x:row>
    <x:row r="1638">
      <x:c r="A1638" s="9" t="str">
        <x:v>1634</x:v>
      </x:c>
      <x:c r="B1638" s="9" t="str">
        <x:v>832</x:v>
      </x:c>
      <x:c r="C1638" s="11" t="n">
        <x:v>46100</x:v>
      </x:c>
      <x:c r="D1638" s="13" t="n">
        <x:v>1685.31</x:v>
      </x:c>
    </x:row>
    <x:row r="1639">
      <x:c r="A1639" s="9" t="str">
        <x:v>1635</x:v>
      </x:c>
      <x:c r="B1639" s="9" t="str">
        <x:v>833</x:v>
      </x:c>
      <x:c r="C1639" s="11" t="n">
        <x:v>46191</x:v>
      </x:c>
      <x:c r="D1639" s="13" t="n">
        <x:v>380.71</x:v>
      </x:c>
    </x:row>
    <x:row r="1640">
      <x:c r="A1640" s="9" t="str">
        <x:v>1636</x:v>
      </x:c>
      <x:c r="B1640" s="9" t="str">
        <x:v>836</x:v>
      </x:c>
      <x:c r="C1640" s="11" t="n">
        <x:v>46178</x:v>
      </x:c>
      <x:c r="D1640" s="13" t="n">
        <x:v>2635.02</x:v>
      </x:c>
    </x:row>
    <x:row r="1641">
      <x:c r="A1641" s="9" t="str">
        <x:v>1637</x:v>
      </x:c>
      <x:c r="B1641" s="9" t="str">
        <x:v>836</x:v>
      </x:c>
      <x:c r="C1641" s="11" t="n">
        <x:v>46152</x:v>
      </x:c>
      <x:c r="D1641" s="13" t="n">
        <x:v>53.94</x:v>
      </x:c>
    </x:row>
    <x:row r="1642">
      <x:c r="A1642" s="9" t="str">
        <x:v>1638</x:v>
      </x:c>
      <x:c r="B1642" s="9" t="str">
        <x:v>836</x:v>
      </x:c>
      <x:c r="C1642" s="11" t="n">
        <x:v>46165</x:v>
      </x:c>
      <x:c r="D1642" s="13" t="n">
        <x:v>979.03</x:v>
      </x:c>
    </x:row>
    <x:row r="1643">
      <x:c r="A1643" s="9" t="str">
        <x:v>1639</x:v>
      </x:c>
      <x:c r="B1643" s="9" t="str">
        <x:v>837</x:v>
      </x:c>
      <x:c r="C1643" s="11" t="n">
        <x:v>46182</x:v>
      </x:c>
      <x:c r="D1643" s="13" t="n">
        <x:v>93.82</x:v>
      </x:c>
    </x:row>
    <x:row r="1644">
      <x:c r="A1644" s="9" t="str">
        <x:v>1640</x:v>
      </x:c>
      <x:c r="B1644" s="9" t="str">
        <x:v>837</x:v>
      </x:c>
      <x:c r="C1644" s="11" t="n">
        <x:v>46033</x:v>
      </x:c>
      <x:c r="D1644" s="13" t="n">
        <x:v>353.32</x:v>
      </x:c>
    </x:row>
    <x:row r="1645">
      <x:c r="A1645" s="9" t="str">
        <x:v>1641</x:v>
      </x:c>
      <x:c r="B1645" s="9" t="str">
        <x:v>837</x:v>
      </x:c>
      <x:c r="C1645" s="11" t="n">
        <x:v>46126</x:v>
      </x:c>
      <x:c r="D1645" s="13" t="n">
        <x:v>170.16</x:v>
      </x:c>
    </x:row>
    <x:row r="1646">
      <x:c r="A1646" s="9" t="str">
        <x:v>1642</x:v>
      </x:c>
      <x:c r="B1646" s="9" t="str">
        <x:v>837</x:v>
      </x:c>
      <x:c r="C1646" s="11" t="n">
        <x:v>46150</x:v>
      </x:c>
      <x:c r="D1646" s="13" t="n">
        <x:v>228.79</x:v>
      </x:c>
    </x:row>
    <x:row r="1647">
      <x:c r="A1647" s="9" t="str">
        <x:v>1643</x:v>
      </x:c>
      <x:c r="B1647" s="9" t="str">
        <x:v>838</x:v>
      </x:c>
      <x:c r="C1647" s="11" t="n">
        <x:v>46098</x:v>
      </x:c>
      <x:c r="D1647" s="13" t="n">
        <x:v>393.04</x:v>
      </x:c>
    </x:row>
    <x:row r="1648">
      <x:c r="A1648" s="9" t="str">
        <x:v>1644</x:v>
      </x:c>
      <x:c r="B1648" s="9" t="str">
        <x:v>838</x:v>
      </x:c>
      <x:c r="C1648" s="11" t="n">
        <x:v>46142</x:v>
      </x:c>
      <x:c r="D1648" s="13" t="n">
        <x:v>313.23</x:v>
      </x:c>
    </x:row>
    <x:row r="1649">
      <x:c r="A1649" s="9" t="str">
        <x:v>1645</x:v>
      </x:c>
      <x:c r="B1649" s="9" t="str">
        <x:v>838</x:v>
      </x:c>
      <x:c r="C1649" s="11" t="n">
        <x:v>46163</x:v>
      </x:c>
      <x:c r="D1649" s="13" t="n">
        <x:v>704.53</x:v>
      </x:c>
    </x:row>
    <x:row r="1650">
      <x:c r="A1650" s="9" t="str">
        <x:v>1646</x:v>
      </x:c>
      <x:c r="B1650" s="9" t="str">
        <x:v>838</x:v>
      </x:c>
      <x:c r="C1650" s="11" t="n">
        <x:v>46047</x:v>
      </x:c>
      <x:c r="D1650" s="13" t="n">
        <x:v>459.51</x:v>
      </x:c>
    </x:row>
    <x:row r="1651">
      <x:c r="A1651" s="9" t="str">
        <x:v>1647</x:v>
      </x:c>
      <x:c r="B1651" s="9" t="str">
        <x:v>839</x:v>
      </x:c>
      <x:c r="C1651" s="11" t="n">
        <x:v>46173</x:v>
      </x:c>
      <x:c r="D1651" s="13" t="n">
        <x:v>449.34</x:v>
      </x:c>
    </x:row>
    <x:row r="1652">
      <x:c r="A1652" s="9" t="str">
        <x:v>1648</x:v>
      </x:c>
      <x:c r="B1652" s="9" t="str">
        <x:v>839</x:v>
      </x:c>
      <x:c r="C1652" s="11" t="n">
        <x:v>46156</x:v>
      </x:c>
      <x:c r="D1652" s="13" t="n">
        <x:v>558.23</x:v>
      </x:c>
    </x:row>
    <x:row r="1653">
      <x:c r="A1653" s="9" t="str">
        <x:v>1649</x:v>
      </x:c>
      <x:c r="B1653" s="9" t="str">
        <x:v>842</x:v>
      </x:c>
      <x:c r="C1653" s="11" t="n">
        <x:v>46094</x:v>
      </x:c>
      <x:c r="D1653" s="13" t="n">
        <x:v>270.72</x:v>
      </x:c>
    </x:row>
    <x:row r="1654">
      <x:c r="A1654" s="9" t="str">
        <x:v>1650</x:v>
      </x:c>
      <x:c r="B1654" s="9" t="str">
        <x:v>842</x:v>
      </x:c>
      <x:c r="C1654" s="11" t="n">
        <x:v>46170</x:v>
      </x:c>
      <x:c r="D1654" s="13" t="n">
        <x:v>27.87</x:v>
      </x:c>
    </x:row>
    <x:row r="1655">
      <x:c r="A1655" s="9" t="str">
        <x:v>1651</x:v>
      </x:c>
      <x:c r="B1655" s="9" t="str">
        <x:v>842</x:v>
      </x:c>
      <x:c r="C1655" s="11" t="n">
        <x:v>46188</x:v>
      </x:c>
      <x:c r="D1655" s="13" t="n">
        <x:v>110.92</x:v>
      </x:c>
    </x:row>
    <x:row r="1656">
      <x:c r="A1656" s="9" t="str">
        <x:v>1652</x:v>
      </x:c>
      <x:c r="B1656" s="9" t="str">
        <x:v>843</x:v>
      </x:c>
      <x:c r="C1656" s="11" t="n">
        <x:v>46083</x:v>
      </x:c>
      <x:c r="D1656" s="13" t="n">
        <x:v>243.17</x:v>
      </x:c>
    </x:row>
    <x:row r="1657">
      <x:c r="A1657" s="9" t="str">
        <x:v>1653</x:v>
      </x:c>
      <x:c r="B1657" s="9" t="str">
        <x:v>843</x:v>
      </x:c>
      <x:c r="C1657" s="11" t="n">
        <x:v>46132</x:v>
      </x:c>
      <x:c r="D1657" s="13" t="n">
        <x:v>545.68</x:v>
      </x:c>
    </x:row>
    <x:row r="1658">
      <x:c r="A1658" s="9" t="str">
        <x:v>1654</x:v>
      </x:c>
      <x:c r="B1658" s="9" t="str">
        <x:v>844</x:v>
      </x:c>
      <x:c r="C1658" s="11" t="n">
        <x:v>46168</x:v>
      </x:c>
      <x:c r="D1658" s="13" t="n">
        <x:v>16.49</x:v>
      </x:c>
    </x:row>
    <x:row r="1659">
      <x:c r="A1659" s="9" t="str">
        <x:v>1655</x:v>
      </x:c>
      <x:c r="B1659" s="9" t="str">
        <x:v>844</x:v>
      </x:c>
      <x:c r="C1659" s="11" t="n">
        <x:v>46082</x:v>
      </x:c>
      <x:c r="D1659" s="13" t="n">
        <x:v>596.45</x:v>
      </x:c>
    </x:row>
    <x:row r="1660">
      <x:c r="A1660" s="9" t="str">
        <x:v>1656</x:v>
      </x:c>
      <x:c r="B1660" s="9" t="str">
        <x:v>844</x:v>
      </x:c>
      <x:c r="C1660" s="11" t="n">
        <x:v>46109</x:v>
      </x:c>
      <x:c r="D1660" s="13" t="n">
        <x:v>459.06</x:v>
      </x:c>
    </x:row>
    <x:row r="1661">
      <x:c r="A1661" s="9" t="str">
        <x:v>1657</x:v>
      </x:c>
      <x:c r="B1661" s="9" t="str">
        <x:v>844</x:v>
      </x:c>
      <x:c r="C1661" s="11" t="n">
        <x:v>46155</x:v>
      </x:c>
      <x:c r="D1661" s="13" t="n">
        <x:v>321.19</x:v>
      </x:c>
    </x:row>
    <x:row r="1662">
      <x:c r="A1662" s="9" t="str">
        <x:v>1658</x:v>
      </x:c>
      <x:c r="B1662" s="9" t="str">
        <x:v>846</x:v>
      </x:c>
      <x:c r="C1662" s="11" t="n">
        <x:v>46185</x:v>
      </x:c>
      <x:c r="D1662" s="13" t="n">
        <x:v>523.49</x:v>
      </x:c>
    </x:row>
    <x:row r="1663">
      <x:c r="A1663" s="9" t="str">
        <x:v>1659</x:v>
      </x:c>
      <x:c r="B1663" s="9" t="str">
        <x:v>846</x:v>
      </x:c>
      <x:c r="C1663" s="11" t="n">
        <x:v>46188</x:v>
      </x:c>
      <x:c r="D1663" s="13" t="n">
        <x:v>389.63</x:v>
      </x:c>
    </x:row>
    <x:row r="1664">
      <x:c r="A1664" s="9" t="str">
        <x:v>1660</x:v>
      </x:c>
      <x:c r="B1664" s="9" t="str">
        <x:v>846</x:v>
      </x:c>
      <x:c r="C1664" s="11" t="n">
        <x:v>46170</x:v>
      </x:c>
      <x:c r="D1664" s="13" t="n">
        <x:v>427.31</x:v>
      </x:c>
    </x:row>
    <x:row r="1665">
      <x:c r="A1665" s="9" t="str">
        <x:v>1661</x:v>
      </x:c>
      <x:c r="B1665" s="9" t="str">
        <x:v>846</x:v>
      </x:c>
      <x:c r="C1665" s="11" t="n">
        <x:v>46181</x:v>
      </x:c>
      <x:c r="D1665" s="13" t="n">
        <x:v>106.29</x:v>
      </x:c>
    </x:row>
    <x:row r="1666">
      <x:c r="A1666" s="9" t="str">
        <x:v>1662</x:v>
      </x:c>
      <x:c r="B1666" s="9" t="str">
        <x:v>847</x:v>
      </x:c>
      <x:c r="C1666" s="11" t="n">
        <x:v>46162</x:v>
      </x:c>
      <x:c r="D1666" s="13" t="n">
        <x:v>294.04</x:v>
      </x:c>
    </x:row>
    <x:row r="1667">
      <x:c r="A1667" s="9" t="str">
        <x:v>1663</x:v>
      </x:c>
      <x:c r="B1667" s="9" t="str">
        <x:v>848</x:v>
      </x:c>
      <x:c r="C1667" s="11" t="n">
        <x:v>46138</x:v>
      </x:c>
      <x:c r="D1667" s="13" t="n">
        <x:v>416.32</x:v>
      </x:c>
    </x:row>
    <x:row r="1668">
      <x:c r="A1668" s="9" t="str">
        <x:v>1664</x:v>
      </x:c>
      <x:c r="B1668" s="9" t="str">
        <x:v>848</x:v>
      </x:c>
      <x:c r="C1668" s="11" t="n">
        <x:v>46067</x:v>
      </x:c>
      <x:c r="D1668" s="13" t="n">
        <x:v>1688.34</x:v>
      </x:c>
    </x:row>
    <x:row r="1669">
      <x:c r="A1669" s="9" t="str">
        <x:v>1665</x:v>
      </x:c>
      <x:c r="B1669" s="9" t="str">
        <x:v>848</x:v>
      </x:c>
      <x:c r="C1669" s="11" t="n">
        <x:v>46143</x:v>
      </x:c>
      <x:c r="D1669" s="13" t="n">
        <x:v>1208.47</x:v>
      </x:c>
    </x:row>
    <x:row r="1670">
      <x:c r="A1670" s="9" t="str">
        <x:v>1666</x:v>
      </x:c>
      <x:c r="B1670" s="9" t="str">
        <x:v>849</x:v>
      </x:c>
      <x:c r="C1670" s="11" t="n">
        <x:v>46165</x:v>
      </x:c>
      <x:c r="D1670" s="13" t="n">
        <x:v>959.48</x:v>
      </x:c>
    </x:row>
    <x:row r="1671">
      <x:c r="A1671" s="9" t="str">
        <x:v>1667</x:v>
      </x:c>
      <x:c r="B1671" s="9" t="str">
        <x:v>849</x:v>
      </x:c>
      <x:c r="C1671" s="11" t="n">
        <x:v>46164</x:v>
      </x:c>
      <x:c r="D1671" s="13" t="n">
        <x:v>691.56</x:v>
      </x:c>
    </x:row>
    <x:row r="1672">
      <x:c r="A1672" s="9" t="str">
        <x:v>1668</x:v>
      </x:c>
      <x:c r="B1672" s="9" t="str">
        <x:v>849</x:v>
      </x:c>
      <x:c r="C1672" s="11" t="n">
        <x:v>46182</x:v>
      </x:c>
      <x:c r="D1672" s="13" t="n">
        <x:v>437</x:v>
      </x:c>
    </x:row>
    <x:row r="1673">
      <x:c r="A1673" s="9" t="str">
        <x:v>1669</x:v>
      </x:c>
      <x:c r="B1673" s="9" t="str">
        <x:v>849</x:v>
      </x:c>
      <x:c r="C1673" s="11" t="n">
        <x:v>46167</x:v>
      </x:c>
      <x:c r="D1673" s="13" t="n">
        <x:v>862.21</x:v>
      </x:c>
    </x:row>
    <x:row r="1674">
      <x:c r="A1674" s="9" t="str">
        <x:v>1670</x:v>
      </x:c>
      <x:c r="B1674" s="9" t="str">
        <x:v>850</x:v>
      </x:c>
      <x:c r="C1674" s="11" t="n">
        <x:v>46156</x:v>
      </x:c>
      <x:c r="D1674" s="13" t="n">
        <x:v>1012.52</x:v>
      </x:c>
    </x:row>
    <x:row r="1675">
      <x:c r="A1675" s="9" t="str">
        <x:v>1671</x:v>
      </x:c>
      <x:c r="B1675" s="9" t="str">
        <x:v>850</x:v>
      </x:c>
      <x:c r="C1675" s="11" t="n">
        <x:v>46164</x:v>
      </x:c>
      <x:c r="D1675" s="13" t="n">
        <x:v>913.65</x:v>
      </x:c>
    </x:row>
    <x:row r="1676">
      <x:c r="A1676" s="9" t="str">
        <x:v>1672</x:v>
      </x:c>
      <x:c r="B1676" s="9" t="str">
        <x:v>850</x:v>
      </x:c>
      <x:c r="C1676" s="11" t="n">
        <x:v>46078</x:v>
      </x:c>
      <x:c r="D1676" s="13" t="n">
        <x:v>1662.43</x:v>
      </x:c>
    </x:row>
    <x:row r="1677">
      <x:c r="A1677" s="9" t="str">
        <x:v>1673</x:v>
      </x:c>
      <x:c r="B1677" s="9" t="str">
        <x:v>850</x:v>
      </x:c>
      <x:c r="C1677" s="11" t="n">
        <x:v>46115</x:v>
      </x:c>
      <x:c r="D1677" s="13" t="n">
        <x:v>2183.73</x:v>
      </x:c>
    </x:row>
    <x:row r="1678">
      <x:c r="A1678" s="9" t="str">
        <x:v>1674</x:v>
      </x:c>
      <x:c r="B1678" s="9" t="str">
        <x:v>851</x:v>
      </x:c>
      <x:c r="C1678" s="11" t="n">
        <x:v>46178</x:v>
      </x:c>
      <x:c r="D1678" s="13" t="n">
        <x:v>2019.31</x:v>
      </x:c>
    </x:row>
    <x:row r="1679">
      <x:c r="A1679" s="9" t="str">
        <x:v>1675</x:v>
      </x:c>
      <x:c r="B1679" s="9" t="str">
        <x:v>852</x:v>
      </x:c>
      <x:c r="C1679" s="11" t="n">
        <x:v>46165</x:v>
      </x:c>
      <x:c r="D1679" s="13" t="n">
        <x:v>1148.35</x:v>
      </x:c>
    </x:row>
    <x:row r="1680">
      <x:c r="A1680" s="9" t="str">
        <x:v>1676</x:v>
      </x:c>
      <x:c r="B1680" s="9" t="str">
        <x:v>852</x:v>
      </x:c>
      <x:c r="C1680" s="11" t="n">
        <x:v>46164</x:v>
      </x:c>
      <x:c r="D1680" s="13" t="n">
        <x:v>2388.53</x:v>
      </x:c>
    </x:row>
    <x:row r="1681">
      <x:c r="A1681" s="9" t="str">
        <x:v>1677</x:v>
      </x:c>
      <x:c r="B1681" s="9" t="str">
        <x:v>852</x:v>
      </x:c>
      <x:c r="C1681" s="11" t="n">
        <x:v>46079</x:v>
      </x:c>
      <x:c r="D1681" s="13" t="n">
        <x:v>174.11</x:v>
      </x:c>
    </x:row>
    <x:row r="1682">
      <x:c r="A1682" s="9" t="str">
        <x:v>1678</x:v>
      </x:c>
      <x:c r="B1682" s="9" t="str">
        <x:v>852</x:v>
      </x:c>
      <x:c r="C1682" s="11" t="n">
        <x:v>46164</x:v>
      </x:c>
      <x:c r="D1682" s="13" t="n">
        <x:v>316.14</x:v>
      </x:c>
    </x:row>
    <x:row r="1683">
      <x:c r="A1683" s="9" t="str">
        <x:v>1679</x:v>
      </x:c>
      <x:c r="B1683" s="9" t="str">
        <x:v>853</x:v>
      </x:c>
      <x:c r="C1683" s="11" t="n">
        <x:v>46179</x:v>
      </x:c>
      <x:c r="D1683" s="13" t="n">
        <x:v>138.38</x:v>
      </x:c>
    </x:row>
    <x:row r="1684">
      <x:c r="A1684" s="9" t="str">
        <x:v>1680</x:v>
      </x:c>
      <x:c r="B1684" s="9" t="str">
        <x:v>854</x:v>
      </x:c>
      <x:c r="C1684" s="11" t="n">
        <x:v>46154</x:v>
      </x:c>
      <x:c r="D1684" s="13" t="n">
        <x:v>180.43</x:v>
      </x:c>
    </x:row>
    <x:row r="1685">
      <x:c r="A1685" s="9" t="str">
        <x:v>1681</x:v>
      </x:c>
      <x:c r="B1685" s="9" t="str">
        <x:v>854</x:v>
      </x:c>
      <x:c r="C1685" s="11" t="n">
        <x:v>46139</x:v>
      </x:c>
      <x:c r="D1685" s="13" t="n">
        <x:v>461.6</x:v>
      </x:c>
    </x:row>
    <x:row r="1686">
      <x:c r="A1686" s="9" t="str">
        <x:v>1682</x:v>
      </x:c>
      <x:c r="B1686" s="9" t="str">
        <x:v>854</x:v>
      </x:c>
      <x:c r="C1686" s="11" t="n">
        <x:v>46148</x:v>
      </x:c>
      <x:c r="D1686" s="13" t="n">
        <x:v>738.05</x:v>
      </x:c>
    </x:row>
    <x:row r="1687">
      <x:c r="A1687" s="9" t="str">
        <x:v>1683</x:v>
      </x:c>
      <x:c r="B1687" s="9" t="str">
        <x:v>855</x:v>
      </x:c>
      <x:c r="C1687" s="11" t="n">
        <x:v>46083</x:v>
      </x:c>
      <x:c r="D1687" s="13" t="n">
        <x:v>1062.01</x:v>
      </x:c>
    </x:row>
    <x:row r="1688">
      <x:c r="A1688" s="9" t="str">
        <x:v>1684</x:v>
      </x:c>
      <x:c r="B1688" s="9" t="str">
        <x:v>855</x:v>
      </x:c>
      <x:c r="C1688" s="11" t="n">
        <x:v>46195</x:v>
      </x:c>
      <x:c r="D1688" s="13" t="n">
        <x:v>1234.71</x:v>
      </x:c>
    </x:row>
    <x:row r="1689">
      <x:c r="A1689" s="9" t="str">
        <x:v>1685</x:v>
      </x:c>
      <x:c r="B1689" s="9" t="str">
        <x:v>856</x:v>
      </x:c>
      <x:c r="C1689" s="11" t="n">
        <x:v>46121</x:v>
      </x:c>
      <x:c r="D1689" s="13" t="n">
        <x:v>83.8</x:v>
      </x:c>
    </x:row>
    <x:row r="1690">
      <x:c r="A1690" s="9" t="str">
        <x:v>1686</x:v>
      </x:c>
      <x:c r="B1690" s="9" t="str">
        <x:v>856</x:v>
      </x:c>
      <x:c r="C1690" s="11" t="n">
        <x:v>46173</x:v>
      </x:c>
      <x:c r="D1690" s="13" t="n">
        <x:v>501.74</x:v>
      </x:c>
    </x:row>
    <x:row r="1691">
      <x:c r="A1691" s="9" t="str">
        <x:v>1687</x:v>
      </x:c>
      <x:c r="B1691" s="9" t="str">
        <x:v>856</x:v>
      </x:c>
      <x:c r="C1691" s="11" t="n">
        <x:v>46196</x:v>
      </x:c>
      <x:c r="D1691" s="13" t="n">
        <x:v>165.95</x:v>
      </x:c>
    </x:row>
    <x:row r="1692">
      <x:c r="A1692" s="9" t="str">
        <x:v>1688</x:v>
      </x:c>
      <x:c r="B1692" s="9" t="str">
        <x:v>857</x:v>
      </x:c>
      <x:c r="C1692" s="11" t="n">
        <x:v>46110</x:v>
      </x:c>
      <x:c r="D1692" s="13" t="n">
        <x:v>528.5</x:v>
      </x:c>
    </x:row>
    <x:row r="1693">
      <x:c r="A1693" s="9" t="str">
        <x:v>1689</x:v>
      </x:c>
      <x:c r="B1693" s="9" t="str">
        <x:v>859</x:v>
      </x:c>
      <x:c r="C1693" s="11" t="n">
        <x:v>46170</x:v>
      </x:c>
      <x:c r="D1693" s="13" t="n">
        <x:v>560.32</x:v>
      </x:c>
    </x:row>
    <x:row r="1694">
      <x:c r="A1694" s="9" t="str">
        <x:v>1690</x:v>
      </x:c>
      <x:c r="B1694" s="9" t="str">
        <x:v>859</x:v>
      </x:c>
      <x:c r="C1694" s="11" t="n">
        <x:v>46194</x:v>
      </x:c>
      <x:c r="D1694" s="13" t="n">
        <x:v>760.41</x:v>
      </x:c>
    </x:row>
    <x:row r="1695">
      <x:c r="A1695" s="9" t="str">
        <x:v>1691</x:v>
      </x:c>
      <x:c r="B1695" s="9" t="str">
        <x:v>859</x:v>
      </x:c>
      <x:c r="C1695" s="11" t="n">
        <x:v>46191</x:v>
      </x:c>
      <x:c r="D1695" s="13" t="n">
        <x:v>455.82</x:v>
      </x:c>
    </x:row>
    <x:row r="1696">
      <x:c r="A1696" s="9" t="str">
        <x:v>1692</x:v>
      </x:c>
      <x:c r="B1696" s="9" t="str">
        <x:v>859</x:v>
      </x:c>
      <x:c r="C1696" s="11" t="n">
        <x:v>46203</x:v>
      </x:c>
      <x:c r="D1696" s="13" t="n">
        <x:v>968.43</x:v>
      </x:c>
    </x:row>
    <x:row r="1697">
      <x:c r="A1697" s="9" t="str">
        <x:v>1693</x:v>
      </x:c>
      <x:c r="B1697" s="9" t="str">
        <x:v>861</x:v>
      </x:c>
      <x:c r="C1697" s="11" t="n">
        <x:v>46148</x:v>
      </x:c>
      <x:c r="D1697" s="13" t="n">
        <x:v>422.33</x:v>
      </x:c>
    </x:row>
    <x:row r="1698">
      <x:c r="A1698" s="9" t="str">
        <x:v>1694</x:v>
      </x:c>
      <x:c r="B1698" s="9" t="str">
        <x:v>863</x:v>
      </x:c>
      <x:c r="C1698" s="11" t="n">
        <x:v>46182</x:v>
      </x:c>
      <x:c r="D1698" s="13" t="n">
        <x:v>109.05</x:v>
      </x:c>
    </x:row>
    <x:row r="1699">
      <x:c r="A1699" s="9" t="str">
        <x:v>1695</x:v>
      </x:c>
      <x:c r="B1699" s="9" t="str">
        <x:v>864</x:v>
      </x:c>
      <x:c r="C1699" s="11" t="n">
        <x:v>46119</x:v>
      </x:c>
      <x:c r="D1699" s="13" t="n">
        <x:v>691.51</x:v>
      </x:c>
    </x:row>
    <x:row r="1700">
      <x:c r="A1700" s="9" t="str">
        <x:v>1696</x:v>
      </x:c>
      <x:c r="B1700" s="9" t="str">
        <x:v>864</x:v>
      </x:c>
      <x:c r="C1700" s="11" t="n">
        <x:v>46189</x:v>
      </x:c>
      <x:c r="D1700" s="13" t="n">
        <x:v>1780.63</x:v>
      </x:c>
    </x:row>
    <x:row r="1701">
      <x:c r="A1701" s="9" t="str">
        <x:v>1697</x:v>
      </x:c>
      <x:c r="B1701" s="9" t="str">
        <x:v>865</x:v>
      </x:c>
      <x:c r="C1701" s="11" t="n">
        <x:v>46173</x:v>
      </x:c>
      <x:c r="D1701" s="13" t="n">
        <x:v>1423.66</x:v>
      </x:c>
    </x:row>
    <x:row r="1702">
      <x:c r="A1702" s="9" t="str">
        <x:v>1698</x:v>
      </x:c>
      <x:c r="B1702" s="9" t="str">
        <x:v>867</x:v>
      </x:c>
      <x:c r="C1702" s="11" t="n">
        <x:v>46126</x:v>
      </x:c>
      <x:c r="D1702" s="13" t="n">
        <x:v>1255.08</x:v>
      </x:c>
    </x:row>
    <x:row r="1703">
      <x:c r="A1703" s="9" t="str">
        <x:v>1699</x:v>
      </x:c>
      <x:c r="B1703" s="9" t="str">
        <x:v>868</x:v>
      </x:c>
      <x:c r="C1703" s="11" t="n">
        <x:v>46184</x:v>
      </x:c>
      <x:c r="D1703" s="13" t="n">
        <x:v>134.82</x:v>
      </x:c>
    </x:row>
    <x:row r="1704">
      <x:c r="A1704" s="9" t="str">
        <x:v>1700</x:v>
      </x:c>
      <x:c r="B1704" s="9" t="str">
        <x:v>868</x:v>
      </x:c>
      <x:c r="C1704" s="11" t="n">
        <x:v>46133</x:v>
      </x:c>
      <x:c r="D1704" s="13" t="n">
        <x:v>213.01</x:v>
      </x:c>
    </x:row>
    <x:row r="1705">
      <x:c r="A1705" s="9" t="str">
        <x:v>1701</x:v>
      </x:c>
      <x:c r="B1705" s="9" t="str">
        <x:v>868</x:v>
      </x:c>
      <x:c r="C1705" s="11" t="n">
        <x:v>46163</x:v>
      </x:c>
      <x:c r="D1705" s="13" t="n">
        <x:v>159.63</x:v>
      </x:c>
    </x:row>
    <x:row r="1706">
      <x:c r="A1706" s="9" t="str">
        <x:v>1702</x:v>
      </x:c>
      <x:c r="B1706" s="9" t="str">
        <x:v>869</x:v>
      </x:c>
      <x:c r="C1706" s="11" t="n">
        <x:v>46117</x:v>
      </x:c>
      <x:c r="D1706" s="13" t="n">
        <x:v>240.56</x:v>
      </x:c>
    </x:row>
    <x:row r="1707">
      <x:c r="A1707" s="9" t="str">
        <x:v>1703</x:v>
      </x:c>
      <x:c r="B1707" s="9" t="str">
        <x:v>869</x:v>
      </x:c>
      <x:c r="C1707" s="11" t="n">
        <x:v>46098</x:v>
      </x:c>
      <x:c r="D1707" s="13" t="n">
        <x:v>500.9</x:v>
      </x:c>
    </x:row>
    <x:row r="1708">
      <x:c r="A1708" s="9" t="str">
        <x:v>1704</x:v>
      </x:c>
      <x:c r="B1708" s="9" t="str">
        <x:v>869</x:v>
      </x:c>
      <x:c r="C1708" s="11" t="n">
        <x:v>46076</x:v>
      </x:c>
      <x:c r="D1708" s="13" t="n">
        <x:v>339.26</x:v>
      </x:c>
    </x:row>
    <x:row r="1709">
      <x:c r="A1709" s="9" t="str">
        <x:v>1705</x:v>
      </x:c>
      <x:c r="B1709" s="9" t="str">
        <x:v>869</x:v>
      </x:c>
      <x:c r="C1709" s="11" t="n">
        <x:v>46130</x:v>
      </x:c>
      <x:c r="D1709" s="13" t="n">
        <x:v>696.27</x:v>
      </x:c>
    </x:row>
    <x:row r="1710">
      <x:c r="A1710" s="9" t="str">
        <x:v>1706</x:v>
      </x:c>
      <x:c r="B1710" s="9" t="str">
        <x:v>870</x:v>
      </x:c>
      <x:c r="C1710" s="11" t="n">
        <x:v>46112</x:v>
      </x:c>
      <x:c r="D1710" s="13" t="n">
        <x:v>225.51</x:v>
      </x:c>
    </x:row>
    <x:row r="1711">
      <x:c r="A1711" s="9" t="str">
        <x:v>1707</x:v>
      </x:c>
      <x:c r="B1711" s="9" t="str">
        <x:v>870</x:v>
      </x:c>
      <x:c r="C1711" s="11" t="n">
        <x:v>46166</x:v>
      </x:c>
      <x:c r="D1711" s="13" t="n">
        <x:v>114.34</x:v>
      </x:c>
    </x:row>
    <x:row r="1712">
      <x:c r="A1712" s="9" t="str">
        <x:v>1708</x:v>
      </x:c>
      <x:c r="B1712" s="9" t="str">
        <x:v>870</x:v>
      </x:c>
      <x:c r="C1712" s="11" t="n">
        <x:v>46196</x:v>
      </x:c>
      <x:c r="D1712" s="13" t="n">
        <x:v>901.98</x:v>
      </x:c>
    </x:row>
    <x:row r="1713">
      <x:c r="A1713" s="9" t="str">
        <x:v>1709</x:v>
      </x:c>
      <x:c r="B1713" s="9" t="str">
        <x:v>871</x:v>
      </x:c>
      <x:c r="C1713" s="11" t="n">
        <x:v>46203</x:v>
      </x:c>
      <x:c r="D1713" s="13" t="n">
        <x:v>460</x:v>
      </x:c>
    </x:row>
    <x:row r="1714">
      <x:c r="A1714" s="9" t="str">
        <x:v>1710</x:v>
      </x:c>
      <x:c r="B1714" s="9" t="str">
        <x:v>872</x:v>
      </x:c>
      <x:c r="C1714" s="11" t="n">
        <x:v>46157</x:v>
      </x:c>
      <x:c r="D1714" s="13" t="n">
        <x:v>2567.31</x:v>
      </x:c>
    </x:row>
    <x:row r="1715">
      <x:c r="A1715" s="9" t="str">
        <x:v>1711</x:v>
      </x:c>
      <x:c r="B1715" s="9" t="str">
        <x:v>872</x:v>
      </x:c>
      <x:c r="C1715" s="11" t="n">
        <x:v>46149</x:v>
      </x:c>
      <x:c r="D1715" s="13" t="n">
        <x:v>1382.09</x:v>
      </x:c>
    </x:row>
    <x:row r="1716">
      <x:c r="A1716" s="9" t="str">
        <x:v>1712</x:v>
      </x:c>
      <x:c r="B1716" s="9" t="str">
        <x:v>873</x:v>
      </x:c>
      <x:c r="C1716" s="11" t="n">
        <x:v>46091</x:v>
      </x:c>
      <x:c r="D1716" s="13" t="n">
        <x:v>1522.47</x:v>
      </x:c>
    </x:row>
    <x:row r="1717">
      <x:c r="A1717" s="9" t="str">
        <x:v>1713</x:v>
      </x:c>
      <x:c r="B1717" s="9" t="str">
        <x:v>873</x:v>
      </x:c>
      <x:c r="C1717" s="11" t="n">
        <x:v>46195</x:v>
      </x:c>
      <x:c r="D1717" s="13" t="n">
        <x:v>306.73</x:v>
      </x:c>
    </x:row>
    <x:row r="1718">
      <x:c r="A1718" s="9" t="str">
        <x:v>1714</x:v>
      </x:c>
      <x:c r="B1718" s="9" t="str">
        <x:v>873</x:v>
      </x:c>
      <x:c r="C1718" s="11" t="n">
        <x:v>46195</x:v>
      </x:c>
      <x:c r="D1718" s="13" t="n">
        <x:v>1580.24</x:v>
      </x:c>
    </x:row>
    <x:row r="1719">
      <x:c r="A1719" s="9" t="str">
        <x:v>1715</x:v>
      </x:c>
      <x:c r="B1719" s="9" t="str">
        <x:v>873</x:v>
      </x:c>
      <x:c r="C1719" s="11" t="n">
        <x:v>46084</x:v>
      </x:c>
      <x:c r="D1719" s="13" t="n">
        <x:v>442.05</x:v>
      </x:c>
    </x:row>
    <x:row r="1720">
      <x:c r="A1720" s="9" t="str">
        <x:v>1716</x:v>
      </x:c>
      <x:c r="B1720" s="9" t="str">
        <x:v>874</x:v>
      </x:c>
      <x:c r="C1720" s="11" t="n">
        <x:v>46103</x:v>
      </x:c>
      <x:c r="D1720" s="13" t="n">
        <x:v>1199.28</x:v>
      </x:c>
    </x:row>
    <x:row r="1721">
      <x:c r="A1721" s="9" t="str">
        <x:v>1717</x:v>
      </x:c>
      <x:c r="B1721" s="9" t="str">
        <x:v>874</x:v>
      </x:c>
      <x:c r="C1721" s="11" t="n">
        <x:v>46159</x:v>
      </x:c>
      <x:c r="D1721" s="13" t="n">
        <x:v>866.6</x:v>
      </x:c>
    </x:row>
    <x:row r="1722">
      <x:c r="A1722" s="9" t="str">
        <x:v>1718</x:v>
      </x:c>
      <x:c r="B1722" s="9" t="str">
        <x:v>875</x:v>
      </x:c>
      <x:c r="C1722" s="11" t="n">
        <x:v>46198</x:v>
      </x:c>
      <x:c r="D1722" s="13" t="n">
        <x:v>2355.28</x:v>
      </x:c>
    </x:row>
    <x:row r="1723">
      <x:c r="A1723" s="9" t="str">
        <x:v>1719</x:v>
      </x:c>
      <x:c r="B1723" s="9" t="str">
        <x:v>875</x:v>
      </x:c>
      <x:c r="C1723" s="11" t="n">
        <x:v>46146</x:v>
      </x:c>
      <x:c r="D1723" s="13" t="n">
        <x:v>1673.67</x:v>
      </x:c>
    </x:row>
    <x:row r="1724">
      <x:c r="A1724" s="9" t="str">
        <x:v>1720</x:v>
      </x:c>
      <x:c r="B1724" s="9" t="str">
        <x:v>875</x:v>
      </x:c>
      <x:c r="C1724" s="11" t="n">
        <x:v>46183</x:v>
      </x:c>
      <x:c r="D1724" s="13" t="n">
        <x:v>94.18</x:v>
      </x:c>
    </x:row>
    <x:row r="1725">
      <x:c r="A1725" s="9" t="str">
        <x:v>1721</x:v>
      </x:c>
      <x:c r="B1725" s="9" t="str">
        <x:v>876</x:v>
      </x:c>
      <x:c r="C1725" s="11" t="n">
        <x:v>46063</x:v>
      </x:c>
      <x:c r="D1725" s="13" t="n">
        <x:v>1397.29</x:v>
      </x:c>
    </x:row>
    <x:row r="1726">
      <x:c r="A1726" s="9" t="str">
        <x:v>1722</x:v>
      </x:c>
      <x:c r="B1726" s="9" t="str">
        <x:v>876</x:v>
      </x:c>
      <x:c r="C1726" s="11" t="n">
        <x:v>46183</x:v>
      </x:c>
      <x:c r="D1726" s="13" t="n">
        <x:v>1834.72</x:v>
      </x:c>
    </x:row>
    <x:row r="1727">
      <x:c r="A1727" s="9" t="str">
        <x:v>1723</x:v>
      </x:c>
      <x:c r="B1727" s="9" t="str">
        <x:v>876</x:v>
      </x:c>
      <x:c r="C1727" s="11" t="n">
        <x:v>46153</x:v>
      </x:c>
      <x:c r="D1727" s="13" t="n">
        <x:v>1382.9</x:v>
      </x:c>
    </x:row>
    <x:row r="1728">
      <x:c r="A1728" s="9" t="str">
        <x:v>1724</x:v>
      </x:c>
      <x:c r="B1728" s="9" t="str">
        <x:v>876</x:v>
      </x:c>
      <x:c r="C1728" s="11" t="n">
        <x:v>46047</x:v>
      </x:c>
      <x:c r="D1728" s="13" t="n">
        <x:v>1481.9</x:v>
      </x:c>
    </x:row>
    <x:row r="1729">
      <x:c r="A1729" s="9" t="str">
        <x:v>1725</x:v>
      </x:c>
      <x:c r="B1729" s="9" t="str">
        <x:v>877</x:v>
      </x:c>
      <x:c r="C1729" s="11" t="n">
        <x:v>46175</x:v>
      </x:c>
      <x:c r="D1729" s="13" t="n">
        <x:v>727.48</x:v>
      </x:c>
    </x:row>
    <x:row r="1730">
      <x:c r="A1730" s="9" t="str">
        <x:v>1726</x:v>
      </x:c>
      <x:c r="B1730" s="9" t="str">
        <x:v>878</x:v>
      </x:c>
      <x:c r="C1730" s="11" t="n">
        <x:v>46155</x:v>
      </x:c>
      <x:c r="D1730" s="13" t="n">
        <x:v>1116.15</x:v>
      </x:c>
    </x:row>
    <x:row r="1731">
      <x:c r="A1731" s="9" t="str">
        <x:v>1727</x:v>
      </x:c>
      <x:c r="B1731" s="9" t="str">
        <x:v>878</x:v>
      </x:c>
      <x:c r="C1731" s="11" t="n">
        <x:v>46200</x:v>
      </x:c>
      <x:c r="D1731" s="13" t="n">
        <x:v>841.85</x:v>
      </x:c>
    </x:row>
    <x:row r="1732">
      <x:c r="A1732" s="9" t="str">
        <x:v>1728</x:v>
      </x:c>
      <x:c r="B1732" s="9" t="str">
        <x:v>878</x:v>
      </x:c>
      <x:c r="C1732" s="11" t="n">
        <x:v>46131</x:v>
      </x:c>
      <x:c r="D1732" s="13" t="n">
        <x:v>765.06</x:v>
      </x:c>
    </x:row>
    <x:row r="1733">
      <x:c r="A1733" s="9" t="str">
        <x:v>1729</x:v>
      </x:c>
      <x:c r="B1733" s="9" t="str">
        <x:v>878</x:v>
      </x:c>
      <x:c r="C1733" s="11" t="n">
        <x:v>46125</x:v>
      </x:c>
      <x:c r="D1733" s="13" t="n">
        <x:v>1326.04</x:v>
      </x:c>
    </x:row>
    <x:row r="1734">
      <x:c r="A1734" s="9" t="str">
        <x:v>1730</x:v>
      </x:c>
      <x:c r="B1734" s="9" t="str">
        <x:v>879</x:v>
      </x:c>
      <x:c r="C1734" s="11" t="n">
        <x:v>46187</x:v>
      </x:c>
      <x:c r="D1734" s="13" t="n">
        <x:v>132.06</x:v>
      </x:c>
    </x:row>
    <x:row r="1735">
      <x:c r="A1735" s="9" t="str">
        <x:v>1731</x:v>
      </x:c>
      <x:c r="B1735" s="9" t="str">
        <x:v>879</x:v>
      </x:c>
      <x:c r="C1735" s="11" t="n">
        <x:v>46174</x:v>
      </x:c>
      <x:c r="D1735" s="13" t="n">
        <x:v>85.22</x:v>
      </x:c>
    </x:row>
    <x:row r="1736">
      <x:c r="A1736" s="9" t="str">
        <x:v>1732</x:v>
      </x:c>
      <x:c r="B1736" s="9" t="str">
        <x:v>880</x:v>
      </x:c>
      <x:c r="C1736" s="11" t="n">
        <x:v>46108</x:v>
      </x:c>
      <x:c r="D1736" s="13" t="n">
        <x:v>324.91</x:v>
      </x:c>
    </x:row>
    <x:row r="1737">
      <x:c r="A1737" s="9" t="str">
        <x:v>1733</x:v>
      </x:c>
      <x:c r="B1737" s="9" t="str">
        <x:v>880</x:v>
      </x:c>
      <x:c r="C1737" s="11" t="n">
        <x:v>46130</x:v>
      </x:c>
      <x:c r="D1737" s="13" t="n">
        <x:v>351.95</x:v>
      </x:c>
    </x:row>
    <x:row r="1738">
      <x:c r="A1738" s="9" t="str">
        <x:v>1734</x:v>
      </x:c>
      <x:c r="B1738" s="9" t="str">
        <x:v>881</x:v>
      </x:c>
      <x:c r="C1738" s="11" t="n">
        <x:v>46194</x:v>
      </x:c>
      <x:c r="D1738" s="13" t="n">
        <x:v>588.11</x:v>
      </x:c>
    </x:row>
    <x:row r="1739">
      <x:c r="A1739" s="9" t="str">
        <x:v>1735</x:v>
      </x:c>
      <x:c r="B1739" s="9" t="str">
        <x:v>881</x:v>
      </x:c>
      <x:c r="C1739" s="11" t="n">
        <x:v>46189</x:v>
      </x:c>
      <x:c r="D1739" s="13" t="n">
        <x:v>393.6</x:v>
      </x:c>
    </x:row>
    <x:row r="1740">
      <x:c r="A1740" s="9" t="str">
        <x:v>1736</x:v>
      </x:c>
      <x:c r="B1740" s="9" t="str">
        <x:v>881</x:v>
      </x:c>
      <x:c r="C1740" s="11" t="n">
        <x:v>46157</x:v>
      </x:c>
      <x:c r="D1740" s="13" t="n">
        <x:v>551.69</x:v>
      </x:c>
    </x:row>
    <x:row r="1741">
      <x:c r="A1741" s="9" t="str">
        <x:v>1737</x:v>
      </x:c>
      <x:c r="B1741" s="9" t="str">
        <x:v>882</x:v>
      </x:c>
      <x:c r="C1741" s="11" t="n">
        <x:v>46109</x:v>
      </x:c>
      <x:c r="D1741" s="13" t="n">
        <x:v>764.74</x:v>
      </x:c>
    </x:row>
    <x:row r="1742">
      <x:c r="A1742" s="9" t="str">
        <x:v>1738</x:v>
      </x:c>
      <x:c r="B1742" s="9" t="str">
        <x:v>882</x:v>
      </x:c>
      <x:c r="C1742" s="11" t="n">
        <x:v>46190</x:v>
      </x:c>
      <x:c r="D1742" s="13" t="n">
        <x:v>192.43</x:v>
      </x:c>
    </x:row>
    <x:row r="1743">
      <x:c r="A1743" s="9" t="str">
        <x:v>1739</x:v>
      </x:c>
      <x:c r="B1743" s="9" t="str">
        <x:v>884</x:v>
      </x:c>
      <x:c r="C1743" s="11" t="n">
        <x:v>46195</x:v>
      </x:c>
      <x:c r="D1743" s="13" t="n">
        <x:v>875.38</x:v>
      </x:c>
    </x:row>
    <x:row r="1744">
      <x:c r="A1744" s="9" t="str">
        <x:v>1740</x:v>
      </x:c>
      <x:c r="B1744" s="9" t="str">
        <x:v>884</x:v>
      </x:c>
      <x:c r="C1744" s="11" t="n">
        <x:v>46097</x:v>
      </x:c>
      <x:c r="D1744" s="13" t="n">
        <x:v>2128.25</x:v>
      </x:c>
    </x:row>
    <x:row r="1745">
      <x:c r="A1745" s="9" t="str">
        <x:v>1741</x:v>
      </x:c>
      <x:c r="B1745" s="9" t="str">
        <x:v>884</x:v>
      </x:c>
      <x:c r="C1745" s="11" t="n">
        <x:v>46120</x:v>
      </x:c>
      <x:c r="D1745" s="13" t="n">
        <x:v>2400.89</x:v>
      </x:c>
    </x:row>
    <x:row r="1746">
      <x:c r="A1746" s="9" t="str">
        <x:v>1742</x:v>
      </x:c>
      <x:c r="B1746" s="9" t="str">
        <x:v>884</x:v>
      </x:c>
      <x:c r="C1746" s="11" t="n">
        <x:v>46164</x:v>
      </x:c>
      <x:c r="D1746" s="13" t="n">
        <x:v>957.2</x:v>
      </x:c>
    </x:row>
    <x:row r="1747">
      <x:c r="A1747" s="9" t="str">
        <x:v>1743</x:v>
      </x:c>
      <x:c r="B1747" s="9" t="str">
        <x:v>886</x:v>
      </x:c>
      <x:c r="C1747" s="11" t="n">
        <x:v>46195</x:v>
      </x:c>
      <x:c r="D1747" s="13" t="n">
        <x:v>142.13</x:v>
      </x:c>
    </x:row>
    <x:row r="1748">
      <x:c r="A1748" s="9" t="str">
        <x:v>1744</x:v>
      </x:c>
      <x:c r="B1748" s="9" t="str">
        <x:v>887</x:v>
      </x:c>
      <x:c r="C1748" s="11" t="n">
        <x:v>46119</x:v>
      </x:c>
      <x:c r="D1748" s="13" t="n">
        <x:v>1625.12</x:v>
      </x:c>
    </x:row>
    <x:row r="1749">
      <x:c r="A1749" s="9" t="str">
        <x:v>1745</x:v>
      </x:c>
      <x:c r="B1749" s="9" t="str">
        <x:v>887</x:v>
      </x:c>
      <x:c r="C1749" s="11" t="n">
        <x:v>46100</x:v>
      </x:c>
      <x:c r="D1749" s="13" t="n">
        <x:v>2200.87</x:v>
      </x:c>
    </x:row>
    <x:row r="1750">
      <x:c r="A1750" s="9" t="str">
        <x:v>1746</x:v>
      </x:c>
      <x:c r="B1750" s="9" t="str">
        <x:v>887</x:v>
      </x:c>
      <x:c r="C1750" s="11" t="n">
        <x:v>46177</x:v>
      </x:c>
      <x:c r="D1750" s="13" t="n">
        <x:v>2574.3</x:v>
      </x:c>
    </x:row>
    <x:row r="1751">
      <x:c r="A1751" s="9" t="str">
        <x:v>1747</x:v>
      </x:c>
      <x:c r="B1751" s="9" t="str">
        <x:v>887</x:v>
      </x:c>
      <x:c r="C1751" s="11" t="n">
        <x:v>46179</x:v>
      </x:c>
      <x:c r="D1751" s="13" t="n">
        <x:v>2437.59</x:v>
      </x:c>
    </x:row>
    <x:row r="1752">
      <x:c r="A1752" s="9" t="str">
        <x:v>1748</x:v>
      </x:c>
      <x:c r="B1752" s="9" t="str">
        <x:v>888</x:v>
      </x:c>
      <x:c r="C1752" s="11" t="n">
        <x:v>46113</x:v>
      </x:c>
      <x:c r="D1752" s="13" t="n">
        <x:v>1506.95</x:v>
      </x:c>
    </x:row>
    <x:row r="1753">
      <x:c r="A1753" s="9" t="str">
        <x:v>1749</x:v>
      </x:c>
      <x:c r="B1753" s="9" t="str">
        <x:v>889</x:v>
      </x:c>
      <x:c r="C1753" s="11" t="n">
        <x:v>46074</x:v>
      </x:c>
      <x:c r="D1753" s="13" t="n">
        <x:v>140.13</x:v>
      </x:c>
    </x:row>
    <x:row r="1754">
      <x:c r="A1754" s="9" t="str">
        <x:v>1750</x:v>
      </x:c>
      <x:c r="B1754" s="9" t="str">
        <x:v>889</x:v>
      </x:c>
      <x:c r="C1754" s="11" t="n">
        <x:v>46109</x:v>
      </x:c>
      <x:c r="D1754" s="13" t="n">
        <x:v>189.56</x:v>
      </x:c>
    </x:row>
    <x:row r="1755">
      <x:c r="A1755" s="9" t="str">
        <x:v>1751</x:v>
      </x:c>
      <x:c r="B1755" s="9" t="str">
        <x:v>890</x:v>
      </x:c>
      <x:c r="C1755" s="11" t="n">
        <x:v>46195</x:v>
      </x:c>
      <x:c r="D1755" s="13" t="n">
        <x:v>1827.49</x:v>
      </x:c>
    </x:row>
    <x:row r="1756">
      <x:c r="A1756" s="9" t="str">
        <x:v>1752</x:v>
      </x:c>
      <x:c r="B1756" s="9" t="str">
        <x:v>891</x:v>
      </x:c>
      <x:c r="C1756" s="11" t="n">
        <x:v>46198</x:v>
      </x:c>
      <x:c r="D1756" s="13" t="n">
        <x:v>518.36</x:v>
      </x:c>
    </x:row>
    <x:row r="1757">
      <x:c r="A1757" s="9" t="str">
        <x:v>1753</x:v>
      </x:c>
      <x:c r="B1757" s="9" t="str">
        <x:v>892</x:v>
      </x:c>
      <x:c r="C1757" s="11" t="n">
        <x:v>46182</x:v>
      </x:c>
      <x:c r="D1757" s="13" t="n">
        <x:v>437.3</x:v>
      </x:c>
    </x:row>
    <x:row r="1758">
      <x:c r="A1758" s="9" t="str">
        <x:v>1754</x:v>
      </x:c>
      <x:c r="B1758" s="9" t="str">
        <x:v>892</x:v>
      </x:c>
      <x:c r="C1758" s="11" t="n">
        <x:v>46174</x:v>
      </x:c>
      <x:c r="D1758" s="13" t="n">
        <x:v>1505.57</x:v>
      </x:c>
    </x:row>
    <x:row r="1759">
      <x:c r="A1759" s="9" t="str">
        <x:v>1755</x:v>
      </x:c>
      <x:c r="B1759" s="9" t="str">
        <x:v>894</x:v>
      </x:c>
      <x:c r="C1759" s="11" t="n">
        <x:v>46166</x:v>
      </x:c>
      <x:c r="D1759" s="13" t="n">
        <x:v>35.75</x:v>
      </x:c>
    </x:row>
    <x:row r="1760">
      <x:c r="A1760" s="9" t="str">
        <x:v>1756</x:v>
      </x:c>
      <x:c r="B1760" s="9" t="str">
        <x:v>895</x:v>
      </x:c>
      <x:c r="C1760" s="11" t="n">
        <x:v>46111</x:v>
      </x:c>
      <x:c r="D1760" s="13" t="n">
        <x:v>875.31</x:v>
      </x:c>
    </x:row>
    <x:row r="1761">
      <x:c r="A1761" s="9" t="str">
        <x:v>1757</x:v>
      </x:c>
      <x:c r="B1761" s="9" t="str">
        <x:v>895</x:v>
      </x:c>
      <x:c r="C1761" s="11" t="n">
        <x:v>46105</x:v>
      </x:c>
      <x:c r="D1761" s="13" t="n">
        <x:v>80.12</x:v>
      </x:c>
    </x:row>
    <x:row r="1762">
      <x:c r="A1762" s="9" t="str">
        <x:v>1758</x:v>
      </x:c>
      <x:c r="B1762" s="9" t="str">
        <x:v>895</x:v>
      </x:c>
      <x:c r="C1762" s="11" t="n">
        <x:v>46098</x:v>
      </x:c>
      <x:c r="D1762" s="13" t="n">
        <x:v>804.08</x:v>
      </x:c>
    </x:row>
    <x:row r="1763">
      <x:c r="A1763" s="9" t="str">
        <x:v>1759</x:v>
      </x:c>
      <x:c r="B1763" s="9" t="str">
        <x:v>896</x:v>
      </x:c>
      <x:c r="C1763" s="11" t="n">
        <x:v>46163</x:v>
      </x:c>
      <x:c r="D1763" s="13" t="n">
        <x:v>51.83</x:v>
      </x:c>
    </x:row>
    <x:row r="1764">
      <x:c r="A1764" s="9" t="str">
        <x:v>1760</x:v>
      </x:c>
      <x:c r="B1764" s="9" t="str">
        <x:v>896</x:v>
      </x:c>
      <x:c r="C1764" s="11" t="n">
        <x:v>46136</x:v>
      </x:c>
      <x:c r="D1764" s="13" t="n">
        <x:v>188.24</x:v>
      </x:c>
    </x:row>
    <x:row r="1765">
      <x:c r="A1765" s="9" t="str">
        <x:v>1761</x:v>
      </x:c>
      <x:c r="B1765" s="9" t="str">
        <x:v>896</x:v>
      </x:c>
      <x:c r="C1765" s="11" t="n">
        <x:v>46161</x:v>
      </x:c>
      <x:c r="D1765" s="13" t="n">
        <x:v>703.57</x:v>
      </x:c>
    </x:row>
    <x:row r="1766">
      <x:c r="A1766" s="9" t="str">
        <x:v>1762</x:v>
      </x:c>
      <x:c r="B1766" s="9" t="str">
        <x:v>896</x:v>
      </x:c>
      <x:c r="C1766" s="11" t="n">
        <x:v>46099</x:v>
      </x:c>
      <x:c r="D1766" s="13" t="n">
        <x:v>335.94</x:v>
      </x:c>
    </x:row>
    <x:row r="1767">
      <x:c r="A1767" s="9" t="str">
        <x:v>1763</x:v>
      </x:c>
      <x:c r="B1767" s="9" t="str">
        <x:v>897</x:v>
      </x:c>
      <x:c r="C1767" s="11" t="n">
        <x:v>46064</x:v>
      </x:c>
      <x:c r="D1767" s="13" t="n">
        <x:v>145.82</x:v>
      </x:c>
    </x:row>
    <x:row r="1768">
      <x:c r="A1768" s="9" t="str">
        <x:v>1764</x:v>
      </x:c>
      <x:c r="B1768" s="9" t="str">
        <x:v>897</x:v>
      </x:c>
      <x:c r="C1768" s="11" t="n">
        <x:v>46071</x:v>
      </x:c>
      <x:c r="D1768" s="13" t="n">
        <x:v>379.68</x:v>
      </x:c>
    </x:row>
    <x:row r="1769">
      <x:c r="A1769" s="9" t="str">
        <x:v>1765</x:v>
      </x:c>
      <x:c r="B1769" s="9" t="str">
        <x:v>897</x:v>
      </x:c>
      <x:c r="C1769" s="11" t="n">
        <x:v>46049</x:v>
      </x:c>
      <x:c r="D1769" s="13" t="n">
        <x:v>141.67</x:v>
      </x:c>
    </x:row>
    <x:row r="1770">
      <x:c r="A1770" s="9" t="str">
        <x:v>1766</x:v>
      </x:c>
      <x:c r="B1770" s="9" t="str">
        <x:v>897</x:v>
      </x:c>
      <x:c r="C1770" s="11" t="n">
        <x:v>46031</x:v>
      </x:c>
      <x:c r="D1770" s="13" t="n">
        <x:v>382.83</x:v>
      </x:c>
    </x:row>
    <x:row r="1771">
      <x:c r="A1771" s="9" t="str">
        <x:v>1767</x:v>
      </x:c>
      <x:c r="B1771" s="9" t="str">
        <x:v>899</x:v>
      </x:c>
      <x:c r="C1771" s="11" t="n">
        <x:v>46182</x:v>
      </x:c>
      <x:c r="D1771" s="13" t="n">
        <x:v>2613.39</x:v>
      </x:c>
    </x:row>
    <x:row r="1772">
      <x:c r="A1772" s="9" t="str">
        <x:v>1768</x:v>
      </x:c>
      <x:c r="B1772" s="9" t="str">
        <x:v>899</x:v>
      </x:c>
      <x:c r="C1772" s="11" t="n">
        <x:v>46176</x:v>
      </x:c>
      <x:c r="D1772" s="13" t="n">
        <x:v>99.59</x:v>
      </x:c>
    </x:row>
    <x:row r="1773">
      <x:c r="A1773" s="9" t="str">
        <x:v>1769</x:v>
      </x:c>
      <x:c r="B1773" s="9" t="str">
        <x:v>899</x:v>
      </x:c>
      <x:c r="C1773" s="11" t="n">
        <x:v>46106</x:v>
      </x:c>
      <x:c r="D1773" s="13" t="n">
        <x:v>519.44</x:v>
      </x:c>
    </x:row>
    <x:row r="1774">
      <x:c r="A1774" s="9" t="str">
        <x:v>1770</x:v>
      </x:c>
      <x:c r="B1774" s="9" t="str">
        <x:v>899</x:v>
      </x:c>
      <x:c r="C1774" s="11" t="n">
        <x:v>46092</x:v>
      </x:c>
      <x:c r="D1774" s="13" t="n">
        <x:v>2388.87</x:v>
      </x:c>
    </x:row>
    <x:row r="1775">
      <x:c r="A1775" s="9" t="str">
        <x:v>1771</x:v>
      </x:c>
      <x:c r="B1775" s="9" t="str">
        <x:v>900</x:v>
      </x:c>
      <x:c r="C1775" s="11" t="n">
        <x:v>46109</x:v>
      </x:c>
      <x:c r="D1775" s="13" t="n">
        <x:v>1121.55</x:v>
      </x:c>
    </x:row>
    <x:row r="1776">
      <x:c r="A1776" s="9" t="str">
        <x:v>1772</x:v>
      </x:c>
      <x:c r="B1776" s="9" t="str">
        <x:v>902</x:v>
      </x:c>
      <x:c r="C1776" s="11" t="n">
        <x:v>46194</x:v>
      </x:c>
      <x:c r="D1776" s="13" t="n">
        <x:v>1402.1</x:v>
      </x:c>
    </x:row>
    <x:row r="1777">
      <x:c r="A1777" s="9" t="str">
        <x:v>1773</x:v>
      </x:c>
      <x:c r="B1777" s="9" t="str">
        <x:v>902</x:v>
      </x:c>
      <x:c r="C1777" s="11" t="n">
        <x:v>46115</x:v>
      </x:c>
      <x:c r="D1777" s="13" t="n">
        <x:v>290.59</x:v>
      </x:c>
    </x:row>
    <x:row r="1778">
      <x:c r="A1778" s="9" t="str">
        <x:v>1774</x:v>
      </x:c>
      <x:c r="B1778" s="9" t="str">
        <x:v>903</x:v>
      </x:c>
      <x:c r="C1778" s="11" t="n">
        <x:v>46182</x:v>
      </x:c>
      <x:c r="D1778" s="13" t="n">
        <x:v>660.62</x:v>
      </x:c>
    </x:row>
    <x:row r="1779">
      <x:c r="A1779" s="9" t="str">
        <x:v>1775</x:v>
      </x:c>
      <x:c r="B1779" s="9" t="str">
        <x:v>903</x:v>
      </x:c>
      <x:c r="C1779" s="11" t="n">
        <x:v>46132</x:v>
      </x:c>
      <x:c r="D1779" s="13" t="n">
        <x:v>601.75</x:v>
      </x:c>
    </x:row>
    <x:row r="1780">
      <x:c r="A1780" s="9" t="str">
        <x:v>1776</x:v>
      </x:c>
      <x:c r="B1780" s="9" t="str">
        <x:v>903</x:v>
      </x:c>
      <x:c r="C1780" s="11" t="n">
        <x:v>46116</x:v>
      </x:c>
      <x:c r="D1780" s="13" t="n">
        <x:v>564.68</x:v>
      </x:c>
    </x:row>
    <x:row r="1781">
      <x:c r="A1781" s="9" t="str">
        <x:v>1777</x:v>
      </x:c>
      <x:c r="B1781" s="9" t="str">
        <x:v>904</x:v>
      </x:c>
      <x:c r="C1781" s="11" t="n">
        <x:v>46144</x:v>
      </x:c>
      <x:c r="D1781" s="13" t="n">
        <x:v>655.12</x:v>
      </x:c>
    </x:row>
    <x:row r="1782">
      <x:c r="A1782" s="9" t="str">
        <x:v>1778</x:v>
      </x:c>
      <x:c r="B1782" s="9" t="str">
        <x:v>905</x:v>
      </x:c>
      <x:c r="C1782" s="11" t="n">
        <x:v>46139</x:v>
      </x:c>
      <x:c r="D1782" s="13" t="n">
        <x:v>1457.92</x:v>
      </x:c>
    </x:row>
    <x:row r="1783">
      <x:c r="A1783" s="9" t="str">
        <x:v>1779</x:v>
      </x:c>
      <x:c r="B1783" s="9" t="str">
        <x:v>905</x:v>
      </x:c>
      <x:c r="C1783" s="11" t="n">
        <x:v>46148</x:v>
      </x:c>
      <x:c r="D1783" s="13" t="n">
        <x:v>2573.68</x:v>
      </x:c>
    </x:row>
    <x:row r="1784">
      <x:c r="A1784" s="9" t="str">
        <x:v>1780</x:v>
      </x:c>
      <x:c r="B1784" s="9" t="str">
        <x:v>905</x:v>
      </x:c>
      <x:c r="C1784" s="11" t="n">
        <x:v>46194</x:v>
      </x:c>
      <x:c r="D1784" s="13" t="n">
        <x:v>2231.96</x:v>
      </x:c>
    </x:row>
    <x:row r="1785">
      <x:c r="A1785" s="9" t="str">
        <x:v>1781</x:v>
      </x:c>
      <x:c r="B1785" s="9" t="str">
        <x:v>906</x:v>
      </x:c>
      <x:c r="C1785" s="11" t="n">
        <x:v>46168</x:v>
      </x:c>
      <x:c r="D1785" s="13" t="n">
        <x:v>83.36</x:v>
      </x:c>
    </x:row>
    <x:row r="1786">
      <x:c r="A1786" s="9" t="str">
        <x:v>1782</x:v>
      </x:c>
      <x:c r="B1786" s="9" t="str">
        <x:v>906</x:v>
      </x:c>
      <x:c r="C1786" s="11" t="n">
        <x:v>46199</x:v>
      </x:c>
      <x:c r="D1786" s="13" t="n">
        <x:v>34.26</x:v>
      </x:c>
    </x:row>
    <x:row r="1787">
      <x:c r="A1787" s="9" t="str">
        <x:v>1783</x:v>
      </x:c>
      <x:c r="B1787" s="9" t="str">
        <x:v>908</x:v>
      </x:c>
      <x:c r="C1787" s="11" t="n">
        <x:v>46148</x:v>
      </x:c>
      <x:c r="D1787" s="13" t="n">
        <x:v>956.65</x:v>
      </x:c>
    </x:row>
    <x:row r="1788">
      <x:c r="A1788" s="9" t="str">
        <x:v>1784</x:v>
      </x:c>
      <x:c r="B1788" s="9" t="str">
        <x:v>908</x:v>
      </x:c>
      <x:c r="C1788" s="11" t="n">
        <x:v>46143</x:v>
      </x:c>
      <x:c r="D1788" s="13" t="n">
        <x:v>732.33</x:v>
      </x:c>
    </x:row>
    <x:row r="1789">
      <x:c r="A1789" s="9" t="str">
        <x:v>1785</x:v>
      </x:c>
      <x:c r="B1789" s="9" t="str">
        <x:v>909</x:v>
      </x:c>
      <x:c r="C1789" s="11" t="n">
        <x:v>46188</x:v>
      </x:c>
      <x:c r="D1789" s="13" t="n">
        <x:v>2261.73</x:v>
      </x:c>
    </x:row>
    <x:row r="1790">
      <x:c r="A1790" s="9" t="str">
        <x:v>1786</x:v>
      </x:c>
      <x:c r="B1790" s="9" t="str">
        <x:v>909</x:v>
      </x:c>
      <x:c r="C1790" s="11" t="n">
        <x:v>46175</x:v>
      </x:c>
      <x:c r="D1790" s="13" t="n">
        <x:v>1340.43</x:v>
      </x:c>
    </x:row>
    <x:row r="1791">
      <x:c r="A1791" s="9" t="str">
        <x:v>1787</x:v>
      </x:c>
      <x:c r="B1791" s="9" t="str">
        <x:v>909</x:v>
      </x:c>
      <x:c r="C1791" s="11" t="n">
        <x:v>46138</x:v>
      </x:c>
      <x:c r="D1791" s="13" t="n">
        <x:v>165.62</x:v>
      </x:c>
    </x:row>
    <x:row r="1792">
      <x:c r="A1792" s="9" t="str">
        <x:v>1788</x:v>
      </x:c>
      <x:c r="B1792" s="9" t="str">
        <x:v>910</x:v>
      </x:c>
      <x:c r="C1792" s="11" t="n">
        <x:v>46184</x:v>
      </x:c>
      <x:c r="D1792" s="13" t="n">
        <x:v>343.21</x:v>
      </x:c>
    </x:row>
    <x:row r="1793">
      <x:c r="A1793" s="9" t="str">
        <x:v>1789</x:v>
      </x:c>
      <x:c r="B1793" s="9" t="str">
        <x:v>910</x:v>
      </x:c>
      <x:c r="C1793" s="11" t="n">
        <x:v>46184</x:v>
      </x:c>
      <x:c r="D1793" s="13" t="n">
        <x:v>525.93</x:v>
      </x:c>
    </x:row>
    <x:row r="1794">
      <x:c r="A1794" s="9" t="str">
        <x:v>1790</x:v>
      </x:c>
      <x:c r="B1794" s="9" t="str">
        <x:v>910</x:v>
      </x:c>
      <x:c r="C1794" s="11" t="n">
        <x:v>46111</x:v>
      </x:c>
      <x:c r="D1794" s="13" t="n">
        <x:v>1088.97</x:v>
      </x:c>
    </x:row>
    <x:row r="1795">
      <x:c r="A1795" s="9" t="str">
        <x:v>1791</x:v>
      </x:c>
      <x:c r="B1795" s="9" t="str">
        <x:v>912</x:v>
      </x:c>
      <x:c r="C1795" s="11" t="n">
        <x:v>46171</x:v>
      </x:c>
      <x:c r="D1795" s="13" t="n">
        <x:v>875.94</x:v>
      </x:c>
    </x:row>
    <x:row r="1796">
      <x:c r="A1796" s="9" t="str">
        <x:v>1792</x:v>
      </x:c>
      <x:c r="B1796" s="9" t="str">
        <x:v>912</x:v>
      </x:c>
      <x:c r="C1796" s="11" t="n">
        <x:v>46094</x:v>
      </x:c>
      <x:c r="D1796" s="13" t="n">
        <x:v>1554.85</x:v>
      </x:c>
    </x:row>
    <x:row r="1797">
      <x:c r="A1797" s="9" t="str">
        <x:v>1793</x:v>
      </x:c>
      <x:c r="B1797" s="9" t="str">
        <x:v>913</x:v>
      </x:c>
      <x:c r="C1797" s="11" t="n">
        <x:v>46139</x:v>
      </x:c>
      <x:c r="D1797" s="13" t="n">
        <x:v>107.91</x:v>
      </x:c>
    </x:row>
    <x:row r="1798">
      <x:c r="A1798" s="9" t="str">
        <x:v>1794</x:v>
      </x:c>
      <x:c r="B1798" s="9" t="str">
        <x:v>913</x:v>
      </x:c>
      <x:c r="C1798" s="11" t="n">
        <x:v>46170</x:v>
      </x:c>
      <x:c r="D1798" s="13" t="n">
        <x:v>1973.51</x:v>
      </x:c>
    </x:row>
    <x:row r="1799">
      <x:c r="A1799" s="9" t="str">
        <x:v>1795</x:v>
      </x:c>
      <x:c r="B1799" s="9" t="str">
        <x:v>914</x:v>
      </x:c>
      <x:c r="C1799" s="11" t="n">
        <x:v>46167</x:v>
      </x:c>
      <x:c r="D1799" s="13" t="n">
        <x:v>1606.06</x:v>
      </x:c>
    </x:row>
    <x:row r="1800">
      <x:c r="A1800" s="9" t="str">
        <x:v>1796</x:v>
      </x:c>
      <x:c r="B1800" s="9" t="str">
        <x:v>914</x:v>
      </x:c>
      <x:c r="C1800" s="11" t="n">
        <x:v>46189</x:v>
      </x:c>
      <x:c r="D1800" s="13" t="n">
        <x:v>109.34</x:v>
      </x:c>
    </x:row>
    <x:row r="1801">
      <x:c r="A1801" s="9" t="str">
        <x:v>1797</x:v>
      </x:c>
      <x:c r="B1801" s="9" t="str">
        <x:v>914</x:v>
      </x:c>
      <x:c r="C1801" s="11" t="n">
        <x:v>46192</x:v>
      </x:c>
      <x:c r="D1801" s="13" t="n">
        <x:v>790.21</x:v>
      </x:c>
    </x:row>
    <x:row r="1802">
      <x:c r="A1802" s="9" t="str">
        <x:v>1798</x:v>
      </x:c>
      <x:c r="B1802" s="9" t="str">
        <x:v>914</x:v>
      </x:c>
      <x:c r="C1802" s="11" t="n">
        <x:v>46140</x:v>
      </x:c>
      <x:c r="D1802" s="13" t="n">
        <x:v>1312.6</x:v>
      </x:c>
    </x:row>
    <x:row r="1803">
      <x:c r="A1803" s="9" t="str">
        <x:v>1799</x:v>
      </x:c>
      <x:c r="B1803" s="9" t="str">
        <x:v>915</x:v>
      </x:c>
      <x:c r="C1803" s="11" t="n">
        <x:v>46125</x:v>
      </x:c>
      <x:c r="D1803" s="13" t="n">
        <x:v>91.34</x:v>
      </x:c>
    </x:row>
    <x:row r="1804">
      <x:c r="A1804" s="9" t="str">
        <x:v>1800</x:v>
      </x:c>
      <x:c r="B1804" s="9" t="str">
        <x:v>915</x:v>
      </x:c>
      <x:c r="C1804" s="11" t="n">
        <x:v>46118</x:v>
      </x:c>
      <x:c r="D1804" s="13" t="n">
        <x:v>282.27</x:v>
      </x:c>
    </x:row>
    <x:row r="1805">
      <x:c r="A1805" s="9" t="str">
        <x:v>1801</x:v>
      </x:c>
      <x:c r="B1805" s="9" t="str">
        <x:v>916</x:v>
      </x:c>
      <x:c r="C1805" s="11" t="n">
        <x:v>46154</x:v>
      </x:c>
      <x:c r="D1805" s="13" t="n">
        <x:v>118.18</x:v>
      </x:c>
    </x:row>
    <x:row r="1806">
      <x:c r="A1806" s="9" t="str">
        <x:v>1802</x:v>
      </x:c>
      <x:c r="B1806" s="9" t="str">
        <x:v>916</x:v>
      </x:c>
      <x:c r="C1806" s="11" t="n">
        <x:v>46164</x:v>
      </x:c>
      <x:c r="D1806" s="13" t="n">
        <x:v>14.31</x:v>
      </x:c>
    </x:row>
    <x:row r="1807">
      <x:c r="A1807" s="9" t="str">
        <x:v>1803</x:v>
      </x:c>
      <x:c r="B1807" s="9" t="str">
        <x:v>916</x:v>
      </x:c>
      <x:c r="C1807" s="11" t="n">
        <x:v>46143</x:v>
      </x:c>
      <x:c r="D1807" s="13" t="n">
        <x:v>86.55</x:v>
      </x:c>
    </x:row>
    <x:row r="1808">
      <x:c r="A1808" s="9" t="str">
        <x:v>1804</x:v>
      </x:c>
      <x:c r="B1808" s="9" t="str">
        <x:v>917</x:v>
      </x:c>
      <x:c r="C1808" s="11" t="n">
        <x:v>46190</x:v>
      </x:c>
      <x:c r="D1808" s="13" t="n">
        <x:v>68.75</x:v>
      </x:c>
    </x:row>
    <x:row r="1809">
      <x:c r="A1809" s="9" t="str">
        <x:v>1805</x:v>
      </x:c>
      <x:c r="B1809" s="9" t="str">
        <x:v>917</x:v>
      </x:c>
      <x:c r="C1809" s="11" t="n">
        <x:v>46173</x:v>
      </x:c>
      <x:c r="D1809" s="13" t="n">
        <x:v>1744.04</x:v>
      </x:c>
    </x:row>
    <x:row r="1810">
      <x:c r="A1810" s="9" t="str">
        <x:v>1806</x:v>
      </x:c>
      <x:c r="B1810" s="9" t="str">
        <x:v>917</x:v>
      </x:c>
      <x:c r="C1810" s="11" t="n">
        <x:v>46176</x:v>
      </x:c>
      <x:c r="D1810" s="13" t="n">
        <x:v>2147.3</x:v>
      </x:c>
    </x:row>
    <x:row r="1811">
      <x:c r="A1811" s="9" t="str">
        <x:v>1807</x:v>
      </x:c>
      <x:c r="B1811" s="9" t="str">
        <x:v>919</x:v>
      </x:c>
      <x:c r="C1811" s="11" t="n">
        <x:v>46202</x:v>
      </x:c>
      <x:c r="D1811" s="13" t="n">
        <x:v>489.74</x:v>
      </x:c>
    </x:row>
    <x:row r="1812">
      <x:c r="A1812" s="9" t="str">
        <x:v>1808</x:v>
      </x:c>
      <x:c r="B1812" s="9" t="str">
        <x:v>919</x:v>
      </x:c>
      <x:c r="C1812" s="11" t="n">
        <x:v>46140</x:v>
      </x:c>
      <x:c r="D1812" s="13" t="n">
        <x:v>450.57</x:v>
      </x:c>
    </x:row>
    <x:row r="1813">
      <x:c r="A1813" s="9" t="str">
        <x:v>1809</x:v>
      </x:c>
      <x:c r="B1813" s="9" t="str">
        <x:v>919</x:v>
      </x:c>
      <x:c r="C1813" s="11" t="n">
        <x:v>46183</x:v>
      </x:c>
      <x:c r="D1813" s="13" t="n">
        <x:v>2688.57</x:v>
      </x:c>
    </x:row>
    <x:row r="1814">
      <x:c r="A1814" s="9" t="str">
        <x:v>1810</x:v>
      </x:c>
      <x:c r="B1814" s="9" t="str">
        <x:v>920</x:v>
      </x:c>
      <x:c r="C1814" s="11" t="n">
        <x:v>46190</x:v>
      </x:c>
      <x:c r="D1814" s="13" t="n">
        <x:v>85.14</x:v>
      </x:c>
    </x:row>
    <x:row r="1815">
      <x:c r="A1815" s="9" t="str">
        <x:v>1811</x:v>
      </x:c>
      <x:c r="B1815" s="9" t="str">
        <x:v>920</x:v>
      </x:c>
      <x:c r="C1815" s="11" t="n">
        <x:v>46161</x:v>
      </x:c>
      <x:c r="D1815" s="13" t="n">
        <x:v>48.63</x:v>
      </x:c>
    </x:row>
    <x:row r="1816">
      <x:c r="A1816" s="9" t="str">
        <x:v>1812</x:v>
      </x:c>
      <x:c r="B1816" s="9" t="str">
        <x:v>921</x:v>
      </x:c>
      <x:c r="C1816" s="11" t="n">
        <x:v>46114</x:v>
      </x:c>
      <x:c r="D1816" s="13" t="n">
        <x:v>1693.82</x:v>
      </x:c>
    </x:row>
    <x:row r="1817">
      <x:c r="A1817" s="9" t="str">
        <x:v>1813</x:v>
      </x:c>
      <x:c r="B1817" s="9" t="str">
        <x:v>921</x:v>
      </x:c>
      <x:c r="C1817" s="11" t="n">
        <x:v>46175</x:v>
      </x:c>
      <x:c r="D1817" s="13" t="n">
        <x:v>474.07</x:v>
      </x:c>
    </x:row>
    <x:row r="1818">
      <x:c r="A1818" s="9" t="str">
        <x:v>1814</x:v>
      </x:c>
      <x:c r="B1818" s="9" t="str">
        <x:v>921</x:v>
      </x:c>
      <x:c r="C1818" s="11" t="n">
        <x:v>46192</x:v>
      </x:c>
      <x:c r="D1818" s="13" t="n">
        <x:v>754.79</x:v>
      </x:c>
    </x:row>
    <x:row r="1819">
      <x:c r="A1819" s="9" t="str">
        <x:v>1815</x:v>
      </x:c>
      <x:c r="B1819" s="9" t="str">
        <x:v>921</x:v>
      </x:c>
      <x:c r="C1819" s="11" t="n">
        <x:v>46108</x:v>
      </x:c>
      <x:c r="D1819" s="13" t="n">
        <x:v>1473.25</x:v>
      </x:c>
    </x:row>
    <x:row r="1820">
      <x:c r="A1820" s="9" t="str">
        <x:v>1816</x:v>
      </x:c>
      <x:c r="B1820" s="9" t="str">
        <x:v>922</x:v>
      </x:c>
      <x:c r="C1820" s="11" t="n">
        <x:v>46149</x:v>
      </x:c>
      <x:c r="D1820" s="13" t="n">
        <x:v>1613.8</x:v>
      </x:c>
    </x:row>
    <x:row r="1821">
      <x:c r="A1821" s="9" t="str">
        <x:v>1817</x:v>
      </x:c>
      <x:c r="B1821" s="9" t="str">
        <x:v>922</x:v>
      </x:c>
      <x:c r="C1821" s="11" t="n">
        <x:v>46129</x:v>
      </x:c>
      <x:c r="D1821" s="13" t="n">
        <x:v>77.16</x:v>
      </x:c>
    </x:row>
    <x:row r="1822">
      <x:c r="A1822" s="9" t="str">
        <x:v>1818</x:v>
      </x:c>
      <x:c r="B1822" s="9" t="str">
        <x:v>923</x:v>
      </x:c>
      <x:c r="C1822" s="11" t="n">
        <x:v>46161</x:v>
      </x:c>
      <x:c r="D1822" s="13" t="n">
        <x:v>591.96</x:v>
      </x:c>
    </x:row>
    <x:row r="1823">
      <x:c r="A1823" s="9" t="str">
        <x:v>1819</x:v>
      </x:c>
      <x:c r="B1823" s="9" t="str">
        <x:v>923</x:v>
      </x:c>
      <x:c r="C1823" s="11" t="n">
        <x:v>46178</x:v>
      </x:c>
      <x:c r="D1823" s="13" t="n">
        <x:v>1411.47</x:v>
      </x:c>
    </x:row>
    <x:row r="1824">
      <x:c r="A1824" s="9" t="str">
        <x:v>1820</x:v>
      </x:c>
      <x:c r="B1824" s="9" t="str">
        <x:v>923</x:v>
      </x:c>
      <x:c r="C1824" s="11" t="n">
        <x:v>46191</x:v>
      </x:c>
      <x:c r="D1824" s="13" t="n">
        <x:v>1406.45</x:v>
      </x:c>
    </x:row>
    <x:row r="1825">
      <x:c r="A1825" s="9" t="str">
        <x:v>1821</x:v>
      </x:c>
      <x:c r="B1825" s="9" t="str">
        <x:v>923</x:v>
      </x:c>
      <x:c r="C1825" s="11" t="n">
        <x:v>46132</x:v>
      </x:c>
      <x:c r="D1825" s="13" t="n">
        <x:v>607.56</x:v>
      </x:c>
    </x:row>
    <x:row r="1826">
      <x:c r="A1826" s="9" t="str">
        <x:v>1822</x:v>
      </x:c>
      <x:c r="B1826" s="9" t="str">
        <x:v>924</x:v>
      </x:c>
      <x:c r="C1826" s="11" t="n">
        <x:v>46082</x:v>
      </x:c>
      <x:c r="D1826" s="13" t="n">
        <x:v>848.98</x:v>
      </x:c>
    </x:row>
    <x:row r="1827">
      <x:c r="A1827" s="9" t="str">
        <x:v>1823</x:v>
      </x:c>
      <x:c r="B1827" s="9" t="str">
        <x:v>924</x:v>
      </x:c>
      <x:c r="C1827" s="11" t="n">
        <x:v>46093</x:v>
      </x:c>
      <x:c r="D1827" s="13" t="n">
        <x:v>1085.77</x:v>
      </x:c>
    </x:row>
    <x:row r="1828">
      <x:c r="A1828" s="9" t="str">
        <x:v>1824</x:v>
      </x:c>
      <x:c r="B1828" s="9" t="str">
        <x:v>924</x:v>
      </x:c>
      <x:c r="C1828" s="11" t="n">
        <x:v>46145</x:v>
      </x:c>
      <x:c r="D1828" s="13" t="n">
        <x:v>946.81</x:v>
      </x:c>
    </x:row>
    <x:row r="1829">
      <x:c r="A1829" s="9" t="str">
        <x:v>1825</x:v>
      </x:c>
      <x:c r="B1829" s="9" t="str">
        <x:v>924</x:v>
      </x:c>
      <x:c r="C1829" s="11" t="n">
        <x:v>46100</x:v>
      </x:c>
      <x:c r="D1829" s="13" t="n">
        <x:v>151.5</x:v>
      </x:c>
    </x:row>
    <x:row r="1830">
      <x:c r="A1830" s="9" t="str">
        <x:v>1826</x:v>
      </x:c>
      <x:c r="B1830" s="9" t="str">
        <x:v>925</x:v>
      </x:c>
      <x:c r="C1830" s="11" t="n">
        <x:v>46109</x:v>
      </x:c>
      <x:c r="D1830" s="13" t="n">
        <x:v>67.49</x:v>
      </x:c>
    </x:row>
    <x:row r="1831">
      <x:c r="A1831" s="9" t="str">
        <x:v>1827</x:v>
      </x:c>
      <x:c r="B1831" s="9" t="str">
        <x:v>925</x:v>
      </x:c>
      <x:c r="C1831" s="11" t="n">
        <x:v>46123</x:v>
      </x:c>
      <x:c r="D1831" s="13" t="n">
        <x:v>954.54</x:v>
      </x:c>
    </x:row>
    <x:row r="1832">
      <x:c r="A1832" s="9" t="str">
        <x:v>1828</x:v>
      </x:c>
      <x:c r="B1832" s="9" t="str">
        <x:v>927</x:v>
      </x:c>
      <x:c r="C1832" s="11" t="n">
        <x:v>46136</x:v>
      </x:c>
      <x:c r="D1832" s="13" t="n">
        <x:v>218.71</x:v>
      </x:c>
    </x:row>
    <x:row r="1833">
      <x:c r="A1833" s="9" t="str">
        <x:v>1829</x:v>
      </x:c>
      <x:c r="B1833" s="9" t="str">
        <x:v>927</x:v>
      </x:c>
      <x:c r="C1833" s="11" t="n">
        <x:v>46128</x:v>
      </x:c>
      <x:c r="D1833" s="13" t="n">
        <x:v>720.06</x:v>
      </x:c>
    </x:row>
    <x:row r="1834">
      <x:c r="A1834" s="9" t="str">
        <x:v>1830</x:v>
      </x:c>
      <x:c r="B1834" s="9" t="str">
        <x:v>928</x:v>
      </x:c>
      <x:c r="C1834" s="11" t="n">
        <x:v>46168</x:v>
      </x:c>
      <x:c r="D1834" s="13" t="n">
        <x:v>1815.35</x:v>
      </x:c>
    </x:row>
    <x:row r="1835">
      <x:c r="A1835" s="9" t="str">
        <x:v>1831</x:v>
      </x:c>
      <x:c r="B1835" s="9" t="str">
        <x:v>928</x:v>
      </x:c>
      <x:c r="C1835" s="11" t="n">
        <x:v>46184</x:v>
      </x:c>
      <x:c r="D1835" s="13" t="n">
        <x:v>868.06</x:v>
      </x:c>
    </x:row>
    <x:row r="1836">
      <x:c r="A1836" s="9" t="str">
        <x:v>1832</x:v>
      </x:c>
      <x:c r="B1836" s="9" t="str">
        <x:v>929</x:v>
      </x:c>
      <x:c r="C1836" s="11" t="n">
        <x:v>46048</x:v>
      </x:c>
      <x:c r="D1836" s="13" t="n">
        <x:v>2340.86</x:v>
      </x:c>
    </x:row>
    <x:row r="1837">
      <x:c r="A1837" s="9" t="str">
        <x:v>1833</x:v>
      </x:c>
      <x:c r="B1837" s="9" t="str">
        <x:v>929</x:v>
      </x:c>
      <x:c r="C1837" s="11" t="n">
        <x:v>46066</x:v>
      </x:c>
      <x:c r="D1837" s="13" t="n">
        <x:v>930.8</x:v>
      </x:c>
    </x:row>
    <x:row r="1838">
      <x:c r="A1838" s="9" t="str">
        <x:v>1834</x:v>
      </x:c>
      <x:c r="B1838" s="9" t="str">
        <x:v>929</x:v>
      </x:c>
      <x:c r="C1838" s="11" t="n">
        <x:v>46158</x:v>
      </x:c>
      <x:c r="D1838" s="13" t="n">
        <x:v>194.5</x:v>
      </x:c>
    </x:row>
    <x:row r="1839">
      <x:c r="A1839" s="9" t="str">
        <x:v>1835</x:v>
      </x:c>
      <x:c r="B1839" s="9" t="str">
        <x:v>930</x:v>
      </x:c>
      <x:c r="C1839" s="11" t="n">
        <x:v>46101</x:v>
      </x:c>
      <x:c r="D1839" s="13" t="n">
        <x:v>422.07</x:v>
      </x:c>
    </x:row>
    <x:row r="1840">
      <x:c r="A1840" s="9" t="str">
        <x:v>1836</x:v>
      </x:c>
      <x:c r="B1840" s="9" t="str">
        <x:v>930</x:v>
      </x:c>
      <x:c r="C1840" s="11" t="n">
        <x:v>46203</x:v>
      </x:c>
      <x:c r="D1840" s="13" t="n">
        <x:v>548.43</x:v>
      </x:c>
    </x:row>
    <x:row r="1841">
      <x:c r="A1841" s="9" t="str">
        <x:v>1837</x:v>
      </x:c>
      <x:c r="B1841" s="9" t="str">
        <x:v>930</x:v>
      </x:c>
      <x:c r="C1841" s="11" t="n">
        <x:v>46063</x:v>
      </x:c>
      <x:c r="D1841" s="13" t="n">
        <x:v>174.84</x:v>
      </x:c>
    </x:row>
    <x:row r="1842">
      <x:c r="A1842" s="9" t="str">
        <x:v>1838</x:v>
      </x:c>
      <x:c r="B1842" s="9" t="str">
        <x:v>931</x:v>
      </x:c>
      <x:c r="C1842" s="11" t="n">
        <x:v>46174</x:v>
      </x:c>
      <x:c r="D1842" s="13" t="n">
        <x:v>1617.96</x:v>
      </x:c>
    </x:row>
    <x:row r="1843">
      <x:c r="A1843" s="9" t="str">
        <x:v>1839</x:v>
      </x:c>
      <x:c r="B1843" s="9" t="str">
        <x:v>931</x:v>
      </x:c>
      <x:c r="C1843" s="11" t="n">
        <x:v>46182</x:v>
      </x:c>
      <x:c r="D1843" s="13" t="n">
        <x:v>1140.73</x:v>
      </x:c>
    </x:row>
    <x:row r="1844">
      <x:c r="A1844" s="9" t="str">
        <x:v>1840</x:v>
      </x:c>
      <x:c r="B1844" s="9" t="str">
        <x:v>931</x:v>
      </x:c>
      <x:c r="C1844" s="11" t="n">
        <x:v>46125</x:v>
      </x:c>
      <x:c r="D1844" s="13" t="n">
        <x:v>1085.99</x:v>
      </x:c>
    </x:row>
    <x:row r="1845">
      <x:c r="A1845" s="9" t="str">
        <x:v>1841</x:v>
      </x:c>
      <x:c r="B1845" s="9" t="str">
        <x:v>931</x:v>
      </x:c>
      <x:c r="C1845" s="11" t="n">
        <x:v>46174</x:v>
      </x:c>
      <x:c r="D1845" s="13" t="n">
        <x:v>866.88</x:v>
      </x:c>
    </x:row>
    <x:row r="1846">
      <x:c r="A1846" s="9" t="str">
        <x:v>1842</x:v>
      </x:c>
      <x:c r="B1846" s="9" t="str">
        <x:v>932</x:v>
      </x:c>
      <x:c r="C1846" s="11" t="n">
        <x:v>46079</x:v>
      </x:c>
      <x:c r="D1846" s="13" t="n">
        <x:v>1167.27</x:v>
      </x:c>
    </x:row>
    <x:row r="1847">
      <x:c r="A1847" s="9" t="str">
        <x:v>1843</x:v>
      </x:c>
      <x:c r="B1847" s="9" t="str">
        <x:v>932</x:v>
      </x:c>
      <x:c r="C1847" s="11" t="n">
        <x:v>46185</x:v>
      </x:c>
      <x:c r="D1847" s="13" t="n">
        <x:v>2665.1</x:v>
      </x:c>
    </x:row>
    <x:row r="1848">
      <x:c r="A1848" s="9" t="str">
        <x:v>1844</x:v>
      </x:c>
      <x:c r="B1848" s="9" t="str">
        <x:v>933</x:v>
      </x:c>
      <x:c r="C1848" s="11" t="n">
        <x:v>46147</x:v>
      </x:c>
      <x:c r="D1848" s="13" t="n">
        <x:v>509.72</x:v>
      </x:c>
    </x:row>
    <x:row r="1849">
      <x:c r="A1849" s="9" t="str">
        <x:v>1845</x:v>
      </x:c>
      <x:c r="B1849" s="9" t="str">
        <x:v>933</x:v>
      </x:c>
      <x:c r="C1849" s="11" t="n">
        <x:v>46184</x:v>
      </x:c>
      <x:c r="D1849" s="13" t="n">
        <x:v>251.59</x:v>
      </x:c>
    </x:row>
    <x:row r="1850">
      <x:c r="A1850" s="9" t="str">
        <x:v>1846</x:v>
      </x:c>
      <x:c r="B1850" s="9" t="str">
        <x:v>933</x:v>
      </x:c>
      <x:c r="C1850" s="11" t="n">
        <x:v>46168</x:v>
      </x:c>
      <x:c r="D1850" s="13" t="n">
        <x:v>451.06</x:v>
      </x:c>
    </x:row>
    <x:row r="1851">
      <x:c r="A1851" s="9" t="str">
        <x:v>1847</x:v>
      </x:c>
      <x:c r="B1851" s="9" t="str">
        <x:v>934</x:v>
      </x:c>
      <x:c r="C1851" s="11" t="n">
        <x:v>46108</x:v>
      </x:c>
      <x:c r="D1851" s="13" t="n">
        <x:v>919.7</x:v>
      </x:c>
    </x:row>
    <x:row r="1852">
      <x:c r="A1852" s="9" t="str">
        <x:v>1848</x:v>
      </x:c>
      <x:c r="B1852" s="9" t="str">
        <x:v>934</x:v>
      </x:c>
      <x:c r="C1852" s="11" t="n">
        <x:v>46052</x:v>
      </x:c>
      <x:c r="D1852" s="13" t="n">
        <x:v>150.76</x:v>
      </x:c>
    </x:row>
    <x:row r="1853">
      <x:c r="A1853" s="9" t="str">
        <x:v>1849</x:v>
      </x:c>
      <x:c r="B1853" s="9" t="str">
        <x:v>934</x:v>
      </x:c>
      <x:c r="C1853" s="11" t="n">
        <x:v>46158</x:v>
      </x:c>
      <x:c r="D1853" s="13" t="n">
        <x:v>1831.35</x:v>
      </x:c>
    </x:row>
    <x:row r="1854">
      <x:c r="A1854" s="9" t="str">
        <x:v>1850</x:v>
      </x:c>
      <x:c r="B1854" s="9" t="str">
        <x:v>934</x:v>
      </x:c>
      <x:c r="C1854" s="11" t="n">
        <x:v>46097</x:v>
      </x:c>
      <x:c r="D1854" s="13" t="n">
        <x:v>430.12</x:v>
      </x:c>
    </x:row>
    <x:row r="1855">
      <x:c r="A1855" s="9" t="str">
        <x:v>1851</x:v>
      </x:c>
      <x:c r="B1855" s="9" t="str">
        <x:v>935</x:v>
      </x:c>
      <x:c r="C1855" s="11" t="n">
        <x:v>46171</x:v>
      </x:c>
      <x:c r="D1855" s="13" t="n">
        <x:v>824.26</x:v>
      </x:c>
    </x:row>
    <x:row r="1856">
      <x:c r="A1856" s="9" t="str">
        <x:v>1852</x:v>
      </x:c>
      <x:c r="B1856" s="9" t="str">
        <x:v>935</x:v>
      </x:c>
      <x:c r="C1856" s="11" t="n">
        <x:v>46149</x:v>
      </x:c>
      <x:c r="D1856" s="13" t="n">
        <x:v>362.15</x:v>
      </x:c>
    </x:row>
    <x:row r="1857">
      <x:c r="A1857" s="9" t="str">
        <x:v>1853</x:v>
      </x:c>
      <x:c r="B1857" s="9" t="str">
        <x:v>935</x:v>
      </x:c>
      <x:c r="C1857" s="11" t="n">
        <x:v>46086</x:v>
      </x:c>
      <x:c r="D1857" s="13" t="n">
        <x:v>1617.65</x:v>
      </x:c>
    </x:row>
    <x:row r="1858">
      <x:c r="A1858" s="9" t="str">
        <x:v>1854</x:v>
      </x:c>
      <x:c r="B1858" s="9" t="str">
        <x:v>936</x:v>
      </x:c>
      <x:c r="C1858" s="11" t="n">
        <x:v>46161</x:v>
      </x:c>
      <x:c r="D1858" s="13" t="n">
        <x:v>74.89</x:v>
      </x:c>
    </x:row>
    <x:row r="1859">
      <x:c r="A1859" s="9" t="str">
        <x:v>1855</x:v>
      </x:c>
      <x:c r="B1859" s="9" t="str">
        <x:v>936</x:v>
      </x:c>
      <x:c r="C1859" s="11" t="n">
        <x:v>46181</x:v>
      </x:c>
      <x:c r="D1859" s="13" t="n">
        <x:v>91.02</x:v>
      </x:c>
    </x:row>
    <x:row r="1860">
      <x:c r="A1860" s="9" t="str">
        <x:v>1856</x:v>
      </x:c>
      <x:c r="B1860" s="9" t="str">
        <x:v>936</x:v>
      </x:c>
      <x:c r="C1860" s="11" t="n">
        <x:v>46088</x:v>
      </x:c>
      <x:c r="D1860" s="13" t="n">
        <x:v>30.94</x:v>
      </x:c>
    </x:row>
    <x:row r="1861">
      <x:c r="A1861" s="9" t="str">
        <x:v>1857</x:v>
      </x:c>
      <x:c r="B1861" s="9" t="str">
        <x:v>937</x:v>
      </x:c>
      <x:c r="C1861" s="11" t="n">
        <x:v>46166</x:v>
      </x:c>
      <x:c r="D1861" s="13" t="n">
        <x:v>1892.92</x:v>
      </x:c>
    </x:row>
    <x:row r="1862">
      <x:c r="A1862" s="9" t="str">
        <x:v>1858</x:v>
      </x:c>
      <x:c r="B1862" s="9" t="str">
        <x:v>938</x:v>
      </x:c>
      <x:c r="C1862" s="11" t="n">
        <x:v>46131</x:v>
      </x:c>
      <x:c r="D1862" s="13" t="n">
        <x:v>573.71</x:v>
      </x:c>
    </x:row>
    <x:row r="1863">
      <x:c r="A1863" s="9" t="str">
        <x:v>1859</x:v>
      </x:c>
      <x:c r="B1863" s="9" t="str">
        <x:v>939</x:v>
      </x:c>
      <x:c r="C1863" s="11" t="n">
        <x:v>46146</x:v>
      </x:c>
      <x:c r="D1863" s="13" t="n">
        <x:v>1337.59</x:v>
      </x:c>
    </x:row>
    <x:row r="1864">
      <x:c r="A1864" s="9" t="str">
        <x:v>1860</x:v>
      </x:c>
      <x:c r="B1864" s="9" t="str">
        <x:v>939</x:v>
      </x:c>
      <x:c r="C1864" s="11" t="n">
        <x:v>46066</x:v>
      </x:c>
      <x:c r="D1864" s="13" t="n">
        <x:v>1416.95</x:v>
      </x:c>
    </x:row>
    <x:row r="1865">
      <x:c r="A1865" s="9" t="str">
        <x:v>1861</x:v>
      </x:c>
      <x:c r="B1865" s="9" t="str">
        <x:v>940</x:v>
      </x:c>
      <x:c r="C1865" s="11" t="n">
        <x:v>46150</x:v>
      </x:c>
      <x:c r="D1865" s="13" t="n">
        <x:v>897.46</x:v>
      </x:c>
    </x:row>
    <x:row r="1866">
      <x:c r="A1866" s="9" t="str">
        <x:v>1862</x:v>
      </x:c>
      <x:c r="B1866" s="9" t="str">
        <x:v>940</x:v>
      </x:c>
      <x:c r="C1866" s="11" t="n">
        <x:v>46141</x:v>
      </x:c>
      <x:c r="D1866" s="13" t="n">
        <x:v>525.92</x:v>
      </x:c>
    </x:row>
    <x:row r="1867">
      <x:c r="A1867" s="9" t="str">
        <x:v>1863</x:v>
      </x:c>
      <x:c r="B1867" s="9" t="str">
        <x:v>940</x:v>
      </x:c>
      <x:c r="C1867" s="11" t="n">
        <x:v>46149</x:v>
      </x:c>
      <x:c r="D1867" s="13" t="n">
        <x:v>302.03</x:v>
      </x:c>
    </x:row>
    <x:row r="1868">
      <x:c r="A1868" s="9" t="str">
        <x:v>1864</x:v>
      </x:c>
      <x:c r="B1868" s="9" t="str">
        <x:v>941</x:v>
      </x:c>
      <x:c r="C1868" s="11" t="n">
        <x:v>46163</x:v>
      </x:c>
      <x:c r="D1868" s="13" t="n">
        <x:v>145.18</x:v>
      </x:c>
    </x:row>
    <x:row r="1869">
      <x:c r="A1869" s="9" t="str">
        <x:v>1865</x:v>
      </x:c>
      <x:c r="B1869" s="9" t="str">
        <x:v>941</x:v>
      </x:c>
      <x:c r="C1869" s="11" t="n">
        <x:v>46166</x:v>
      </x:c>
      <x:c r="D1869" s="13" t="n">
        <x:v>445.48</x:v>
      </x:c>
    </x:row>
    <x:row r="1870">
      <x:c r="A1870" s="9" t="str">
        <x:v>1866</x:v>
      </x:c>
      <x:c r="B1870" s="9" t="str">
        <x:v>941</x:v>
      </x:c>
      <x:c r="C1870" s="11" t="n">
        <x:v>46189</x:v>
      </x:c>
      <x:c r="D1870" s="13" t="n">
        <x:v>432.74</x:v>
      </x:c>
    </x:row>
    <x:row r="1871">
      <x:c r="A1871" s="9" t="str">
        <x:v>1867</x:v>
      </x:c>
      <x:c r="B1871" s="9" t="str">
        <x:v>943</x:v>
      </x:c>
      <x:c r="C1871" s="11" t="n">
        <x:v>46123</x:v>
      </x:c>
      <x:c r="D1871" s="13" t="n">
        <x:v>611.45</x:v>
      </x:c>
    </x:row>
    <x:row r="1872">
      <x:c r="A1872" s="9" t="str">
        <x:v>1868</x:v>
      </x:c>
      <x:c r="B1872" s="9" t="str">
        <x:v>943</x:v>
      </x:c>
      <x:c r="C1872" s="11" t="n">
        <x:v>46193</x:v>
      </x:c>
      <x:c r="D1872" s="13" t="n">
        <x:v>611.66</x:v>
      </x:c>
    </x:row>
    <x:row r="1873">
      <x:c r="A1873" s="9" t="str">
        <x:v>1869</x:v>
      </x:c>
      <x:c r="B1873" s="9" t="str">
        <x:v>943</x:v>
      </x:c>
      <x:c r="C1873" s="11" t="n">
        <x:v>46082</x:v>
      </x:c>
      <x:c r="D1873" s="13" t="n">
        <x:v>811.06</x:v>
      </x:c>
    </x:row>
    <x:row r="1874">
      <x:c r="A1874" s="9" t="str">
        <x:v>1870</x:v>
      </x:c>
      <x:c r="B1874" s="9" t="str">
        <x:v>943</x:v>
      </x:c>
      <x:c r="C1874" s="11" t="n">
        <x:v>46190</x:v>
      </x:c>
      <x:c r="D1874" s="13" t="n">
        <x:v>103.75</x:v>
      </x:c>
    </x:row>
    <x:row r="1875">
      <x:c r="A1875" s="9" t="str">
        <x:v>1871</x:v>
      </x:c>
      <x:c r="B1875" s="9" t="str">
        <x:v>945</x:v>
      </x:c>
      <x:c r="C1875" s="11" t="n">
        <x:v>46042</x:v>
      </x:c>
      <x:c r="D1875" s="13" t="n">
        <x:v>290.89</x:v>
      </x:c>
    </x:row>
    <x:row r="1876">
      <x:c r="A1876" s="9" t="str">
        <x:v>1872</x:v>
      </x:c>
      <x:c r="B1876" s="9" t="str">
        <x:v>945</x:v>
      </x:c>
      <x:c r="C1876" s="11" t="n">
        <x:v>46121</x:v>
      </x:c>
      <x:c r="D1876" s="13" t="n">
        <x:v>1692.4</x:v>
      </x:c>
    </x:row>
    <x:row r="1877">
      <x:c r="A1877" s="9" t="str">
        <x:v>1873</x:v>
      </x:c>
      <x:c r="B1877" s="9" t="str">
        <x:v>945</x:v>
      </x:c>
      <x:c r="C1877" s="11" t="n">
        <x:v>46203</x:v>
      </x:c>
      <x:c r="D1877" s="13" t="n">
        <x:v>641.56</x:v>
      </x:c>
    </x:row>
    <x:row r="1878">
      <x:c r="A1878" s="9" t="str">
        <x:v>1874</x:v>
      </x:c>
      <x:c r="B1878" s="9" t="str">
        <x:v>945</x:v>
      </x:c>
      <x:c r="C1878" s="11" t="n">
        <x:v>46070</x:v>
      </x:c>
      <x:c r="D1878" s="13" t="n">
        <x:v>1571.73</x:v>
      </x:c>
    </x:row>
    <x:row r="1879">
      <x:c r="A1879" s="9" t="str">
        <x:v>1875</x:v>
      </x:c>
      <x:c r="B1879" s="9" t="str">
        <x:v>946</x:v>
      </x:c>
      <x:c r="C1879" s="11" t="n">
        <x:v>46163</x:v>
      </x:c>
      <x:c r="D1879" s="13" t="n">
        <x:v>2241.29</x:v>
      </x:c>
    </x:row>
    <x:row r="1880">
      <x:c r="A1880" s="9" t="str">
        <x:v>1876</x:v>
      </x:c>
      <x:c r="B1880" s="9" t="str">
        <x:v>946</x:v>
      </x:c>
      <x:c r="C1880" s="11" t="n">
        <x:v>46153</x:v>
      </x:c>
      <x:c r="D1880" s="13" t="n">
        <x:v>2776.63</x:v>
      </x:c>
    </x:row>
    <x:row r="1881">
      <x:c r="A1881" s="9" t="str">
        <x:v>1877</x:v>
      </x:c>
      <x:c r="B1881" s="9" t="str">
        <x:v>946</x:v>
      </x:c>
      <x:c r="C1881" s="11" t="n">
        <x:v>46201</x:v>
      </x:c>
      <x:c r="D1881" s="13" t="n">
        <x:v>822.66</x:v>
      </x:c>
    </x:row>
    <x:row r="1882">
      <x:c r="A1882" s="9" t="str">
        <x:v>1878</x:v>
      </x:c>
      <x:c r="B1882" s="9" t="str">
        <x:v>946</x:v>
      </x:c>
      <x:c r="C1882" s="11" t="n">
        <x:v>46127</x:v>
      </x:c>
      <x:c r="D1882" s="13" t="n">
        <x:v>329.4</x:v>
      </x:c>
    </x:row>
    <x:row r="1883">
      <x:c r="A1883" s="9" t="str">
        <x:v>1879</x:v>
      </x:c>
      <x:c r="B1883" s="9" t="str">
        <x:v>947</x:v>
      </x:c>
      <x:c r="C1883" s="11" t="n">
        <x:v>46100</x:v>
      </x:c>
      <x:c r="D1883" s="13" t="n">
        <x:v>124.7</x:v>
      </x:c>
    </x:row>
    <x:row r="1884">
      <x:c r="A1884" s="9" t="str">
        <x:v>1880</x:v>
      </x:c>
      <x:c r="B1884" s="9" t="str">
        <x:v>947</x:v>
      </x:c>
      <x:c r="C1884" s="11" t="n">
        <x:v>46084</x:v>
      </x:c>
      <x:c r="D1884" s="13" t="n">
        <x:v>96.63</x:v>
      </x:c>
    </x:row>
    <x:row r="1885">
      <x:c r="A1885" s="9" t="str">
        <x:v>1881</x:v>
      </x:c>
      <x:c r="B1885" s="9" t="str">
        <x:v>948</x:v>
      </x:c>
      <x:c r="C1885" s="11" t="n">
        <x:v>46181</x:v>
      </x:c>
      <x:c r="D1885" s="13" t="n">
        <x:v>740.13</x:v>
      </x:c>
    </x:row>
    <x:row r="1886">
      <x:c r="A1886" s="9" t="str">
        <x:v>1882</x:v>
      </x:c>
      <x:c r="B1886" s="9" t="str">
        <x:v>948</x:v>
      </x:c>
      <x:c r="C1886" s="11" t="n">
        <x:v>46177</x:v>
      </x:c>
      <x:c r="D1886" s="13" t="n">
        <x:v>229.91</x:v>
      </x:c>
    </x:row>
    <x:row r="1887">
      <x:c r="A1887" s="9" t="str">
        <x:v>1883</x:v>
      </x:c>
      <x:c r="B1887" s="9" t="str">
        <x:v>948</x:v>
      </x:c>
      <x:c r="C1887" s="11" t="n">
        <x:v>46170</x:v>
      </x:c>
      <x:c r="D1887" s="13" t="n">
        <x:v>168.76</x:v>
      </x:c>
    </x:row>
    <x:row r="1888">
      <x:c r="A1888" s="9" t="str">
        <x:v>1884</x:v>
      </x:c>
      <x:c r="B1888" s="9" t="str">
        <x:v>948</x:v>
      </x:c>
      <x:c r="C1888" s="11" t="n">
        <x:v>46175</x:v>
      </x:c>
      <x:c r="D1888" s="13" t="n">
        <x:v>1079.82</x:v>
      </x:c>
    </x:row>
    <x:row r="1889">
      <x:c r="A1889" s="9" t="str">
        <x:v>1885</x:v>
      </x:c>
      <x:c r="B1889" s="9" t="str">
        <x:v>950</x:v>
      </x:c>
      <x:c r="C1889" s="11" t="n">
        <x:v>46158</x:v>
      </x:c>
      <x:c r="D1889" s="13" t="n">
        <x:v>455.91</x:v>
      </x:c>
    </x:row>
    <x:row r="1890">
      <x:c r="A1890" s="9" t="str">
        <x:v>1886</x:v>
      </x:c>
      <x:c r="B1890" s="9" t="str">
        <x:v>951</x:v>
      </x:c>
      <x:c r="C1890" s="11" t="n">
        <x:v>46031</x:v>
      </x:c>
      <x:c r="D1890" s="13" t="n">
        <x:v>24.94</x:v>
      </x:c>
    </x:row>
    <x:row r="1891">
      <x:c r="A1891" s="9" t="str">
        <x:v>1887</x:v>
      </x:c>
      <x:c r="B1891" s="9" t="str">
        <x:v>951</x:v>
      </x:c>
      <x:c r="C1891" s="11" t="n">
        <x:v>46102</x:v>
      </x:c>
      <x:c r="D1891" s="13" t="n">
        <x:v>40.31</x:v>
      </x:c>
    </x:row>
    <x:row r="1892">
      <x:c r="A1892" s="9" t="str">
        <x:v>1888</x:v>
      </x:c>
      <x:c r="B1892" s="9" t="str">
        <x:v>951</x:v>
      </x:c>
      <x:c r="C1892" s="11" t="n">
        <x:v>46181</x:v>
      </x:c>
      <x:c r="D1892" s="13" t="n">
        <x:v>36.98</x:v>
      </x:c>
    </x:row>
    <x:row r="1893">
      <x:c r="A1893" s="9" t="str">
        <x:v>1889</x:v>
      </x:c>
      <x:c r="B1893" s="9" t="str">
        <x:v>953</x:v>
      </x:c>
      <x:c r="C1893" s="11" t="n">
        <x:v>46115</x:v>
      </x:c>
      <x:c r="D1893" s="13" t="n">
        <x:v>2002.84</x:v>
      </x:c>
    </x:row>
    <x:row r="1894">
      <x:c r="A1894" s="9" t="str">
        <x:v>1890</x:v>
      </x:c>
      <x:c r="B1894" s="9" t="str">
        <x:v>953</x:v>
      </x:c>
      <x:c r="C1894" s="11" t="n">
        <x:v>46144</x:v>
      </x:c>
      <x:c r="D1894" s="13" t="n">
        <x:v>1136.94</x:v>
      </x:c>
    </x:row>
    <x:row r="1895">
      <x:c r="A1895" s="9" t="str">
        <x:v>1891</x:v>
      </x:c>
      <x:c r="B1895" s="9" t="str">
        <x:v>953</x:v>
      </x:c>
      <x:c r="C1895" s="11" t="n">
        <x:v>46116</x:v>
      </x:c>
      <x:c r="D1895" s="13" t="n">
        <x:v>1447.16</x:v>
      </x:c>
    </x:row>
    <x:row r="1896">
      <x:c r="A1896" s="9" t="str">
        <x:v>1892</x:v>
      </x:c>
      <x:c r="B1896" s="9" t="str">
        <x:v>953</x:v>
      </x:c>
      <x:c r="C1896" s="11" t="n">
        <x:v>46161</x:v>
      </x:c>
      <x:c r="D1896" s="13" t="n">
        <x:v>781.23</x:v>
      </x:c>
    </x:row>
    <x:row r="1897">
      <x:c r="A1897" s="9" t="str">
        <x:v>1893</x:v>
      </x:c>
      <x:c r="B1897" s="9" t="str">
        <x:v>955</x:v>
      </x:c>
      <x:c r="C1897" s="11" t="n">
        <x:v>46169</x:v>
      </x:c>
      <x:c r="D1897" s="13" t="n">
        <x:v>25.31</x:v>
      </x:c>
    </x:row>
    <x:row r="1898">
      <x:c r="A1898" s="9" t="str">
        <x:v>1894</x:v>
      </x:c>
      <x:c r="B1898" s="9" t="str">
        <x:v>955</x:v>
      </x:c>
      <x:c r="C1898" s="11" t="n">
        <x:v>46141</x:v>
      </x:c>
      <x:c r="D1898" s="13" t="n">
        <x:v>92.9</x:v>
      </x:c>
    </x:row>
    <x:row r="1899">
      <x:c r="A1899" s="9" t="str">
        <x:v>1895</x:v>
      </x:c>
      <x:c r="B1899" s="9" t="str">
        <x:v>955</x:v>
      </x:c>
      <x:c r="C1899" s="11" t="n">
        <x:v>46155</x:v>
      </x:c>
      <x:c r="D1899" s="13" t="n">
        <x:v>67</x:v>
      </x:c>
    </x:row>
    <x:row r="1900">
      <x:c r="A1900" s="9" t="str">
        <x:v>1896</x:v>
      </x:c>
      <x:c r="B1900" s="9" t="str">
        <x:v>956</x:v>
      </x:c>
      <x:c r="C1900" s="11" t="n">
        <x:v>46173</x:v>
      </x:c>
      <x:c r="D1900" s="13" t="n">
        <x:v>1285.74</x:v>
      </x:c>
    </x:row>
    <x:row r="1901">
      <x:c r="A1901" s="9" t="str">
        <x:v>1897</x:v>
      </x:c>
      <x:c r="B1901" s="9" t="str">
        <x:v>956</x:v>
      </x:c>
      <x:c r="C1901" s="11" t="n">
        <x:v>46126</x:v>
      </x:c>
      <x:c r="D1901" s="13" t="n">
        <x:v>772.28</x:v>
      </x:c>
    </x:row>
    <x:row r="1902">
      <x:c r="A1902" s="9" t="str">
        <x:v>1898</x:v>
      </x:c>
      <x:c r="B1902" s="9" t="str">
        <x:v>956</x:v>
      </x:c>
      <x:c r="C1902" s="11" t="n">
        <x:v>46132</x:v>
      </x:c>
      <x:c r="D1902" s="13" t="n">
        <x:v>1768.89</x:v>
      </x:c>
    </x:row>
    <x:row r="1903">
      <x:c r="A1903" s="9" t="str">
        <x:v>1899</x:v>
      </x:c>
      <x:c r="B1903" s="9" t="str">
        <x:v>957</x:v>
      </x:c>
      <x:c r="C1903" s="11" t="n">
        <x:v>46087</x:v>
      </x:c>
      <x:c r="D1903" s="13" t="n">
        <x:v>780.22</x:v>
      </x:c>
    </x:row>
    <x:row r="1904">
      <x:c r="A1904" s="9" t="str">
        <x:v>1900</x:v>
      </x:c>
      <x:c r="B1904" s="9" t="str">
        <x:v>957</x:v>
      </x:c>
      <x:c r="C1904" s="11" t="n">
        <x:v>46081</x:v>
      </x:c>
      <x:c r="D1904" s="13" t="n">
        <x:v>598.87</x:v>
      </x:c>
    </x:row>
    <x:row r="1905">
      <x:c r="A1905" s="9" t="str">
        <x:v>1901</x:v>
      </x:c>
      <x:c r="B1905" s="9" t="str">
        <x:v>957</x:v>
      </x:c>
      <x:c r="C1905" s="11" t="n">
        <x:v>46161</x:v>
      </x:c>
      <x:c r="D1905" s="13" t="n">
        <x:v>356.46</x:v>
      </x:c>
    </x:row>
    <x:row r="1906">
      <x:c r="A1906" s="9" t="str">
        <x:v>1902</x:v>
      </x:c>
      <x:c r="B1906" s="9" t="str">
        <x:v>957</x:v>
      </x:c>
      <x:c r="C1906" s="11" t="n">
        <x:v>46101</x:v>
      </x:c>
      <x:c r="D1906" s="13" t="n">
        <x:v>359.17</x:v>
      </x:c>
    </x:row>
    <x:row r="1907">
      <x:c r="A1907" s="9" t="str">
        <x:v>1903</x:v>
      </x:c>
      <x:c r="B1907" s="9" t="str">
        <x:v>958</x:v>
      </x:c>
      <x:c r="C1907" s="11" t="n">
        <x:v>46118</x:v>
      </x:c>
      <x:c r="D1907" s="13" t="n">
        <x:v>341.39</x:v>
      </x:c>
    </x:row>
    <x:row r="1908">
      <x:c r="A1908" s="9" t="str">
        <x:v>1904</x:v>
      </x:c>
      <x:c r="B1908" s="9" t="str">
        <x:v>958</x:v>
      </x:c>
      <x:c r="C1908" s="11" t="n">
        <x:v>46191</x:v>
      </x:c>
      <x:c r="D1908" s="13" t="n">
        <x:v>2224.91</x:v>
      </x:c>
    </x:row>
    <x:row r="1909">
      <x:c r="A1909" s="9" t="str">
        <x:v>1905</x:v>
      </x:c>
      <x:c r="B1909" s="9" t="str">
        <x:v>958</x:v>
      </x:c>
      <x:c r="C1909" s="11" t="n">
        <x:v>46134</x:v>
      </x:c>
      <x:c r="D1909" s="13" t="n">
        <x:v>381.02</x:v>
      </x:c>
    </x:row>
    <x:row r="1910">
      <x:c r="A1910" s="9" t="str">
        <x:v>1906</x:v>
      </x:c>
      <x:c r="B1910" s="9" t="str">
        <x:v>958</x:v>
      </x:c>
      <x:c r="C1910" s="11" t="n">
        <x:v>46164</x:v>
      </x:c>
      <x:c r="D1910" s="13" t="n">
        <x:v>2223.97</x:v>
      </x:c>
    </x:row>
    <x:row r="1911">
      <x:c r="A1911" s="9" t="str">
        <x:v>1907</x:v>
      </x:c>
      <x:c r="B1911" s="9" t="str">
        <x:v>959</x:v>
      </x:c>
      <x:c r="C1911" s="11" t="n">
        <x:v>46135</x:v>
      </x:c>
      <x:c r="D1911" s="13" t="n">
        <x:v>1611.76</x:v>
      </x:c>
    </x:row>
    <x:row r="1912">
      <x:c r="A1912" s="9" t="str">
        <x:v>1908</x:v>
      </x:c>
      <x:c r="B1912" s="9" t="str">
        <x:v>959</x:v>
      </x:c>
      <x:c r="C1912" s="11" t="n">
        <x:v>46186</x:v>
      </x:c>
      <x:c r="D1912" s="13" t="n">
        <x:v>2336.32</x:v>
      </x:c>
    </x:row>
    <x:row r="1913">
      <x:c r="A1913" s="9" t="str">
        <x:v>1909</x:v>
      </x:c>
      <x:c r="B1913" s="9" t="str">
        <x:v>959</x:v>
      </x:c>
      <x:c r="C1913" s="11" t="n">
        <x:v>46194</x:v>
      </x:c>
      <x:c r="D1913" s="13" t="n">
        <x:v>2331.22</x:v>
      </x:c>
    </x:row>
    <x:row r="1914">
      <x:c r="A1914" s="9" t="str">
        <x:v>1910</x:v>
      </x:c>
      <x:c r="B1914" s="9" t="str">
        <x:v>959</x:v>
      </x:c>
      <x:c r="C1914" s="11" t="n">
        <x:v>46094</x:v>
      </x:c>
      <x:c r="D1914" s="13" t="n">
        <x:v>743.99</x:v>
      </x:c>
    </x:row>
    <x:row r="1915">
      <x:c r="A1915" s="9" t="str">
        <x:v>1911</x:v>
      </x:c>
      <x:c r="B1915" s="9" t="str">
        <x:v>960</x:v>
      </x:c>
      <x:c r="C1915" s="11" t="n">
        <x:v>46160</x:v>
      </x:c>
      <x:c r="D1915" s="13" t="n">
        <x:v>1889.77</x:v>
      </x:c>
    </x:row>
    <x:row r="1916">
      <x:c r="A1916" s="9" t="str">
        <x:v>1912</x:v>
      </x:c>
      <x:c r="B1916" s="9" t="str">
        <x:v>960</x:v>
      </x:c>
      <x:c r="C1916" s="11" t="n">
        <x:v>46068</x:v>
      </x:c>
      <x:c r="D1916" s="13" t="n">
        <x:v>640.11</x:v>
      </x:c>
    </x:row>
    <x:row r="1917">
      <x:c r="A1917" s="9" t="str">
        <x:v>1913</x:v>
      </x:c>
      <x:c r="B1917" s="9" t="str">
        <x:v>961</x:v>
      </x:c>
      <x:c r="C1917" s="11" t="n">
        <x:v>46129</x:v>
      </x:c>
      <x:c r="D1917" s="13" t="n">
        <x:v>19.66</x:v>
      </x:c>
    </x:row>
    <x:row r="1918">
      <x:c r="A1918" s="9" t="str">
        <x:v>1914</x:v>
      </x:c>
      <x:c r="B1918" s="9" t="str">
        <x:v>961</x:v>
      </x:c>
      <x:c r="C1918" s="11" t="n">
        <x:v>46191</x:v>
      </x:c>
      <x:c r="D1918" s="13" t="n">
        <x:v>29.03</x:v>
      </x:c>
    </x:row>
    <x:row r="1919">
      <x:c r="A1919" s="9" t="str">
        <x:v>1915</x:v>
      </x:c>
      <x:c r="B1919" s="9" t="str">
        <x:v>962</x:v>
      </x:c>
      <x:c r="C1919" s="11" t="n">
        <x:v>46085</x:v>
      </x:c>
      <x:c r="D1919" s="13" t="n">
        <x:v>366.94</x:v>
      </x:c>
    </x:row>
    <x:row r="1920">
      <x:c r="A1920" s="9" t="str">
        <x:v>1916</x:v>
      </x:c>
      <x:c r="B1920" s="9" t="str">
        <x:v>962</x:v>
      </x:c>
      <x:c r="C1920" s="11" t="n">
        <x:v>46042</x:v>
      </x:c>
      <x:c r="D1920" s="13" t="n">
        <x:v>124.95</x:v>
      </x:c>
    </x:row>
    <x:row r="1921">
      <x:c r="A1921" s="9" t="str">
        <x:v>1917</x:v>
      </x:c>
      <x:c r="B1921" s="9" t="str">
        <x:v>962</x:v>
      </x:c>
      <x:c r="C1921" s="11" t="n">
        <x:v>46052</x:v>
      </x:c>
      <x:c r="D1921" s="13" t="n">
        <x:v>1222.08</x:v>
      </x:c>
    </x:row>
    <x:row r="1922">
      <x:c r="A1922" s="9" t="str">
        <x:v>1918</x:v>
      </x:c>
      <x:c r="B1922" s="9" t="str">
        <x:v>962</x:v>
      </x:c>
      <x:c r="C1922" s="11" t="n">
        <x:v>46185</x:v>
      </x:c>
      <x:c r="D1922" s="13" t="n">
        <x:v>1137.71</x:v>
      </x:c>
    </x:row>
    <x:row r="1923">
      <x:c r="A1923" s="9" t="str">
        <x:v>1919</x:v>
      </x:c>
      <x:c r="B1923" s="9" t="str">
        <x:v>963</x:v>
      </x:c>
      <x:c r="C1923" s="11" t="n">
        <x:v>46165</x:v>
      </x:c>
      <x:c r="D1923" s="13" t="n">
        <x:v>1378.13</x:v>
      </x:c>
    </x:row>
    <x:row r="1924">
      <x:c r="A1924" s="9" t="str">
        <x:v>1920</x:v>
      </x:c>
      <x:c r="B1924" s="9" t="str">
        <x:v>963</x:v>
      </x:c>
      <x:c r="C1924" s="11" t="n">
        <x:v>46181</x:v>
      </x:c>
      <x:c r="D1924" s="13" t="n">
        <x:v>1093.19</x:v>
      </x:c>
    </x:row>
    <x:row r="1925">
      <x:c r="A1925" s="9" t="str">
        <x:v>1921</x:v>
      </x:c>
      <x:c r="B1925" s="9" t="str">
        <x:v>963</x:v>
      </x:c>
      <x:c r="C1925" s="11" t="n">
        <x:v>46179</x:v>
      </x:c>
      <x:c r="D1925" s="13" t="n">
        <x:v>1465.77</x:v>
      </x:c>
    </x:row>
    <x:row r="1926">
      <x:c r="A1926" s="9" t="str">
        <x:v>1922</x:v>
      </x:c>
      <x:c r="B1926" s="9" t="str">
        <x:v>963</x:v>
      </x:c>
      <x:c r="C1926" s="11" t="n">
        <x:v>46158</x:v>
      </x:c>
      <x:c r="D1926" s="13" t="n">
        <x:v>569.25</x:v>
      </x:c>
    </x:row>
    <x:row r="1927">
      <x:c r="A1927" s="9" t="str">
        <x:v>1923</x:v>
      </x:c>
      <x:c r="B1927" s="9" t="str">
        <x:v>964</x:v>
      </x:c>
      <x:c r="C1927" s="11" t="n">
        <x:v>46159</x:v>
      </x:c>
      <x:c r="D1927" s="13" t="n">
        <x:v>715.71</x:v>
      </x:c>
    </x:row>
    <x:row r="1928">
      <x:c r="A1928" s="9" t="str">
        <x:v>1924</x:v>
      </x:c>
      <x:c r="B1928" s="9" t="str">
        <x:v>964</x:v>
      </x:c>
      <x:c r="C1928" s="11" t="n">
        <x:v>46203</x:v>
      </x:c>
      <x:c r="D1928" s="13" t="n">
        <x:v>289.46</x:v>
      </x:c>
    </x:row>
    <x:row r="1929">
      <x:c r="A1929" s="9" t="str">
        <x:v>1925</x:v>
      </x:c>
      <x:c r="B1929" s="9" t="str">
        <x:v>965</x:v>
      </x:c>
      <x:c r="C1929" s="11" t="n">
        <x:v>46153</x:v>
      </x:c>
      <x:c r="D1929" s="13" t="n">
        <x:v>100.07</x:v>
      </x:c>
    </x:row>
    <x:row r="1930">
      <x:c r="A1930" s="9" t="str">
        <x:v>1926</x:v>
      </x:c>
      <x:c r="B1930" s="9" t="str">
        <x:v>966</x:v>
      </x:c>
      <x:c r="C1930" s="11" t="n">
        <x:v>46172</x:v>
      </x:c>
      <x:c r="D1930" s="13" t="n">
        <x:v>1440.44</x:v>
      </x:c>
    </x:row>
    <x:row r="1931">
      <x:c r="A1931" s="9" t="str">
        <x:v>1927</x:v>
      </x:c>
      <x:c r="B1931" s="9" t="str">
        <x:v>966</x:v>
      </x:c>
      <x:c r="C1931" s="11" t="n">
        <x:v>46170</x:v>
      </x:c>
      <x:c r="D1931" s="13" t="n">
        <x:v>112.02</x:v>
      </x:c>
    </x:row>
    <x:row r="1932">
      <x:c r="A1932" s="9" t="str">
        <x:v>1928</x:v>
      </x:c>
      <x:c r="B1932" s="9" t="str">
        <x:v>967</x:v>
      </x:c>
      <x:c r="C1932" s="11" t="n">
        <x:v>46156</x:v>
      </x:c>
      <x:c r="D1932" s="13" t="n">
        <x:v>149.12</x:v>
      </x:c>
    </x:row>
    <x:row r="1933">
      <x:c r="A1933" s="9" t="str">
        <x:v>1929</x:v>
      </x:c>
      <x:c r="B1933" s="9" t="str">
        <x:v>967</x:v>
      </x:c>
      <x:c r="C1933" s="11" t="n">
        <x:v>46155</x:v>
      </x:c>
      <x:c r="D1933" s="13" t="n">
        <x:v>2149.89</x:v>
      </x:c>
    </x:row>
    <x:row r="1934">
      <x:c r="A1934" s="9" t="str">
        <x:v>1930</x:v>
      </x:c>
      <x:c r="B1934" s="9" t="str">
        <x:v>969</x:v>
      </x:c>
      <x:c r="C1934" s="11" t="n">
        <x:v>46180</x:v>
      </x:c>
      <x:c r="D1934" s="13" t="n">
        <x:v>1658.73</x:v>
      </x:c>
    </x:row>
    <x:row r="1935">
      <x:c r="A1935" s="9" t="str">
        <x:v>1931</x:v>
      </x:c>
      <x:c r="B1935" s="9" t="str">
        <x:v>969</x:v>
      </x:c>
      <x:c r="C1935" s="11" t="n">
        <x:v>46203</x:v>
      </x:c>
      <x:c r="D1935" s="13" t="n">
        <x:v>82.23</x:v>
      </x:c>
    </x:row>
    <x:row r="1936">
      <x:c r="A1936" s="9" t="str">
        <x:v>1932</x:v>
      </x:c>
      <x:c r="B1936" s="9" t="str">
        <x:v>969</x:v>
      </x:c>
      <x:c r="C1936" s="11" t="n">
        <x:v>46167</x:v>
      </x:c>
      <x:c r="D1936" s="13" t="n">
        <x:v>1583.09</x:v>
      </x:c>
    </x:row>
    <x:row r="1937">
      <x:c r="A1937" s="9" t="str">
        <x:v>1933</x:v>
      </x:c>
      <x:c r="B1937" s="9" t="str">
        <x:v>970</x:v>
      </x:c>
      <x:c r="C1937" s="11" t="n">
        <x:v>46160</x:v>
      </x:c>
      <x:c r="D1937" s="13" t="n">
        <x:v>125.36</x:v>
      </x:c>
    </x:row>
    <x:row r="1938">
      <x:c r="A1938" s="9" t="str">
        <x:v>1934</x:v>
      </x:c>
      <x:c r="B1938" s="9" t="str">
        <x:v>970</x:v>
      </x:c>
      <x:c r="C1938" s="11" t="n">
        <x:v>46146</x:v>
      </x:c>
      <x:c r="D1938" s="13" t="n">
        <x:v>121.73</x:v>
      </x:c>
    </x:row>
    <x:row r="1939">
      <x:c r="A1939" s="9" t="str">
        <x:v>1935</x:v>
      </x:c>
      <x:c r="B1939" s="9" t="str">
        <x:v>971</x:v>
      </x:c>
      <x:c r="C1939" s="11" t="n">
        <x:v>46127</x:v>
      </x:c>
      <x:c r="D1939" s="13" t="n">
        <x:v>496.21</x:v>
      </x:c>
    </x:row>
    <x:row r="1940">
      <x:c r="A1940" s="9" t="str">
        <x:v>1936</x:v>
      </x:c>
      <x:c r="B1940" s="9" t="str">
        <x:v>971</x:v>
      </x:c>
      <x:c r="C1940" s="11" t="n">
        <x:v>46136</x:v>
      </x:c>
      <x:c r="D1940" s="13" t="n">
        <x:v>423.04</x:v>
      </x:c>
    </x:row>
    <x:row r="1941">
      <x:c r="A1941" s="9" t="str">
        <x:v>1937</x:v>
      </x:c>
      <x:c r="B1941" s="9" t="str">
        <x:v>971</x:v>
      </x:c>
      <x:c r="C1941" s="11" t="n">
        <x:v>46089</x:v>
      </x:c>
      <x:c r="D1941" s="13" t="n">
        <x:v>925.71</x:v>
      </x:c>
    </x:row>
    <x:row r="1942">
      <x:c r="A1942" s="9" t="str">
        <x:v>1938</x:v>
      </x:c>
      <x:c r="B1942" s="9" t="str">
        <x:v>971</x:v>
      </x:c>
      <x:c r="C1942" s="11" t="n">
        <x:v>46113</x:v>
      </x:c>
      <x:c r="D1942" s="13" t="n">
        <x:v>904.68</x:v>
      </x:c>
    </x:row>
    <x:row r="1943">
      <x:c r="A1943" s="9" t="str">
        <x:v>1939</x:v>
      </x:c>
      <x:c r="B1943" s="9" t="str">
        <x:v>972</x:v>
      </x:c>
      <x:c r="C1943" s="11" t="n">
        <x:v>46135</x:v>
      </x:c>
      <x:c r="D1943" s="13" t="n">
        <x:v>751.72</x:v>
      </x:c>
    </x:row>
    <x:row r="1944">
      <x:c r="A1944" s="9" t="str">
        <x:v>1940</x:v>
      </x:c>
      <x:c r="B1944" s="9" t="str">
        <x:v>972</x:v>
      </x:c>
      <x:c r="C1944" s="11" t="n">
        <x:v>46046</x:v>
      </x:c>
      <x:c r="D1944" s="13" t="n">
        <x:v>88.01</x:v>
      </x:c>
    </x:row>
    <x:row r="1945">
      <x:c r="A1945" s="9" t="str">
        <x:v>1941</x:v>
      </x:c>
      <x:c r="B1945" s="9" t="str">
        <x:v>973</x:v>
      </x:c>
      <x:c r="C1945" s="11" t="n">
        <x:v>46201</x:v>
      </x:c>
      <x:c r="D1945" s="13" t="n">
        <x:v>1726.19</x:v>
      </x:c>
    </x:row>
    <x:row r="1946">
      <x:c r="A1946" s="9" t="str">
        <x:v>1942</x:v>
      </x:c>
      <x:c r="B1946" s="9" t="str">
        <x:v>973</x:v>
      </x:c>
      <x:c r="C1946" s="11" t="n">
        <x:v>46163</x:v>
      </x:c>
      <x:c r="D1946" s="13" t="n">
        <x:v>690.6</x:v>
      </x:c>
    </x:row>
    <x:row r="1947">
      <x:c r="A1947" s="9" t="str">
        <x:v>1943</x:v>
      </x:c>
      <x:c r="B1947" s="9" t="str">
        <x:v>975</x:v>
      </x:c>
      <x:c r="C1947" s="11" t="n">
        <x:v>46116</x:v>
      </x:c>
      <x:c r="D1947" s="13" t="n">
        <x:v>67.05</x:v>
      </x:c>
    </x:row>
    <x:row r="1948">
      <x:c r="A1948" s="9" t="str">
        <x:v>1944</x:v>
      </x:c>
      <x:c r="B1948" s="9" t="str">
        <x:v>975</x:v>
      </x:c>
      <x:c r="C1948" s="11" t="n">
        <x:v>46127</x:v>
      </x:c>
      <x:c r="D1948" s="13" t="n">
        <x:v>15.14</x:v>
      </x:c>
    </x:row>
    <x:row r="1949">
      <x:c r="A1949" s="9" t="str">
        <x:v>1945</x:v>
      </x:c>
      <x:c r="B1949" s="9" t="str">
        <x:v>976</x:v>
      </x:c>
      <x:c r="C1949" s="11" t="n">
        <x:v>46196</x:v>
      </x:c>
      <x:c r="D1949" s="13" t="n">
        <x:v>499.94</x:v>
      </x:c>
    </x:row>
    <x:row r="1950">
      <x:c r="A1950" s="9" t="str">
        <x:v>1946</x:v>
      </x:c>
      <x:c r="B1950" s="9" t="str">
        <x:v>977</x:v>
      </x:c>
      <x:c r="C1950" s="11" t="n">
        <x:v>46045</x:v>
      </x:c>
      <x:c r="D1950" s="13" t="n">
        <x:v>164.11</x:v>
      </x:c>
    </x:row>
    <x:row r="1951">
      <x:c r="A1951" s="9" t="str">
        <x:v>1947</x:v>
      </x:c>
      <x:c r="B1951" s="9" t="str">
        <x:v>977</x:v>
      </x:c>
      <x:c r="C1951" s="11" t="n">
        <x:v>46126</x:v>
      </x:c>
      <x:c r="D1951" s="13" t="n">
        <x:v>1443.23</x:v>
      </x:c>
    </x:row>
    <x:row r="1952">
      <x:c r="A1952" s="9" t="str">
        <x:v>1948</x:v>
      </x:c>
      <x:c r="B1952" s="9" t="str">
        <x:v>977</x:v>
      </x:c>
      <x:c r="C1952" s="11" t="n">
        <x:v>46139</x:v>
      </x:c>
      <x:c r="D1952" s="13" t="n">
        <x:v>1889.91</x:v>
      </x:c>
    </x:row>
    <x:row r="1953">
      <x:c r="A1953" s="9" t="str">
        <x:v>1949</x:v>
      </x:c>
      <x:c r="B1953" s="9" t="str">
        <x:v>977</x:v>
      </x:c>
      <x:c r="C1953" s="11" t="n">
        <x:v>46094</x:v>
      </x:c>
      <x:c r="D1953" s="13" t="n">
        <x:v>1261.73</x:v>
      </x:c>
    </x:row>
    <x:row r="1954">
      <x:c r="A1954" s="9" t="str">
        <x:v>1950</x:v>
      </x:c>
      <x:c r="B1954" s="9" t="str">
        <x:v>978</x:v>
      </x:c>
      <x:c r="C1954" s="11" t="n">
        <x:v>46197</x:v>
      </x:c>
      <x:c r="D1954" s="13" t="n">
        <x:v>1888.67</x:v>
      </x:c>
    </x:row>
    <x:row r="1955">
      <x:c r="A1955" s="9" t="str">
        <x:v>1951</x:v>
      </x:c>
      <x:c r="B1955" s="9" t="str">
        <x:v>979</x:v>
      </x:c>
      <x:c r="C1955" s="11" t="n">
        <x:v>46166</x:v>
      </x:c>
      <x:c r="D1955" s="13" t="n">
        <x:v>610.93</x:v>
      </x:c>
    </x:row>
    <x:row r="1956">
      <x:c r="A1956" s="9" t="str">
        <x:v>1952</x:v>
      </x:c>
      <x:c r="B1956" s="9" t="str">
        <x:v>979</x:v>
      </x:c>
      <x:c r="C1956" s="11" t="n">
        <x:v>46138</x:v>
      </x:c>
      <x:c r="D1956" s="13" t="n">
        <x:v>1004.52</x:v>
      </x:c>
    </x:row>
    <x:row r="1957">
      <x:c r="A1957" s="9" t="str">
        <x:v>1953</x:v>
      </x:c>
      <x:c r="B1957" s="9" t="str">
        <x:v>979</x:v>
      </x:c>
      <x:c r="C1957" s="11" t="n">
        <x:v>46159</x:v>
      </x:c>
      <x:c r="D1957" s="13" t="n">
        <x:v>448</x:v>
      </x:c>
    </x:row>
    <x:row r="1958">
      <x:c r="A1958" s="9" t="str">
        <x:v>1954</x:v>
      </x:c>
      <x:c r="B1958" s="9" t="str">
        <x:v>981</x:v>
      </x:c>
      <x:c r="C1958" s="11" t="n">
        <x:v>46156</x:v>
      </x:c>
      <x:c r="D1958" s="13" t="n">
        <x:v>491.41</x:v>
      </x:c>
    </x:row>
    <x:row r="1959">
      <x:c r="A1959" s="9" t="str">
        <x:v>1955</x:v>
      </x:c>
      <x:c r="B1959" s="9" t="str">
        <x:v>981</x:v>
      </x:c>
      <x:c r="C1959" s="11" t="n">
        <x:v>46178</x:v>
      </x:c>
      <x:c r="D1959" s="13" t="n">
        <x:v>287.26</x:v>
      </x:c>
    </x:row>
    <x:row r="1960">
      <x:c r="A1960" s="9" t="str">
        <x:v>1956</x:v>
      </x:c>
      <x:c r="B1960" s="9" t="str">
        <x:v>981</x:v>
      </x:c>
      <x:c r="C1960" s="11" t="n">
        <x:v>46152</x:v>
      </x:c>
      <x:c r="D1960" s="13" t="n">
        <x:v>1418.33</x:v>
      </x:c>
    </x:row>
    <x:row r="1961">
      <x:c r="A1961" s="9" t="str">
        <x:v>1957</x:v>
      </x:c>
      <x:c r="B1961" s="9" t="str">
        <x:v>982</x:v>
      </x:c>
      <x:c r="C1961" s="11" t="n">
        <x:v>46173</x:v>
      </x:c>
      <x:c r="D1961" s="13" t="n">
        <x:v>134.84</x:v>
      </x:c>
    </x:row>
    <x:row r="1962">
      <x:c r="A1962" s="9" t="str">
        <x:v>1958</x:v>
      </x:c>
      <x:c r="B1962" s="9" t="str">
        <x:v>982</x:v>
      </x:c>
      <x:c r="C1962" s="11" t="n">
        <x:v>46171</x:v>
      </x:c>
      <x:c r="D1962" s="13" t="n">
        <x:v>29.96</x:v>
      </x:c>
    </x:row>
    <x:row r="1963">
      <x:c r="A1963" s="9" t="str">
        <x:v>1959</x:v>
      </x:c>
      <x:c r="B1963" s="9" t="str">
        <x:v>983</x:v>
      </x:c>
      <x:c r="C1963" s="11" t="n">
        <x:v>46182</x:v>
      </x:c>
      <x:c r="D1963" s="13" t="n">
        <x:v>192.11</x:v>
      </x:c>
    </x:row>
    <x:row r="1964">
      <x:c r="A1964" s="9" t="str">
        <x:v>1960</x:v>
      </x:c>
      <x:c r="B1964" s="9" t="str">
        <x:v>983</x:v>
      </x:c>
      <x:c r="C1964" s="11" t="n">
        <x:v>46162</x:v>
      </x:c>
      <x:c r="D1964" s="13" t="n">
        <x:v>177.25</x:v>
      </x:c>
    </x:row>
    <x:row r="1965">
      <x:c r="A1965" s="9" t="str">
        <x:v>1961</x:v>
      </x:c>
      <x:c r="B1965" s="9" t="str">
        <x:v>983</x:v>
      </x:c>
      <x:c r="C1965" s="11" t="n">
        <x:v>46131</x:v>
      </x:c>
      <x:c r="D1965" s="13" t="n">
        <x:v>89.61</x:v>
      </x:c>
    </x:row>
    <x:row r="1966">
      <x:c r="A1966" s="9" t="str">
        <x:v>1962</x:v>
      </x:c>
      <x:c r="B1966" s="9" t="str">
        <x:v>983</x:v>
      </x:c>
      <x:c r="C1966" s="11" t="n">
        <x:v>46144</x:v>
      </x:c>
      <x:c r="D1966" s="13" t="n">
        <x:v>59.63</x:v>
      </x:c>
    </x:row>
    <x:row r="1967">
      <x:c r="A1967" s="9" t="str">
        <x:v>1963</x:v>
      </x:c>
      <x:c r="B1967" s="9" t="str">
        <x:v>984</x:v>
      </x:c>
      <x:c r="C1967" s="11" t="n">
        <x:v>46121</x:v>
      </x:c>
      <x:c r="D1967" s="13" t="n">
        <x:v>608.39</x:v>
      </x:c>
    </x:row>
    <x:row r="1968">
      <x:c r="A1968" s="9" t="str">
        <x:v>1964</x:v>
      </x:c>
      <x:c r="B1968" s="9" t="str">
        <x:v>984</x:v>
      </x:c>
      <x:c r="C1968" s="11" t="n">
        <x:v>46150</x:v>
      </x:c>
      <x:c r="D1968" s="13" t="n">
        <x:v>747.37</x:v>
      </x:c>
    </x:row>
    <x:row r="1969">
      <x:c r="A1969" s="9" t="str">
        <x:v>1965</x:v>
      </x:c>
      <x:c r="B1969" s="9" t="str">
        <x:v>985</x:v>
      </x:c>
      <x:c r="C1969" s="11" t="n">
        <x:v>46201</x:v>
      </x:c>
      <x:c r="D1969" s="13" t="n">
        <x:v>67.95</x:v>
      </x:c>
    </x:row>
    <x:row r="1970">
      <x:c r="A1970" s="9" t="str">
        <x:v>1966</x:v>
      </x:c>
      <x:c r="B1970" s="9" t="str">
        <x:v>985</x:v>
      </x:c>
      <x:c r="C1970" s="11" t="n">
        <x:v>46087</x:v>
      </x:c>
      <x:c r="D1970" s="13" t="n">
        <x:v>40.56</x:v>
      </x:c>
    </x:row>
    <x:row r="1971">
      <x:c r="A1971" s="9" t="str">
        <x:v>1967</x:v>
      </x:c>
      <x:c r="B1971" s="9" t="str">
        <x:v>986</x:v>
      </x:c>
      <x:c r="C1971" s="11" t="n">
        <x:v>46200</x:v>
      </x:c>
      <x:c r="D1971" s="13" t="n">
        <x:v>575.5</x:v>
      </x:c>
    </x:row>
    <x:row r="1972">
      <x:c r="A1972" s="9" t="str">
        <x:v>1968</x:v>
      </x:c>
      <x:c r="B1972" s="9" t="str">
        <x:v>987</x:v>
      </x:c>
      <x:c r="C1972" s="11" t="n">
        <x:v>46067</x:v>
      </x:c>
      <x:c r="D1972" s="13" t="n">
        <x:v>330.36</x:v>
      </x:c>
    </x:row>
    <x:row r="1973">
      <x:c r="A1973" s="9" t="str">
        <x:v>1969</x:v>
      </x:c>
      <x:c r="B1973" s="9" t="str">
        <x:v>987</x:v>
      </x:c>
      <x:c r="C1973" s="11" t="n">
        <x:v>46090</x:v>
      </x:c>
      <x:c r="D1973" s="13" t="n">
        <x:v>249.88</x:v>
      </x:c>
    </x:row>
    <x:row r="1974">
      <x:c r="A1974" s="9" t="str">
        <x:v>1970</x:v>
      </x:c>
      <x:c r="B1974" s="9" t="str">
        <x:v>987</x:v>
      </x:c>
      <x:c r="C1974" s="11" t="n">
        <x:v>46093</x:v>
      </x:c>
      <x:c r="D1974" s="13" t="n">
        <x:v>294.25</x:v>
      </x:c>
    </x:row>
    <x:row r="1975">
      <x:c r="A1975" s="9" t="str">
        <x:v>1971</x:v>
      </x:c>
      <x:c r="B1975" s="9" t="str">
        <x:v>987</x:v>
      </x:c>
      <x:c r="C1975" s="11" t="n">
        <x:v>46194</x:v>
      </x:c>
      <x:c r="D1975" s="13" t="n">
        <x:v>83.44</x:v>
      </x:c>
    </x:row>
    <x:row r="1976">
      <x:c r="A1976" s="9" t="str">
        <x:v>1972</x:v>
      </x:c>
      <x:c r="B1976" s="9" t="str">
        <x:v>989</x:v>
      </x:c>
      <x:c r="C1976" s="11" t="n">
        <x:v>46174</x:v>
      </x:c>
      <x:c r="D1976" s="13" t="n">
        <x:v>2280.77</x:v>
      </x:c>
    </x:row>
    <x:row r="1977">
      <x:c r="A1977" s="9" t="str">
        <x:v>1973</x:v>
      </x:c>
      <x:c r="B1977" s="9" t="str">
        <x:v>989</x:v>
      </x:c>
      <x:c r="C1977" s="11" t="n">
        <x:v>46177</x:v>
      </x:c>
      <x:c r="D1977" s="13" t="n">
        <x:v>1733.22</x:v>
      </x:c>
    </x:row>
    <x:row r="1978">
      <x:c r="A1978" s="9" t="str">
        <x:v>1974</x:v>
      </x:c>
      <x:c r="B1978" s="9" t="str">
        <x:v>990</x:v>
      </x:c>
      <x:c r="C1978" s="11" t="n">
        <x:v>46194</x:v>
      </x:c>
      <x:c r="D1978" s="13" t="n">
        <x:v>1385.99</x:v>
      </x:c>
    </x:row>
    <x:row r="1979">
      <x:c r="A1979" s="9" t="str">
        <x:v>1975</x:v>
      </x:c>
      <x:c r="B1979" s="9" t="str">
        <x:v>992</x:v>
      </x:c>
      <x:c r="C1979" s="11" t="n">
        <x:v>46188</x:v>
      </x:c>
      <x:c r="D1979" s="13" t="n">
        <x:v>52.78</x:v>
      </x:c>
    </x:row>
    <x:row r="1980">
      <x:c r="A1980" s="9" t="str">
        <x:v>1976</x:v>
      </x:c>
      <x:c r="B1980" s="9" t="str">
        <x:v>993</x:v>
      </x:c>
      <x:c r="C1980" s="11" t="n">
        <x:v>46180</x:v>
      </x:c>
      <x:c r="D1980" s="13" t="n">
        <x:v>312.52</x:v>
      </x:c>
    </x:row>
    <x:row r="1981">
      <x:c r="A1981" s="9" t="str">
        <x:v>1977</x:v>
      </x:c>
      <x:c r="B1981" s="9" t="str">
        <x:v>993</x:v>
      </x:c>
      <x:c r="C1981" s="11" t="n">
        <x:v>46182</x:v>
      </x:c>
      <x:c r="D1981" s="13" t="n">
        <x:v>608.89</x:v>
      </x:c>
    </x:row>
    <x:row r="1982">
      <x:c r="A1982" s="9" t="str">
        <x:v>1978</x:v>
      </x:c>
      <x:c r="B1982" s="9" t="str">
        <x:v>993</x:v>
      </x:c>
      <x:c r="C1982" s="11" t="n">
        <x:v>46174</x:v>
      </x:c>
      <x:c r="D1982" s="13" t="n">
        <x:v>476.43</x:v>
      </x:c>
    </x:row>
    <x:row r="1983">
      <x:c r="A1983" s="9" t="str">
        <x:v>1979</x:v>
      </x:c>
      <x:c r="B1983" s="9" t="str">
        <x:v>993</x:v>
      </x:c>
      <x:c r="C1983" s="11" t="n">
        <x:v>46136</x:v>
      </x:c>
      <x:c r="D1983" s="13" t="n">
        <x:v>776.19</x:v>
      </x:c>
    </x:row>
    <x:row r="1984">
      <x:c r="A1984" s="9" t="str">
        <x:v>1980</x:v>
      </x:c>
      <x:c r="B1984" s="9" t="str">
        <x:v>994</x:v>
      </x:c>
      <x:c r="C1984" s="11" t="n">
        <x:v>46192</x:v>
      </x:c>
      <x:c r="D1984" s="13" t="n">
        <x:v>1113.81</x:v>
      </x:c>
    </x:row>
    <x:row r="1985">
      <x:c r="A1985" s="9" t="str">
        <x:v>1981</x:v>
      </x:c>
      <x:c r="B1985" s="9" t="str">
        <x:v>995</x:v>
      </x:c>
      <x:c r="C1985" s="11" t="n">
        <x:v>46177</x:v>
      </x:c>
      <x:c r="D1985" s="13" t="n">
        <x:v>1470.61</x:v>
      </x:c>
    </x:row>
    <x:row r="1986">
      <x:c r="A1986" s="9" t="str">
        <x:v>1982</x:v>
      </x:c>
      <x:c r="B1986" s="9" t="str">
        <x:v>995</x:v>
      </x:c>
      <x:c r="C1986" s="11" t="n">
        <x:v>46183</x:v>
      </x:c>
      <x:c r="D1986" s="13" t="n">
        <x:v>2549.75</x:v>
      </x:c>
    </x:row>
    <x:row r="1987">
      <x:c r="A1987" s="9" t="str">
        <x:v>1983</x:v>
      </x:c>
      <x:c r="B1987" s="9" t="str">
        <x:v>995</x:v>
      </x:c>
      <x:c r="C1987" s="11" t="n">
        <x:v>46180</x:v>
      </x:c>
      <x:c r="D1987" s="13" t="n">
        <x:v>2215.77</x:v>
      </x:c>
    </x:row>
    <x:row r="1988">
      <x:c r="A1988" s="9" t="str">
        <x:v>1984</x:v>
      </x:c>
      <x:c r="B1988" s="9" t="str">
        <x:v>996</x:v>
      </x:c>
      <x:c r="C1988" s="11" t="n">
        <x:v>46080</x:v>
      </x:c>
      <x:c r="D1988" s="13" t="n">
        <x:v>1595.07</x:v>
      </x:c>
    </x:row>
    <x:row r="1989">
      <x:c r="A1989" s="9" t="str">
        <x:v>1985</x:v>
      </x:c>
      <x:c r="B1989" s="9" t="str">
        <x:v>996</x:v>
      </x:c>
      <x:c r="C1989" s="11" t="n">
        <x:v>46089</x:v>
      </x:c>
      <x:c r="D1989" s="13" t="n">
        <x:v>1890.3</x:v>
      </x:c>
    </x:row>
    <x:row r="1990">
      <x:c r="A1990" s="9" t="str">
        <x:v>1986</x:v>
      </x:c>
      <x:c r="B1990" s="9" t="str">
        <x:v>997</x:v>
      </x:c>
      <x:c r="C1990" s="11" t="n">
        <x:v>46202</x:v>
      </x:c>
      <x:c r="D1990" s="13" t="n">
        <x:v>910.52</x:v>
      </x:c>
    </x:row>
    <x:row r="1991">
      <x:c r="A1991" s="9" t="str">
        <x:v>1987</x:v>
      </x:c>
      <x:c r="B1991" s="9" t="str">
        <x:v>998</x:v>
      </x:c>
      <x:c r="C1991" s="11" t="n">
        <x:v>46069</x:v>
      </x:c>
      <x:c r="D1991" s="13" t="n">
        <x:v>2161.31</x:v>
      </x:c>
    </x:row>
    <x:row r="1992">
      <x:c r="A1992" s="9" t="str">
        <x:v>1988</x:v>
      </x:c>
      <x:c r="B1992" s="9" t="str">
        <x:v>998</x:v>
      </x:c>
      <x:c r="C1992" s="11" t="n">
        <x:v>46201</x:v>
      </x:c>
      <x:c r="D1992" s="13" t="n">
        <x:v>1734.94</x:v>
      </x:c>
    </x:row>
    <x:row r="1993">
      <x:c r="A1993" s="9" t="str">
        <x:v>1989</x:v>
      </x:c>
      <x:c r="B1993" s="9" t="str">
        <x:v>1000</x:v>
      </x:c>
      <x:c r="C1993" s="11" t="n">
        <x:v>46198</x:v>
      </x:c>
      <x:c r="D1993" s="13" t="n">
        <x:v>137.92</x:v>
      </x:c>
    </x:row>
    <x:row r="1994">
      <x:c r="A1994" s="9" t="str">
        <x:v>1990</x:v>
      </x:c>
      <x:c r="B1994" s="9" t="str">
        <x:v>1000</x:v>
      </x:c>
      <x:c r="C1994" s="11" t="n">
        <x:v>46189</x:v>
      </x:c>
      <x:c r="D1994" s="13" t="n">
        <x:v>98</x:v>
      </x:c>
    </x:row>
    <x:row r="1995">
      <x:c r="A1995" s="9" t="str">
        <x:v>1991</x:v>
      </x:c>
      <x:c r="B1995" s="9" t="str">
        <x:v>1000</x:v>
      </x:c>
      <x:c r="C1995" s="11" t="n">
        <x:v>46184</x:v>
      </x:c>
      <x:c r="D1995" s="13" t="n">
        <x:v>118.4</x:v>
      </x:c>
    </x:row>
    <x:row r="1996">
      <x:c r="A1996" s="9" t="str">
        <x:v>1992</x:v>
      </x:c>
      <x:c r="B1996" s="9" t="str">
        <x:v>1002</x:v>
      </x:c>
      <x:c r="C1996" s="11" t="n">
        <x:v>46142</x:v>
      </x:c>
      <x:c r="D1996" s="13" t="n">
        <x:v>757.61</x:v>
      </x:c>
    </x:row>
    <x:row r="1997">
      <x:c r="A1997" s="9" t="str">
        <x:v>1993</x:v>
      </x:c>
      <x:c r="B1997" s="9" t="str">
        <x:v>1002</x:v>
      </x:c>
      <x:c r="C1997" s="11" t="n">
        <x:v>46174</x:v>
      </x:c>
      <x:c r="D1997" s="13" t="n">
        <x:v>1956.23</x:v>
      </x:c>
    </x:row>
    <x:row r="1998">
      <x:c r="A1998" s="9" t="str">
        <x:v>1994</x:v>
      </x:c>
      <x:c r="B1998" s="9" t="str">
        <x:v>1002</x:v>
      </x:c>
      <x:c r="C1998" s="11" t="n">
        <x:v>46151</x:v>
      </x:c>
      <x:c r="D1998" s="13" t="n">
        <x:v>2009.04</x:v>
      </x:c>
    </x:row>
    <x:row r="1999">
      <x:c r="A1999" s="9" t="str">
        <x:v>1995</x:v>
      </x:c>
      <x:c r="B1999" s="9" t="str">
        <x:v>1003</x:v>
      </x:c>
      <x:c r="C1999" s="11" t="n">
        <x:v>46120</x:v>
      </x:c>
      <x:c r="D1999" s="13" t="n">
        <x:v>147.99</x:v>
      </x:c>
    </x:row>
    <x:row r="2000">
      <x:c r="A2000" s="9" t="str">
        <x:v>1996</x:v>
      </x:c>
      <x:c r="B2000" s="9" t="str">
        <x:v>1003</x:v>
      </x:c>
      <x:c r="C2000" s="11" t="n">
        <x:v>46202</x:v>
      </x:c>
      <x:c r="D2000" s="13" t="n">
        <x:v>1437.27</x:v>
      </x:c>
    </x:row>
    <x:row r="2001">
      <x:c r="A2001" s="9" t="str">
        <x:v>1997</x:v>
      </x:c>
      <x:c r="B2001" s="9" t="str">
        <x:v>1004</x:v>
      </x:c>
      <x:c r="C2001" s="11" t="n">
        <x:v>46132</x:v>
      </x:c>
      <x:c r="D2001" s="13" t="n">
        <x:v>1091.73</x:v>
      </x:c>
    </x:row>
    <x:row r="2002">
      <x:c r="A2002" s="9" t="str">
        <x:v>1998</x:v>
      </x:c>
      <x:c r="B2002" s="9" t="str">
        <x:v>1004</x:v>
      </x:c>
      <x:c r="C2002" s="11" t="n">
        <x:v>46132</x:v>
      </x:c>
      <x:c r="D2002" s="13" t="n">
        <x:v>1210.35</x:v>
      </x:c>
    </x:row>
    <x:row r="2003">
      <x:c r="A2003" s="9" t="str">
        <x:v>1999</x:v>
      </x:c>
      <x:c r="B2003" s="9" t="str">
        <x:v>1004</x:v>
      </x:c>
      <x:c r="C2003" s="11" t="n">
        <x:v>46191</x:v>
      </x:c>
      <x:c r="D2003" s="13" t="n">
        <x:v>283.28</x:v>
      </x:c>
    </x:row>
    <x:row r="2004">
      <x:c r="A2004" s="9" t="str">
        <x:v>2000</x:v>
      </x:c>
      <x:c r="B2004" s="9" t="str">
        <x:v>1004</x:v>
      </x:c>
      <x:c r="C2004" s="11" t="n">
        <x:v>46107</x:v>
      </x:c>
      <x:c r="D2004" s="13" t="n">
        <x:v>57.37</x:v>
      </x:c>
    </x:row>
    <x:row r="2005">
      <x:c r="A2005" s="9" t="str">
        <x:v>2001</x:v>
      </x:c>
      <x:c r="B2005" s="9" t="str">
        <x:v>1005</x:v>
      </x:c>
      <x:c r="C2005" s="11" t="n">
        <x:v>46192</x:v>
      </x:c>
      <x:c r="D2005" s="13" t="n">
        <x:v>577.47</x:v>
      </x:c>
    </x:row>
    <x:row r="2006">
      <x:c r="A2006" s="9" t="str">
        <x:v>2002</x:v>
      </x:c>
      <x:c r="B2006" s="9" t="str">
        <x:v>1006</x:v>
      </x:c>
      <x:c r="C2006" s="11" t="n">
        <x:v>46177</x:v>
      </x:c>
      <x:c r="D2006" s="13" t="n">
        <x:v>1059.37</x:v>
      </x:c>
    </x:row>
    <x:row r="2007">
      <x:c r="A2007" s="9" t="str">
        <x:v>2003</x:v>
      </x:c>
      <x:c r="B2007" s="9" t="str">
        <x:v>1006</x:v>
      </x:c>
      <x:c r="C2007" s="11" t="n">
        <x:v>46160</x:v>
      </x:c>
      <x:c r="D2007" s="13" t="n">
        <x:v>1076.23</x:v>
      </x:c>
    </x:row>
    <x:row r="2008">
      <x:c r="A2008" s="9" t="str">
        <x:v>2004</x:v>
      </x:c>
      <x:c r="B2008" s="9" t="str">
        <x:v>1006</x:v>
      </x:c>
      <x:c r="C2008" s="11" t="n">
        <x:v>46195</x:v>
      </x:c>
      <x:c r="D2008" s="13" t="n">
        <x:v>521.12</x:v>
      </x:c>
    </x:row>
    <x:row r="2009">
      <x:c r="A2009" s="9" t="str">
        <x:v>2005</x:v>
      </x:c>
      <x:c r="B2009" s="9" t="str">
        <x:v>1007</x:v>
      </x:c>
      <x:c r="C2009" s="11" t="n">
        <x:v>46163</x:v>
      </x:c>
      <x:c r="D2009" s="13" t="n">
        <x:v>409.77</x:v>
      </x:c>
    </x:row>
    <x:row r="2010">
      <x:c r="A2010" s="9" t="str">
        <x:v>2006</x:v>
      </x:c>
      <x:c r="B2010" s="9" t="str">
        <x:v>1007</x:v>
      </x:c>
      <x:c r="C2010" s="11" t="n">
        <x:v>46067</x:v>
      </x:c>
      <x:c r="D2010" s="13" t="n">
        <x:v>1417.73</x:v>
      </x:c>
    </x:row>
    <x:row r="2011">
      <x:c r="A2011" s="9" t="str">
        <x:v>2007</x:v>
      </x:c>
      <x:c r="B2011" s="9" t="str">
        <x:v>1009</x:v>
      </x:c>
      <x:c r="C2011" s="11" t="n">
        <x:v>46147</x:v>
      </x:c>
      <x:c r="D2011" s="13" t="n">
        <x:v>324.35</x:v>
      </x:c>
    </x:row>
    <x:row r="2012">
      <x:c r="A2012" s="9" t="str">
        <x:v>2008</x:v>
      </x:c>
      <x:c r="B2012" s="9" t="str">
        <x:v>1010</x:v>
      </x:c>
      <x:c r="C2012" s="11" t="n">
        <x:v>46150</x:v>
      </x:c>
      <x:c r="D2012" s="13" t="n">
        <x:v>1010.16</x:v>
      </x:c>
    </x:row>
    <x:row r="2013">
      <x:c r="A2013" s="9" t="str">
        <x:v>2009</x:v>
      </x:c>
      <x:c r="B2013" s="9" t="str">
        <x:v>1011</x:v>
      </x:c>
      <x:c r="C2013" s="11" t="n">
        <x:v>46061</x:v>
      </x:c>
      <x:c r="D2013" s="13" t="n">
        <x:v>460.84</x:v>
      </x:c>
    </x:row>
    <x:row r="2014">
      <x:c r="A2014" s="9" t="str">
        <x:v>2010</x:v>
      </x:c>
      <x:c r="B2014" s="9" t="str">
        <x:v>1012</x:v>
      </x:c>
      <x:c r="C2014" s="11" t="n">
        <x:v>46192</x:v>
      </x:c>
      <x:c r="D2014" s="13" t="n">
        <x:v>1916.26</x:v>
      </x:c>
    </x:row>
    <x:row r="2015">
      <x:c r="A2015" s="9" t="str">
        <x:v>2011</x:v>
      </x:c>
      <x:c r="B2015" s="9" t="str">
        <x:v>1012</x:v>
      </x:c>
      <x:c r="C2015" s="11" t="n">
        <x:v>46161</x:v>
      </x:c>
      <x:c r="D2015" s="13" t="n">
        <x:v>1174.23</x:v>
      </x:c>
    </x:row>
    <x:row r="2016">
      <x:c r="A2016" s="9" t="str">
        <x:v>2012</x:v>
      </x:c>
      <x:c r="B2016" s="9" t="str">
        <x:v>1013</x:v>
      </x:c>
      <x:c r="C2016" s="11" t="n">
        <x:v>46175</x:v>
      </x:c>
      <x:c r="D2016" s="13" t="n">
        <x:v>129.43</x:v>
      </x:c>
    </x:row>
    <x:row r="2017">
      <x:c r="A2017" s="9" t="str">
        <x:v>2013</x:v>
      </x:c>
      <x:c r="B2017" s="9" t="str">
        <x:v>1013</x:v>
      </x:c>
      <x:c r="C2017" s="11" t="n">
        <x:v>46167</x:v>
      </x:c>
      <x:c r="D2017" s="13" t="n">
        <x:v>501.35</x:v>
      </x:c>
    </x:row>
    <x:row r="2018">
      <x:c r="A2018" s="9" t="str">
        <x:v>2014</x:v>
      </x:c>
      <x:c r="B2018" s="9" t="str">
        <x:v>1013</x:v>
      </x:c>
      <x:c r="C2018" s="11" t="n">
        <x:v>46174</x:v>
      </x:c>
      <x:c r="D2018" s="13" t="n">
        <x:v>1601.56</x:v>
      </x:c>
    </x:row>
    <x:row r="2019">
      <x:c r="A2019" s="9" t="str">
        <x:v>2015</x:v>
      </x:c>
      <x:c r="B2019" s="9" t="str">
        <x:v>1015</x:v>
      </x:c>
      <x:c r="C2019" s="11" t="n">
        <x:v>46122</x:v>
      </x:c>
      <x:c r="D2019" s="13" t="n">
        <x:v>1985.91</x:v>
      </x:c>
    </x:row>
    <x:row r="2020">
      <x:c r="A2020" s="9" t="str">
        <x:v>2016</x:v>
      </x:c>
      <x:c r="B2020" s="9" t="str">
        <x:v>1015</x:v>
      </x:c>
      <x:c r="C2020" s="11" t="n">
        <x:v>46107</x:v>
      </x:c>
      <x:c r="D2020" s="13" t="n">
        <x:v>353.47</x:v>
      </x:c>
    </x:row>
    <x:row r="2021">
      <x:c r="A2021" s="9" t="str">
        <x:v>2017</x:v>
      </x:c>
      <x:c r="B2021" s="9" t="str">
        <x:v>1015</x:v>
      </x:c>
      <x:c r="C2021" s="11" t="n">
        <x:v>46116</x:v>
      </x:c>
      <x:c r="D2021" s="13" t="n">
        <x:v>560.03</x:v>
      </x:c>
    </x:row>
    <x:row r="2022">
      <x:c r="A2022" s="9" t="str">
        <x:v>2018</x:v>
      </x:c>
      <x:c r="B2022" s="9" t="str">
        <x:v>1016</x:v>
      </x:c>
      <x:c r="C2022" s="11" t="n">
        <x:v>46089</x:v>
      </x:c>
      <x:c r="D2022" s="13" t="n">
        <x:v>1493.92</x:v>
      </x:c>
    </x:row>
    <x:row r="2023">
      <x:c r="A2023" s="9" t="str">
        <x:v>2019</x:v>
      </x:c>
      <x:c r="B2023" s="9" t="str">
        <x:v>1016</x:v>
      </x:c>
      <x:c r="C2023" s="11" t="n">
        <x:v>46095</x:v>
      </x:c>
      <x:c r="D2023" s="13" t="n">
        <x:v>492.69</x:v>
      </x:c>
    </x:row>
    <x:row r="2024">
      <x:c r="A2024" s="9" t="str">
        <x:v>2020</x:v>
      </x:c>
      <x:c r="B2024" s="9" t="str">
        <x:v>1016</x:v>
      </x:c>
      <x:c r="C2024" s="11" t="n">
        <x:v>46153</x:v>
      </x:c>
      <x:c r="D2024" s="13" t="n">
        <x:v>937.3</x:v>
      </x:c>
    </x:row>
    <x:row r="2025">
      <x:c r="A2025" s="9" t="str">
        <x:v>2021</x:v>
      </x:c>
      <x:c r="B2025" s="9" t="str">
        <x:v>1016</x:v>
      </x:c>
      <x:c r="C2025" s="11" t="n">
        <x:v>46146</x:v>
      </x:c>
      <x:c r="D2025" s="13" t="n">
        <x:v>159.84</x:v>
      </x:c>
    </x:row>
    <x:row r="2026">
      <x:c r="A2026" s="9" t="str">
        <x:v>2022</x:v>
      </x:c>
      <x:c r="B2026" s="9" t="str">
        <x:v>1018</x:v>
      </x:c>
      <x:c r="C2026" s="11" t="n">
        <x:v>46163</x:v>
      </x:c>
      <x:c r="D2026" s="13" t="n">
        <x:v>38.59</x:v>
      </x:c>
    </x:row>
    <x:row r="2027">
      <x:c r="A2027" s="9" t="str">
        <x:v>2023</x:v>
      </x:c>
      <x:c r="B2027" s="9" t="str">
        <x:v>1018</x:v>
      </x:c>
      <x:c r="C2027" s="11" t="n">
        <x:v>46075</x:v>
      </x:c>
      <x:c r="D2027" s="13" t="n">
        <x:v>118.31</x:v>
      </x:c>
    </x:row>
    <x:row r="2028">
      <x:c r="A2028" s="9" t="str">
        <x:v>2024</x:v>
      </x:c>
      <x:c r="B2028" s="9" t="str">
        <x:v>1018</x:v>
      </x:c>
      <x:c r="C2028" s="11" t="n">
        <x:v>46134</x:v>
      </x:c>
      <x:c r="D2028" s="13" t="n">
        <x:v>93.34</x:v>
      </x:c>
    </x:row>
    <x:row r="2029">
      <x:c r="A2029" s="9" t="str">
        <x:v>2025</x:v>
      </x:c>
      <x:c r="B2029" s="9" t="str">
        <x:v>1019</x:v>
      </x:c>
      <x:c r="C2029" s="11" t="n">
        <x:v>46086</x:v>
      </x:c>
      <x:c r="D2029" s="13" t="n">
        <x:v>57.19</x:v>
      </x:c>
    </x:row>
    <x:row r="2030">
      <x:c r="A2030" s="9" t="str">
        <x:v>2026</x:v>
      </x:c>
      <x:c r="B2030" s="9" t="str">
        <x:v>1019</x:v>
      </x:c>
      <x:c r="C2030" s="11" t="n">
        <x:v>46154</x:v>
      </x:c>
      <x:c r="D2030" s="13" t="n">
        <x:v>381.08</x:v>
      </x:c>
    </x:row>
    <x:row r="2031">
      <x:c r="A2031" s="9" t="str">
        <x:v>2027</x:v>
      </x:c>
      <x:c r="B2031" s="9" t="str">
        <x:v>1021</x:v>
      </x:c>
      <x:c r="C2031" s="11" t="n">
        <x:v>46064</x:v>
      </x:c>
      <x:c r="D2031" s="13" t="n">
        <x:v>68.85</x:v>
      </x:c>
    </x:row>
    <x:row r="2032">
      <x:c r="A2032" s="9" t="str">
        <x:v>2028</x:v>
      </x:c>
      <x:c r="B2032" s="9" t="str">
        <x:v>1023</x:v>
      </x:c>
      <x:c r="C2032" s="11" t="n">
        <x:v>46180</x:v>
      </x:c>
      <x:c r="D2032" s="13" t="n">
        <x:v>2213.87</x:v>
      </x:c>
    </x:row>
    <x:row r="2033">
      <x:c r="A2033" s="9" t="str">
        <x:v>2029</x:v>
      </x:c>
      <x:c r="B2033" s="9" t="str">
        <x:v>1023</x:v>
      </x:c>
      <x:c r="C2033" s="11" t="n">
        <x:v>46198</x:v>
      </x:c>
      <x:c r="D2033" s="13" t="n">
        <x:v>1253.77</x:v>
      </x:c>
    </x:row>
    <x:row r="2034">
      <x:c r="A2034" s="9" t="str">
        <x:v>2030</x:v>
      </x:c>
      <x:c r="B2034" s="9" t="str">
        <x:v>1023</x:v>
      </x:c>
      <x:c r="C2034" s="11" t="n">
        <x:v>46198</x:v>
      </x:c>
      <x:c r="D2034" s="13" t="n">
        <x:v>1100.54</x:v>
      </x:c>
    </x:row>
    <x:row r="2035">
      <x:c r="A2035" s="9" t="str">
        <x:v>2031</x:v>
      </x:c>
      <x:c r="B2035" s="9" t="str">
        <x:v>1023</x:v>
      </x:c>
      <x:c r="C2035" s="11" t="n">
        <x:v>46170</x:v>
      </x:c>
      <x:c r="D2035" s="13" t="n">
        <x:v>1628.83</x:v>
      </x:c>
    </x:row>
    <x:row r="2036">
      <x:c r="A2036" s="9" t="str">
        <x:v>2032</x:v>
      </x:c>
      <x:c r="B2036" s="9" t="str">
        <x:v>1024</x:v>
      </x:c>
      <x:c r="C2036" s="11" t="n">
        <x:v>46194</x:v>
      </x:c>
      <x:c r="D2036" s="13" t="n">
        <x:v>1771.9</x:v>
      </x:c>
    </x:row>
    <x:row r="2037">
      <x:c r="A2037" s="9" t="str">
        <x:v>2033</x:v>
      </x:c>
      <x:c r="B2037" s="9" t="str">
        <x:v>1024</x:v>
      </x:c>
      <x:c r="C2037" s="11" t="n">
        <x:v>46162</x:v>
      </x:c>
      <x:c r="D2037" s="13" t="n">
        <x:v>1679.68</x:v>
      </x:c>
    </x:row>
    <x:row r="2038">
      <x:c r="A2038" s="9" t="str">
        <x:v>2034</x:v>
      </x:c>
      <x:c r="B2038" s="9" t="str">
        <x:v>1024</x:v>
      </x:c>
      <x:c r="C2038" s="11" t="n">
        <x:v>46149</x:v>
      </x:c>
      <x:c r="D2038" s="13" t="n">
        <x:v>486.28</x:v>
      </x:c>
    </x:row>
    <x:row r="2039">
      <x:c r="A2039" s="9" t="str">
        <x:v>2035</x:v>
      </x:c>
      <x:c r="B2039" s="9" t="str">
        <x:v>1024</x:v>
      </x:c>
      <x:c r="C2039" s="11" t="n">
        <x:v>46138</x:v>
      </x:c>
      <x:c r="D2039" s="13" t="n">
        <x:v>336.86</x:v>
      </x:c>
    </x:row>
    <x:row r="2040">
      <x:c r="A2040" s="9" t="str">
        <x:v>2036</x:v>
      </x:c>
      <x:c r="B2040" s="9" t="str">
        <x:v>1026</x:v>
      </x:c>
      <x:c r="C2040" s="11" t="n">
        <x:v>46185</x:v>
      </x:c>
      <x:c r="D2040" s="13" t="n">
        <x:v>2866.08</x:v>
      </x:c>
    </x:row>
    <x:row r="2041">
      <x:c r="A2041" s="9" t="str">
        <x:v>2037</x:v>
      </x:c>
      <x:c r="B2041" s="9" t="str">
        <x:v>1026</x:v>
      </x:c>
      <x:c r="C2041" s="11" t="n">
        <x:v>46181</x:v>
      </x:c>
      <x:c r="D2041" s="13" t="n">
        <x:v>2612.62</x:v>
      </x:c>
    </x:row>
    <x:row r="2042">
      <x:c r="A2042" s="9" t="str">
        <x:v>2038</x:v>
      </x:c>
      <x:c r="B2042" s="9" t="str">
        <x:v>1027</x:v>
      </x:c>
      <x:c r="C2042" s="11" t="n">
        <x:v>46113</x:v>
      </x:c>
      <x:c r="D2042" s="13" t="n">
        <x:v>96.57</x:v>
      </x:c>
    </x:row>
    <x:row r="2043">
      <x:c r="A2043" s="9" t="str">
        <x:v>2039</x:v>
      </x:c>
      <x:c r="B2043" s="9" t="str">
        <x:v>1027</x:v>
      </x:c>
      <x:c r="C2043" s="11" t="n">
        <x:v>46142</x:v>
      </x:c>
      <x:c r="D2043" s="13" t="n">
        <x:v>1076.15</x:v>
      </x:c>
    </x:row>
    <x:row r="2044">
      <x:c r="A2044" s="9" t="str">
        <x:v>2040</x:v>
      </x:c>
      <x:c r="B2044" s="9" t="str">
        <x:v>1028</x:v>
      </x:c>
      <x:c r="C2044" s="11" t="n">
        <x:v>46163</x:v>
      </x:c>
      <x:c r="D2044" s="13" t="n">
        <x:v>1714.12</x:v>
      </x:c>
    </x:row>
    <x:row r="2045">
      <x:c r="A2045" s="9" t="str">
        <x:v>2041</x:v>
      </x:c>
      <x:c r="B2045" s="9" t="str">
        <x:v>1028</x:v>
      </x:c>
      <x:c r="C2045" s="11" t="n">
        <x:v>46177</x:v>
      </x:c>
      <x:c r="D2045" s="13" t="n">
        <x:v>370.06</x:v>
      </x:c>
    </x:row>
    <x:row r="2046">
      <x:c r="A2046" s="9" t="str">
        <x:v>2042</x:v>
      </x:c>
      <x:c r="B2046" s="9" t="str">
        <x:v>1028</x:v>
      </x:c>
      <x:c r="C2046" s="11" t="n">
        <x:v>46165</x:v>
      </x:c>
      <x:c r="D2046" s="13" t="n">
        <x:v>1834.37</x:v>
      </x:c>
    </x:row>
    <x:row r="2047">
      <x:c r="A2047" s="9" t="str">
        <x:v>2043</x:v>
      </x:c>
      <x:c r="B2047" s="9" t="str">
        <x:v>1028</x:v>
      </x:c>
      <x:c r="C2047" s="11" t="n">
        <x:v>46161</x:v>
      </x:c>
      <x:c r="D2047" s="13" t="n">
        <x:v>593.89</x:v>
      </x:c>
    </x:row>
    <x:row r="2048">
      <x:c r="A2048" s="9" t="str">
        <x:v>2044</x:v>
      </x:c>
      <x:c r="B2048" s="9" t="str">
        <x:v>1029</x:v>
      </x:c>
      <x:c r="C2048" s="11" t="n">
        <x:v>46138</x:v>
      </x:c>
      <x:c r="D2048" s="13" t="n">
        <x:v>451.98</x:v>
      </x:c>
    </x:row>
    <x:row r="2049">
      <x:c r="A2049" s="9" t="str">
        <x:v>2045</x:v>
      </x:c>
      <x:c r="B2049" s="9" t="str">
        <x:v>1029</x:v>
      </x:c>
      <x:c r="C2049" s="11" t="n">
        <x:v>46150</x:v>
      </x:c>
      <x:c r="D2049" s="13" t="n">
        <x:v>289.55</x:v>
      </x:c>
    </x:row>
    <x:row r="2050">
      <x:c r="A2050" s="9" t="str">
        <x:v>2046</x:v>
      </x:c>
      <x:c r="B2050" s="9" t="str">
        <x:v>1029</x:v>
      </x:c>
      <x:c r="C2050" s="11" t="n">
        <x:v>46122</x:v>
      </x:c>
      <x:c r="D2050" s="13" t="n">
        <x:v>163.85</x:v>
      </x:c>
    </x:row>
    <x:row r="2051">
      <x:c r="A2051" s="9" t="str">
        <x:v>2047</x:v>
      </x:c>
      <x:c r="B2051" s="9" t="str">
        <x:v>1030</x:v>
      </x:c>
      <x:c r="C2051" s="11" t="n">
        <x:v>46165</x:v>
      </x:c>
      <x:c r="D2051" s="13" t="n">
        <x:v>2302.86</x:v>
      </x:c>
    </x:row>
    <x:row r="2052">
      <x:c r="A2052" s="9" t="str">
        <x:v>2048</x:v>
      </x:c>
      <x:c r="B2052" s="9" t="str">
        <x:v>1030</x:v>
      </x:c>
      <x:c r="C2052" s="11" t="n">
        <x:v>46156</x:v>
      </x:c>
      <x:c r="D2052" s="13" t="n">
        <x:v>1963.83</x:v>
      </x:c>
    </x:row>
    <x:row r="2053">
      <x:c r="A2053" s="9" t="str">
        <x:v>2049</x:v>
      </x:c>
      <x:c r="B2053" s="9" t="str">
        <x:v>1031</x:v>
      </x:c>
      <x:c r="C2053" s="11" t="n">
        <x:v>46197</x:v>
      </x:c>
      <x:c r="D2053" s="13" t="n">
        <x:v>716.84</x:v>
      </x:c>
    </x:row>
    <x:row r="2054">
      <x:c r="A2054" s="9" t="str">
        <x:v>2050</x:v>
      </x:c>
      <x:c r="B2054" s="9" t="str">
        <x:v>1032</x:v>
      </x:c>
      <x:c r="C2054" s="11" t="n">
        <x:v>46151</x:v>
      </x:c>
      <x:c r="D2054" s="13" t="n">
        <x:v>216.69</x:v>
      </x:c>
    </x:row>
    <x:row r="2055">
      <x:c r="A2055" s="9" t="str">
        <x:v>2051</x:v>
      </x:c>
      <x:c r="B2055" s="9" t="str">
        <x:v>1033</x:v>
      </x:c>
      <x:c r="C2055" s="11" t="n">
        <x:v>46199</x:v>
      </x:c>
      <x:c r="D2055" s="13" t="n">
        <x:v>311.84</x:v>
      </x:c>
    </x:row>
    <x:row r="2056">
      <x:c r="A2056" s="9" t="str">
        <x:v>2052</x:v>
      </x:c>
      <x:c r="B2056" s="9" t="str">
        <x:v>1034</x:v>
      </x:c>
      <x:c r="C2056" s="11" t="n">
        <x:v>46190</x:v>
      </x:c>
      <x:c r="D2056" s="13" t="n">
        <x:v>1662.28</x:v>
      </x:c>
    </x:row>
    <x:row r="2057">
      <x:c r="A2057" s="9" t="str">
        <x:v>2053</x:v>
      </x:c>
      <x:c r="B2057" s="9" t="str">
        <x:v>1034</x:v>
      </x:c>
      <x:c r="C2057" s="11" t="n">
        <x:v>46168</x:v>
      </x:c>
      <x:c r="D2057" s="13" t="n">
        <x:v>1092.12</x:v>
      </x:c>
    </x:row>
    <x:row r="2058">
      <x:c r="A2058" s="9" t="str">
        <x:v>2054</x:v>
      </x:c>
      <x:c r="B2058" s="9" t="str">
        <x:v>1035</x:v>
      </x:c>
      <x:c r="C2058" s="11" t="n">
        <x:v>46172</x:v>
      </x:c>
      <x:c r="D2058" s="13" t="n">
        <x:v>595.75</x:v>
      </x:c>
    </x:row>
    <x:row r="2059">
      <x:c r="A2059" s="9" t="str">
        <x:v>2055</x:v>
      </x:c>
      <x:c r="B2059" s="9" t="str">
        <x:v>1035</x:v>
      </x:c>
      <x:c r="C2059" s="11" t="n">
        <x:v>46103</x:v>
      </x:c>
      <x:c r="D2059" s="13" t="n">
        <x:v>153.15</x:v>
      </x:c>
    </x:row>
    <x:row r="2060">
      <x:c r="A2060" s="9" t="str">
        <x:v>2056</x:v>
      </x:c>
      <x:c r="B2060" s="9" t="str">
        <x:v>1035</x:v>
      </x:c>
      <x:c r="C2060" s="11" t="n">
        <x:v>46194</x:v>
      </x:c>
      <x:c r="D2060" s="13" t="n">
        <x:v>380.76</x:v>
      </x:c>
    </x:row>
    <x:row r="2061">
      <x:c r="A2061" s="9" t="str">
        <x:v>2057</x:v>
      </x:c>
      <x:c r="B2061" s="9" t="str">
        <x:v>1035</x:v>
      </x:c>
      <x:c r="C2061" s="11" t="n">
        <x:v>46113</x:v>
      </x:c>
      <x:c r="D2061" s="13" t="n">
        <x:v>942.63</x:v>
      </x:c>
    </x:row>
    <x:row r="2062">
      <x:c r="A2062" s="9" t="str">
        <x:v>2058</x:v>
      </x:c>
      <x:c r="B2062" s="9" t="str">
        <x:v>1036</x:v>
      </x:c>
      <x:c r="C2062" s="11" t="n">
        <x:v>46151</x:v>
      </x:c>
      <x:c r="D2062" s="13" t="n">
        <x:v>1536.59</x:v>
      </x:c>
    </x:row>
    <x:row r="2063">
      <x:c r="A2063" s="9" t="str">
        <x:v>2059</x:v>
      </x:c>
      <x:c r="B2063" s="9" t="str">
        <x:v>1036</x:v>
      </x:c>
      <x:c r="C2063" s="11" t="n">
        <x:v>46194</x:v>
      </x:c>
      <x:c r="D2063" s="13" t="n">
        <x:v>1656.27</x:v>
      </x:c>
    </x:row>
    <x:row r="2064">
      <x:c r="A2064" s="9" t="str">
        <x:v>2060</x:v>
      </x:c>
      <x:c r="B2064" s="9" t="str">
        <x:v>1038</x:v>
      </x:c>
      <x:c r="C2064" s="11" t="n">
        <x:v>46150</x:v>
      </x:c>
      <x:c r="D2064" s="13" t="n">
        <x:v>520.92</x:v>
      </x:c>
    </x:row>
    <x:row r="2065">
      <x:c r="A2065" s="9" t="str">
        <x:v>2061</x:v>
      </x:c>
      <x:c r="B2065" s="9" t="str">
        <x:v>1039</x:v>
      </x:c>
      <x:c r="C2065" s="11" t="n">
        <x:v>46122</x:v>
      </x:c>
      <x:c r="D2065" s="13" t="n">
        <x:v>75.69</x:v>
      </x:c>
    </x:row>
    <x:row r="2066">
      <x:c r="A2066" s="9" t="str">
        <x:v>2062</x:v>
      </x:c>
      <x:c r="B2066" s="9" t="str">
        <x:v>1039</x:v>
      </x:c>
      <x:c r="C2066" s="11" t="n">
        <x:v>46185</x:v>
      </x:c>
      <x:c r="D2066" s="13" t="n">
        <x:v>127.53</x:v>
      </x:c>
    </x:row>
    <x:row r="2067">
      <x:c r="A2067" s="9" t="str">
        <x:v>2063</x:v>
      </x:c>
      <x:c r="B2067" s="9" t="str">
        <x:v>1039</x:v>
      </x:c>
      <x:c r="C2067" s="11" t="n">
        <x:v>46159</x:v>
      </x:c>
      <x:c r="D2067" s="13" t="n">
        <x:v>648.7</x:v>
      </x:c>
    </x:row>
    <x:row r="2068">
      <x:c r="A2068" s="9" t="str">
        <x:v>2064</x:v>
      </x:c>
      <x:c r="B2068" s="9" t="str">
        <x:v>1039</x:v>
      </x:c>
      <x:c r="C2068" s="11" t="n">
        <x:v>46111</x:v>
      </x:c>
      <x:c r="D2068" s="13" t="n">
        <x:v>384.92</x:v>
      </x:c>
    </x:row>
    <x:row r="2069">
      <x:c r="A2069" s="9" t="str">
        <x:v>2065</x:v>
      </x:c>
      <x:c r="B2069" s="9" t="str">
        <x:v>1040</x:v>
      </x:c>
      <x:c r="C2069" s="11" t="n">
        <x:v>46137</x:v>
      </x:c>
      <x:c r="D2069" s="13" t="n">
        <x:v>1980.29</x:v>
      </x:c>
    </x:row>
    <x:row r="2070">
      <x:c r="A2070" s="9" t="str">
        <x:v>2066</x:v>
      </x:c>
      <x:c r="B2070" s="9" t="str">
        <x:v>1040</x:v>
      </x:c>
      <x:c r="C2070" s="11" t="n">
        <x:v>46190</x:v>
      </x:c>
      <x:c r="D2070" s="13" t="n">
        <x:v>1923.21</x:v>
      </x:c>
    </x:row>
    <x:row r="2071">
      <x:c r="A2071" s="9" t="str">
        <x:v>2067</x:v>
      </x:c>
      <x:c r="B2071" s="9" t="str">
        <x:v>1040</x:v>
      </x:c>
      <x:c r="C2071" s="11" t="n">
        <x:v>46114</x:v>
      </x:c>
      <x:c r="D2071" s="13" t="n">
        <x:v>1999.08</x:v>
      </x:c>
    </x:row>
    <x:row r="2072">
      <x:c r="A2072" s="9" t="str">
        <x:v>2068</x:v>
      </x:c>
      <x:c r="B2072" s="9" t="str">
        <x:v>1042</x:v>
      </x:c>
      <x:c r="C2072" s="11" t="n">
        <x:v>46171</x:v>
      </x:c>
      <x:c r="D2072" s="13" t="n">
        <x:v>2063.4</x:v>
      </x:c>
    </x:row>
    <x:row r="2073">
      <x:c r="A2073" s="9" t="str">
        <x:v>2069</x:v>
      </x:c>
      <x:c r="B2073" s="9" t="str">
        <x:v>1042</x:v>
      </x:c>
      <x:c r="C2073" s="11" t="n">
        <x:v>46201</x:v>
      </x:c>
      <x:c r="D2073" s="13" t="n">
        <x:v>967.35</x:v>
      </x:c>
    </x:row>
    <x:row r="2074">
      <x:c r="A2074" s="9" t="str">
        <x:v>2070</x:v>
      </x:c>
      <x:c r="B2074" s="9" t="str">
        <x:v>1042</x:v>
      </x:c>
      <x:c r="C2074" s="11" t="n">
        <x:v>46142</x:v>
      </x:c>
      <x:c r="D2074" s="13" t="n">
        <x:v>2148.53</x:v>
      </x:c>
    </x:row>
    <x:row r="2075">
      <x:c r="A2075" s="9" t="str">
        <x:v>2071</x:v>
      </x:c>
      <x:c r="B2075" s="9" t="str">
        <x:v>1043</x:v>
      </x:c>
      <x:c r="C2075" s="11" t="n">
        <x:v>46103</x:v>
      </x:c>
      <x:c r="D2075" s="13" t="n">
        <x:v>233.64</x:v>
      </x:c>
    </x:row>
    <x:row r="2076">
      <x:c r="A2076" s="9" t="str">
        <x:v>2072</x:v>
      </x:c>
      <x:c r="B2076" s="9" t="str">
        <x:v>1043</x:v>
      </x:c>
      <x:c r="C2076" s="11" t="n">
        <x:v>46098</x:v>
      </x:c>
      <x:c r="D2076" s="13" t="n">
        <x:v>48.06</x:v>
      </x:c>
    </x:row>
    <x:row r="2077">
      <x:c r="A2077" s="9" t="str">
        <x:v>2073</x:v>
      </x:c>
      <x:c r="B2077" s="9" t="str">
        <x:v>1043</x:v>
      </x:c>
      <x:c r="C2077" s="11" t="n">
        <x:v>46076</x:v>
      </x:c>
      <x:c r="D2077" s="13" t="n">
        <x:v>365.01</x:v>
      </x:c>
    </x:row>
    <x:row r="2078">
      <x:c r="A2078" s="9" t="str">
        <x:v>2074</x:v>
      </x:c>
      <x:c r="B2078" s="9" t="str">
        <x:v>1044</x:v>
      </x:c>
      <x:c r="C2078" s="11" t="n">
        <x:v>46078</x:v>
      </x:c>
      <x:c r="D2078" s="13" t="n">
        <x:v>95.9</x:v>
      </x:c>
    </x:row>
    <x:row r="2079">
      <x:c r="A2079" s="9" t="str">
        <x:v>2075</x:v>
      </x:c>
      <x:c r="B2079" s="9" t="str">
        <x:v>1044</x:v>
      </x:c>
      <x:c r="C2079" s="11" t="n">
        <x:v>46096</x:v>
      </x:c>
      <x:c r="D2079" s="13" t="n">
        <x:v>2391.41</x:v>
      </x:c>
    </x:row>
    <x:row r="2080">
      <x:c r="A2080" s="9" t="str">
        <x:v>2076</x:v>
      </x:c>
      <x:c r="B2080" s="9" t="str">
        <x:v>1044</x:v>
      </x:c>
      <x:c r="C2080" s="11" t="n">
        <x:v>46088</x:v>
      </x:c>
      <x:c r="D2080" s="13" t="n">
        <x:v>866.72</x:v>
      </x:c>
    </x:row>
    <x:row r="2081">
      <x:c r="A2081" s="9" t="str">
        <x:v>2077</x:v>
      </x:c>
      <x:c r="B2081" s="9" t="str">
        <x:v>1044</x:v>
      </x:c>
      <x:c r="C2081" s="11" t="n">
        <x:v>46068</x:v>
      </x:c>
      <x:c r="D2081" s="13" t="n">
        <x:v>1544.45</x:v>
      </x:c>
    </x:row>
    <x:row r="2082">
      <x:c r="A2082" s="9" t="str">
        <x:v>2078</x:v>
      </x:c>
      <x:c r="B2082" s="9" t="str">
        <x:v>1046</x:v>
      </x:c>
      <x:c r="C2082" s="11" t="n">
        <x:v>46170</x:v>
      </x:c>
      <x:c r="D2082" s="13" t="n">
        <x:v>834.34</x:v>
      </x:c>
    </x:row>
    <x:row r="2083">
      <x:c r="A2083" s="9" t="str">
        <x:v>2079</x:v>
      </x:c>
      <x:c r="B2083" s="9" t="str">
        <x:v>1046</x:v>
      </x:c>
      <x:c r="C2083" s="11" t="n">
        <x:v>46193</x:v>
      </x:c>
      <x:c r="D2083" s="13" t="n">
        <x:v>454.96</x:v>
      </x:c>
    </x:row>
    <x:row r="2084">
      <x:c r="A2084" s="9" t="str">
        <x:v>2080</x:v>
      </x:c>
      <x:c r="B2084" s="9" t="str">
        <x:v>1046</x:v>
      </x:c>
      <x:c r="C2084" s="11" t="n">
        <x:v>46165</x:v>
      </x:c>
      <x:c r="D2084" s="13" t="n">
        <x:v>1153.22</x:v>
      </x:c>
    </x:row>
    <x:row r="2085">
      <x:c r="A2085" s="9" t="str">
        <x:v>2081</x:v>
      </x:c>
      <x:c r="B2085" s="9" t="str">
        <x:v>1047</x:v>
      </x:c>
      <x:c r="C2085" s="11" t="n">
        <x:v>46188</x:v>
      </x:c>
      <x:c r="D2085" s="13" t="n">
        <x:v>748.58</x:v>
      </x:c>
    </x:row>
    <x:row r="2086">
      <x:c r="A2086" s="9" t="str">
        <x:v>2082</x:v>
      </x:c>
      <x:c r="B2086" s="9" t="str">
        <x:v>1047</x:v>
      </x:c>
      <x:c r="C2086" s="11" t="n">
        <x:v>46181</x:v>
      </x:c>
      <x:c r="D2086" s="13" t="n">
        <x:v>1339.41</x:v>
      </x:c>
    </x:row>
    <x:row r="2087">
      <x:c r="A2087" s="9" t="str">
        <x:v>2083</x:v>
      </x:c>
      <x:c r="B2087" s="9" t="str">
        <x:v>1047</x:v>
      </x:c>
      <x:c r="C2087" s="11" t="n">
        <x:v>46203</x:v>
      </x:c>
      <x:c r="D2087" s="13" t="n">
        <x:v>658.55</x:v>
      </x:c>
    </x:row>
    <x:row r="2088">
      <x:c r="A2088" s="9" t="str">
        <x:v>2084</x:v>
      </x:c>
      <x:c r="B2088" s="9" t="str">
        <x:v>1047</x:v>
      </x:c>
      <x:c r="C2088" s="11" t="n">
        <x:v>46184</x:v>
      </x:c>
      <x:c r="D2088" s="13" t="n">
        <x:v>663.01</x:v>
      </x:c>
    </x:row>
    <x:row r="2089">
      <x:c r="A2089" s="9" t="str">
        <x:v>2085</x:v>
      </x:c>
      <x:c r="B2089" s="9" t="str">
        <x:v>1048</x:v>
      </x:c>
      <x:c r="C2089" s="11" t="n">
        <x:v>46044</x:v>
      </x:c>
      <x:c r="D2089" s="13" t="n">
        <x:v>200.93</x:v>
      </x:c>
    </x:row>
    <x:row r="2090">
      <x:c r="A2090" s="9" t="str">
        <x:v>2086</x:v>
      </x:c>
      <x:c r="B2090" s="9" t="str">
        <x:v>1048</x:v>
      </x:c>
      <x:c r="C2090" s="11" t="n">
        <x:v>46092</x:v>
      </x:c>
      <x:c r="D2090" s="13" t="n">
        <x:v>422.4</x:v>
      </x:c>
    </x:row>
    <x:row r="2091">
      <x:c r="A2091" s="9" t="str">
        <x:v>2087</x:v>
      </x:c>
      <x:c r="B2091" s="9" t="str">
        <x:v>1048</x:v>
      </x:c>
      <x:c r="C2091" s="11" t="n">
        <x:v>46073</x:v>
      </x:c>
      <x:c r="D2091" s="13" t="n">
        <x:v>402.07</x:v>
      </x:c>
    </x:row>
    <x:row r="2092">
      <x:c r="A2092" s="9" t="str">
        <x:v>2088</x:v>
      </x:c>
      <x:c r="B2092" s="9" t="str">
        <x:v>1049</x:v>
      </x:c>
      <x:c r="C2092" s="11" t="n">
        <x:v>46123</x:v>
      </x:c>
      <x:c r="D2092" s="13" t="n">
        <x:v>337.38</x:v>
      </x:c>
    </x:row>
    <x:row r="2093">
      <x:c r="A2093" s="9" t="str">
        <x:v>2089</x:v>
      </x:c>
      <x:c r="B2093" s="9" t="str">
        <x:v>1049</x:v>
      </x:c>
      <x:c r="C2093" s="11" t="n">
        <x:v>46183</x:v>
      </x:c>
      <x:c r="D2093" s="13" t="n">
        <x:v>740.8</x:v>
      </x:c>
    </x:row>
    <x:row r="2094">
      <x:c r="A2094" s="9" t="str">
        <x:v>2090</x:v>
      </x:c>
      <x:c r="B2094" s="9" t="str">
        <x:v>1050</x:v>
      </x:c>
      <x:c r="C2094" s="11" t="n">
        <x:v>46117</x:v>
      </x:c>
      <x:c r="D2094" s="13" t="n">
        <x:v>1805.94</x:v>
      </x:c>
    </x:row>
    <x:row r="2095">
      <x:c r="A2095" s="9" t="str">
        <x:v>2091</x:v>
      </x:c>
      <x:c r="B2095" s="9" t="str">
        <x:v>1050</x:v>
      </x:c>
      <x:c r="C2095" s="11" t="n">
        <x:v>46148</x:v>
      </x:c>
      <x:c r="D2095" s="13" t="n">
        <x:v>1559.54</x:v>
      </x:c>
    </x:row>
    <x:row r="2096">
      <x:c r="A2096" s="9" t="str">
        <x:v>2092</x:v>
      </x:c>
      <x:c r="B2096" s="9" t="str">
        <x:v>1052</x:v>
      </x:c>
      <x:c r="C2096" s="11" t="n">
        <x:v>46203</x:v>
      </x:c>
      <x:c r="D2096" s="13" t="n">
        <x:v>675.17</x:v>
      </x:c>
    </x:row>
    <x:row r="2097">
      <x:c r="A2097" s="9" t="str">
        <x:v>2093</x:v>
      </x:c>
      <x:c r="B2097" s="9" t="str">
        <x:v>1052</x:v>
      </x:c>
      <x:c r="C2097" s="11" t="n">
        <x:v>46046</x:v>
      </x:c>
      <x:c r="D2097" s="13" t="n">
        <x:v>467.91</x:v>
      </x:c>
    </x:row>
    <x:row r="2098">
      <x:c r="A2098" s="9" t="str">
        <x:v>2094</x:v>
      </x:c>
      <x:c r="B2098" s="9" t="str">
        <x:v>1052</x:v>
      </x:c>
      <x:c r="C2098" s="11" t="n">
        <x:v>46108</x:v>
      </x:c>
      <x:c r="D2098" s="13" t="n">
        <x:v>812.26</x:v>
      </x:c>
    </x:row>
    <x:row r="2099">
      <x:c r="A2099" s="9" t="str">
        <x:v>2095</x:v>
      </x:c>
      <x:c r="B2099" s="9" t="str">
        <x:v>1053</x:v>
      </x:c>
      <x:c r="C2099" s="11" t="n">
        <x:v>46123</x:v>
      </x:c>
      <x:c r="D2099" s="13" t="n">
        <x:v>361.28</x:v>
      </x:c>
    </x:row>
    <x:row r="2100">
      <x:c r="A2100" s="9" t="str">
        <x:v>2096</x:v>
      </x:c>
      <x:c r="B2100" s="9" t="str">
        <x:v>1054</x:v>
      </x:c>
      <x:c r="C2100" s="11" t="n">
        <x:v>46131</x:v>
      </x:c>
      <x:c r="D2100" s="13" t="n">
        <x:v>1508.61</x:v>
      </x:c>
    </x:row>
    <x:row r="2101">
      <x:c r="A2101" s="9" t="str">
        <x:v>2097</x:v>
      </x:c>
      <x:c r="B2101" s="9" t="str">
        <x:v>1054</x:v>
      </x:c>
      <x:c r="C2101" s="11" t="n">
        <x:v>46158</x:v>
      </x:c>
      <x:c r="D2101" s="13" t="n">
        <x:v>384</x:v>
      </x:c>
    </x:row>
    <x:row r="2102">
      <x:c r="A2102" s="9" t="str">
        <x:v>2098</x:v>
      </x:c>
      <x:c r="B2102" s="9" t="str">
        <x:v>1054</x:v>
      </x:c>
      <x:c r="C2102" s="11" t="n">
        <x:v>46144</x:v>
      </x:c>
      <x:c r="D2102" s="13" t="n">
        <x:v>2162.26</x:v>
      </x:c>
    </x:row>
    <x:row r="2103">
      <x:c r="A2103" s="9" t="str">
        <x:v>2099</x:v>
      </x:c>
      <x:c r="B2103" s="9" t="str">
        <x:v>1054</x:v>
      </x:c>
      <x:c r="C2103" s="11" t="n">
        <x:v>46136</x:v>
      </x:c>
      <x:c r="D2103" s="13" t="n">
        <x:v>230.41</x:v>
      </x:c>
    </x:row>
    <x:row r="2104">
      <x:c r="A2104" s="9" t="str">
        <x:v>2100</x:v>
      </x:c>
      <x:c r="B2104" s="9" t="str">
        <x:v>1055</x:v>
      </x:c>
      <x:c r="C2104" s="11" t="n">
        <x:v>46086</x:v>
      </x:c>
      <x:c r="D2104" s="13" t="n">
        <x:v>998.23</x:v>
      </x:c>
    </x:row>
    <x:row r="2105">
      <x:c r="A2105" s="9" t="str">
        <x:v>2101</x:v>
      </x:c>
      <x:c r="B2105" s="9" t="str">
        <x:v>1055</x:v>
      </x:c>
      <x:c r="C2105" s="11" t="n">
        <x:v>46133</x:v>
      </x:c>
      <x:c r="D2105" s="13" t="n">
        <x:v>888.77</x:v>
      </x:c>
    </x:row>
    <x:row r="2106">
      <x:c r="A2106" s="9" t="str">
        <x:v>2102</x:v>
      </x:c>
      <x:c r="B2106" s="9" t="str">
        <x:v>1055</x:v>
      </x:c>
      <x:c r="C2106" s="11" t="n">
        <x:v>46073</x:v>
      </x:c>
      <x:c r="D2106" s="13" t="n">
        <x:v>1358.39</x:v>
      </x:c>
    </x:row>
    <x:row r="2107">
      <x:c r="A2107" s="9" t="str">
        <x:v>2103</x:v>
      </x:c>
      <x:c r="B2107" s="9" t="str">
        <x:v>1056</x:v>
      </x:c>
      <x:c r="C2107" s="11" t="n">
        <x:v>46089</x:v>
      </x:c>
      <x:c r="D2107" s="13" t="n">
        <x:v>345.12</x:v>
      </x:c>
    </x:row>
    <x:row r="2108">
      <x:c r="A2108" s="9" t="str">
        <x:v>2104</x:v>
      </x:c>
      <x:c r="B2108" s="9" t="str">
        <x:v>1056</x:v>
      </x:c>
      <x:c r="C2108" s="11" t="n">
        <x:v>46156</x:v>
      </x:c>
      <x:c r="D2108" s="13" t="n">
        <x:v>476.11</x:v>
      </x:c>
    </x:row>
    <x:row r="2109">
      <x:c r="A2109" s="9" t="str">
        <x:v>2105</x:v>
      </x:c>
      <x:c r="B2109" s="9" t="str">
        <x:v>1057</x:v>
      </x:c>
      <x:c r="C2109" s="11" t="n">
        <x:v>46173</x:v>
      </x:c>
      <x:c r="D2109" s="13" t="n">
        <x:v>242.86</x:v>
      </x:c>
    </x:row>
    <x:row r="2110">
      <x:c r="A2110" s="9" t="str">
        <x:v>2106</x:v>
      </x:c>
      <x:c r="B2110" s="9" t="str">
        <x:v>1057</x:v>
      </x:c>
      <x:c r="C2110" s="11" t="n">
        <x:v>46164</x:v>
      </x:c>
      <x:c r="D2110" s="13" t="n">
        <x:v>668.6</x:v>
      </x:c>
    </x:row>
    <x:row r="2111">
      <x:c r="A2111" s="9" t="str">
        <x:v>2107</x:v>
      </x:c>
      <x:c r="B2111" s="9" t="str">
        <x:v>1057</x:v>
      </x:c>
      <x:c r="C2111" s="11" t="n">
        <x:v>46182</x:v>
      </x:c>
      <x:c r="D2111" s="13" t="n">
        <x:v>589.65</x:v>
      </x:c>
    </x:row>
    <x:row r="2112">
      <x:c r="A2112" s="9" t="str">
        <x:v>2108</x:v>
      </x:c>
      <x:c r="B2112" s="9" t="str">
        <x:v>1058</x:v>
      </x:c>
      <x:c r="C2112" s="11" t="n">
        <x:v>46167</x:v>
      </x:c>
      <x:c r="D2112" s="13" t="n">
        <x:v>194.69</x:v>
      </x:c>
    </x:row>
    <x:row r="2113">
      <x:c r="A2113" s="9" t="str">
        <x:v>2109</x:v>
      </x:c>
      <x:c r="B2113" s="9" t="str">
        <x:v>1058</x:v>
      </x:c>
      <x:c r="C2113" s="11" t="n">
        <x:v>46093</x:v>
      </x:c>
      <x:c r="D2113" s="13" t="n">
        <x:v>1069.93</x:v>
      </x:c>
    </x:row>
    <x:row r="2114">
      <x:c r="A2114" s="9" t="str">
        <x:v>2110</x:v>
      </x:c>
      <x:c r="B2114" s="9" t="str">
        <x:v>1058</x:v>
      </x:c>
      <x:c r="C2114" s="11" t="n">
        <x:v>46075</x:v>
      </x:c>
      <x:c r="D2114" s="13" t="n">
        <x:v>244.67</x:v>
      </x:c>
    </x:row>
    <x:row r="2115">
      <x:c r="A2115" s="9" t="str">
        <x:v>2111</x:v>
      </x:c>
      <x:c r="B2115" s="9" t="str">
        <x:v>1058</x:v>
      </x:c>
      <x:c r="C2115" s="11" t="n">
        <x:v>46102</x:v>
      </x:c>
      <x:c r="D2115" s="13" t="n">
        <x:v>263.37</x:v>
      </x:c>
    </x:row>
    <x:row r="2116">
      <x:c r="A2116" s="9" t="str">
        <x:v>2112</x:v>
      </x:c>
      <x:c r="B2116" s="9" t="str">
        <x:v>1059</x:v>
      </x:c>
      <x:c r="C2116" s="11" t="n">
        <x:v>46169</x:v>
      </x:c>
      <x:c r="D2116" s="13" t="n">
        <x:v>175.76</x:v>
      </x:c>
    </x:row>
    <x:row r="2117">
      <x:c r="A2117" s="9" t="str">
        <x:v>2113</x:v>
      </x:c>
      <x:c r="B2117" s="9" t="str">
        <x:v>1059</x:v>
      </x:c>
      <x:c r="C2117" s="11" t="n">
        <x:v>46202</x:v>
      </x:c>
      <x:c r="D2117" s="13" t="n">
        <x:v>152.18</x:v>
      </x:c>
    </x:row>
    <x:row r="2118">
      <x:c r="A2118" s="9" t="str">
        <x:v>2114</x:v>
      </x:c>
      <x:c r="B2118" s="9" t="str">
        <x:v>1059</x:v>
      </x:c>
      <x:c r="C2118" s="11" t="n">
        <x:v>46137</x:v>
      </x:c>
      <x:c r="D2118" s="13" t="n">
        <x:v>83.9</x:v>
      </x:c>
    </x:row>
    <x:row r="2119">
      <x:c r="A2119" s="9" t="str">
        <x:v>2115</x:v>
      </x:c>
      <x:c r="B2119" s="9" t="str">
        <x:v>1059</x:v>
      </x:c>
      <x:c r="C2119" s="11" t="n">
        <x:v>46166</x:v>
      </x:c>
      <x:c r="D2119" s="13" t="n">
        <x:v>328.24</x:v>
      </x:c>
    </x:row>
    <x:row r="2120">
      <x:c r="A2120" s="9" t="str">
        <x:v>2116</x:v>
      </x:c>
      <x:c r="B2120" s="9" t="str">
        <x:v>1060</x:v>
      </x:c>
      <x:c r="C2120" s="11" t="n">
        <x:v>46157</x:v>
      </x:c>
      <x:c r="D2120" s="13" t="n">
        <x:v>136.53</x:v>
      </x:c>
    </x:row>
    <x:row r="2121">
      <x:c r="A2121" s="9" t="str">
        <x:v>2117</x:v>
      </x:c>
      <x:c r="B2121" s="9" t="str">
        <x:v>1060</x:v>
      </x:c>
      <x:c r="C2121" s="11" t="n">
        <x:v>46162</x:v>
      </x:c>
      <x:c r="D2121" s="13" t="n">
        <x:v>683.3</x:v>
      </x:c>
    </x:row>
    <x:row r="2122">
      <x:c r="A2122" s="9" t="str">
        <x:v>2118</x:v>
      </x:c>
      <x:c r="B2122" s="9" t="str">
        <x:v>1060</x:v>
      </x:c>
      <x:c r="C2122" s="11" t="n">
        <x:v>46139</x:v>
      </x:c>
      <x:c r="D2122" s="13" t="n">
        <x:v>155.35</x:v>
      </x:c>
    </x:row>
    <x:row r="2123">
      <x:c r="A2123" s="9" t="str">
        <x:v>2119</x:v>
      </x:c>
      <x:c r="B2123" s="9" t="str">
        <x:v>1060</x:v>
      </x:c>
      <x:c r="C2123" s="11" t="n">
        <x:v>46165</x:v>
      </x:c>
      <x:c r="D2123" s="13" t="n">
        <x:v>84.72</x:v>
      </x:c>
    </x:row>
    <x:row r="2124">
      <x:c r="A2124" s="9" t="str">
        <x:v>2120</x:v>
      </x:c>
      <x:c r="B2124" s="9" t="str">
        <x:v>1061</x:v>
      </x:c>
      <x:c r="C2124" s="11" t="n">
        <x:v>46109</x:v>
      </x:c>
      <x:c r="D2124" s="13" t="n">
        <x:v>32.13</x:v>
      </x:c>
    </x:row>
    <x:row r="2125">
      <x:c r="A2125" s="9" t="str">
        <x:v>2121</x:v>
      </x:c>
      <x:c r="B2125" s="9" t="str">
        <x:v>1062</x:v>
      </x:c>
      <x:c r="C2125" s="11" t="n">
        <x:v>46155</x:v>
      </x:c>
      <x:c r="D2125" s="13" t="n">
        <x:v>307.71</x:v>
      </x:c>
    </x:row>
    <x:row r="2126">
      <x:c r="A2126" s="9" t="str">
        <x:v>2122</x:v>
      </x:c>
      <x:c r="B2126" s="9" t="str">
        <x:v>1063</x:v>
      </x:c>
      <x:c r="C2126" s="11" t="n">
        <x:v>46196</x:v>
      </x:c>
      <x:c r="D2126" s="13" t="n">
        <x:v>578.92</x:v>
      </x:c>
    </x:row>
    <x:row r="2127">
      <x:c r="A2127" s="9" t="str">
        <x:v>2123</x:v>
      </x:c>
      <x:c r="B2127" s="9" t="str">
        <x:v>1064</x:v>
      </x:c>
      <x:c r="C2127" s="11" t="n">
        <x:v>46078</x:v>
      </x:c>
      <x:c r="D2127" s="13" t="n">
        <x:v>312.17</x:v>
      </x:c>
    </x:row>
    <x:row r="2128">
      <x:c r="A2128" s="9" t="str">
        <x:v>2124</x:v>
      </x:c>
      <x:c r="B2128" s="9" t="str">
        <x:v>1065</x:v>
      </x:c>
      <x:c r="C2128" s="11" t="n">
        <x:v>46143</x:v>
      </x:c>
      <x:c r="D2128" s="13" t="n">
        <x:v>1175.47</x:v>
      </x:c>
    </x:row>
    <x:row r="2129">
      <x:c r="A2129" s="9" t="str">
        <x:v>2125</x:v>
      </x:c>
      <x:c r="B2129" s="9" t="str">
        <x:v>1065</x:v>
      </x:c>
      <x:c r="C2129" s="11" t="n">
        <x:v>46149</x:v>
      </x:c>
      <x:c r="D2129" s="13" t="n">
        <x:v>316.12</x:v>
      </x:c>
    </x:row>
    <x:row r="2130">
      <x:c r="A2130" s="9" t="str">
        <x:v>2126</x:v>
      </x:c>
      <x:c r="B2130" s="9" t="str">
        <x:v>1065</x:v>
      </x:c>
      <x:c r="C2130" s="11" t="n">
        <x:v>46179</x:v>
      </x:c>
      <x:c r="D2130" s="13" t="n">
        <x:v>1329.02</x:v>
      </x:c>
    </x:row>
    <x:row r="2131">
      <x:c r="A2131" s="9" t="str">
        <x:v>2127</x:v>
      </x:c>
      <x:c r="B2131" s="9" t="str">
        <x:v>1065</x:v>
      </x:c>
      <x:c r="C2131" s="11" t="n">
        <x:v>46136</x:v>
      </x:c>
      <x:c r="D2131" s="13" t="n">
        <x:v>300.11</x:v>
      </x:c>
    </x:row>
    <x:row r="2132">
      <x:c r="A2132" s="9" t="str">
        <x:v>2128</x:v>
      </x:c>
      <x:c r="B2132" s="9" t="str">
        <x:v>1066</x:v>
      </x:c>
      <x:c r="C2132" s="11" t="n">
        <x:v>46159</x:v>
      </x:c>
      <x:c r="D2132" s="13" t="n">
        <x:v>1409.49</x:v>
      </x:c>
    </x:row>
    <x:row r="2133">
      <x:c r="A2133" s="9" t="str">
        <x:v>2129</x:v>
      </x:c>
      <x:c r="B2133" s="9" t="str">
        <x:v>1066</x:v>
      </x:c>
      <x:c r="C2133" s="11" t="n">
        <x:v>46104</x:v>
      </x:c>
      <x:c r="D2133" s="13" t="n">
        <x:v>2012.04</x:v>
      </x:c>
    </x:row>
    <x:row r="2134">
      <x:c r="A2134" s="9" t="str">
        <x:v>2130</x:v>
      </x:c>
      <x:c r="B2134" s="9" t="str">
        <x:v>1066</x:v>
      </x:c>
      <x:c r="C2134" s="11" t="n">
        <x:v>46151</x:v>
      </x:c>
      <x:c r="D2134" s="13" t="n">
        <x:v>1613.36</x:v>
      </x:c>
    </x:row>
    <x:row r="2135">
      <x:c r="A2135" s="9" t="str">
        <x:v>2131</x:v>
      </x:c>
      <x:c r="B2135" s="9" t="str">
        <x:v>1067</x:v>
      </x:c>
      <x:c r="C2135" s="11" t="n">
        <x:v>46144</x:v>
      </x:c>
      <x:c r="D2135" s="13" t="n">
        <x:v>595.93</x:v>
      </x:c>
    </x:row>
    <x:row r="2136">
      <x:c r="A2136" s="9" t="str">
        <x:v>2132</x:v>
      </x:c>
      <x:c r="B2136" s="9" t="str">
        <x:v>1067</x:v>
      </x:c>
      <x:c r="C2136" s="11" t="n">
        <x:v>46077</x:v>
      </x:c>
      <x:c r="D2136" s="13" t="n">
        <x:v>1150.73</x:v>
      </x:c>
    </x:row>
    <x:row r="2137">
      <x:c r="A2137" s="9" t="str">
        <x:v>2133</x:v>
      </x:c>
      <x:c r="B2137" s="9" t="str">
        <x:v>1068</x:v>
      </x:c>
      <x:c r="C2137" s="11" t="n">
        <x:v>46201</x:v>
      </x:c>
      <x:c r="D2137" s="13" t="n">
        <x:v>30.88</x:v>
      </x:c>
    </x:row>
    <x:row r="2138">
      <x:c r="A2138" s="9" t="str">
        <x:v>2134</x:v>
      </x:c>
      <x:c r="B2138" s="9" t="str">
        <x:v>1068</x:v>
      </x:c>
      <x:c r="C2138" s="11" t="n">
        <x:v>46202</x:v>
      </x:c>
      <x:c r="D2138" s="13" t="n">
        <x:v>38.83</x:v>
      </x:c>
    </x:row>
    <x:row r="2139">
      <x:c r="A2139" s="9" t="str">
        <x:v>2135</x:v>
      </x:c>
      <x:c r="B2139" s="9" t="str">
        <x:v>1068</x:v>
      </x:c>
      <x:c r="C2139" s="11" t="n">
        <x:v>46191</x:v>
      </x:c>
      <x:c r="D2139" s="13" t="n">
        <x:v>33.28</x:v>
      </x:c>
    </x:row>
    <x:row r="2140">
      <x:c r="A2140" s="9" t="str">
        <x:v>2136</x:v>
      </x:c>
      <x:c r="B2140" s="9" t="str">
        <x:v>1069</x:v>
      </x:c>
      <x:c r="C2140" s="11" t="n">
        <x:v>46153</x:v>
      </x:c>
      <x:c r="D2140" s="13" t="n">
        <x:v>1534.43</x:v>
      </x:c>
    </x:row>
    <x:row r="2141">
      <x:c r="A2141" s="9" t="str">
        <x:v>2137</x:v>
      </x:c>
      <x:c r="B2141" s="9" t="str">
        <x:v>1069</x:v>
      </x:c>
      <x:c r="C2141" s="11" t="n">
        <x:v>46098</x:v>
      </x:c>
      <x:c r="D2141" s="13" t="n">
        <x:v>1407.79</x:v>
      </x:c>
    </x:row>
    <x:row r="2142">
      <x:c r="A2142" s="9" t="str">
        <x:v>2138</x:v>
      </x:c>
      <x:c r="B2142" s="9" t="str">
        <x:v>1069</x:v>
      </x:c>
      <x:c r="C2142" s="11" t="n">
        <x:v>46122</x:v>
      </x:c>
      <x:c r="D2142" s="13" t="n">
        <x:v>1008.29</x:v>
      </x:c>
    </x:row>
    <x:row r="2143">
      <x:c r="A2143" s="9" t="str">
        <x:v>2139</x:v>
      </x:c>
      <x:c r="B2143" s="9" t="str">
        <x:v>1070</x:v>
      </x:c>
      <x:c r="C2143" s="11" t="n">
        <x:v>46073</x:v>
      </x:c>
      <x:c r="D2143" s="13" t="n">
        <x:v>1459.33</x:v>
      </x:c>
    </x:row>
    <x:row r="2144">
      <x:c r="A2144" s="9" t="str">
        <x:v>2140</x:v>
      </x:c>
      <x:c r="B2144" s="9" t="str">
        <x:v>1070</x:v>
      </x:c>
      <x:c r="C2144" s="11" t="n">
        <x:v>46197</x:v>
      </x:c>
      <x:c r="D2144" s="13" t="n">
        <x:v>57.39</x:v>
      </x:c>
    </x:row>
    <x:row r="2145">
      <x:c r="A2145" s="9" t="str">
        <x:v>2141</x:v>
      </x:c>
      <x:c r="B2145" s="9" t="str">
        <x:v>1072</x:v>
      </x:c>
      <x:c r="C2145" s="11" t="n">
        <x:v>46176</x:v>
      </x:c>
      <x:c r="D2145" s="13" t="n">
        <x:v>1043.24</x:v>
      </x:c>
    </x:row>
    <x:row r="2146">
      <x:c r="A2146" s="9" t="str">
        <x:v>2142</x:v>
      </x:c>
      <x:c r="B2146" s="9" t="str">
        <x:v>1072</x:v>
      </x:c>
      <x:c r="C2146" s="11" t="n">
        <x:v>46130</x:v>
      </x:c>
      <x:c r="D2146" s="13" t="n">
        <x:v>1209.56</x:v>
      </x:c>
    </x:row>
    <x:row r="2147">
      <x:c r="A2147" s="9" t="str">
        <x:v>2143</x:v>
      </x:c>
      <x:c r="B2147" s="9" t="str">
        <x:v>1072</x:v>
      </x:c>
      <x:c r="C2147" s="11" t="n">
        <x:v>46129</x:v>
      </x:c>
      <x:c r="D2147" s="13" t="n">
        <x:v>71.92</x:v>
      </x:c>
    </x:row>
    <x:row r="2148">
      <x:c r="A2148" s="9" t="str">
        <x:v>2144</x:v>
      </x:c>
      <x:c r="B2148" s="9" t="str">
        <x:v>1073</x:v>
      </x:c>
      <x:c r="C2148" s="11" t="n">
        <x:v>46185</x:v>
      </x:c>
      <x:c r="D2148" s="13" t="n">
        <x:v>137.25</x:v>
      </x:c>
    </x:row>
    <x:row r="2149">
      <x:c r="A2149" s="9" t="str">
        <x:v>2145</x:v>
      </x:c>
      <x:c r="B2149" s="9" t="str">
        <x:v>1073</x:v>
      </x:c>
      <x:c r="C2149" s="11" t="n">
        <x:v>46186</x:v>
      </x:c>
      <x:c r="D2149" s="13" t="n">
        <x:v>352.17</x:v>
      </x:c>
    </x:row>
    <x:row r="2150">
      <x:c r="A2150" s="9" t="str">
        <x:v>2146</x:v>
      </x:c>
      <x:c r="B2150" s="9" t="str">
        <x:v>1075</x:v>
      </x:c>
      <x:c r="C2150" s="11" t="n">
        <x:v>46176</x:v>
      </x:c>
      <x:c r="D2150" s="13" t="n">
        <x:v>150.15</x:v>
      </x:c>
    </x:row>
    <x:row r="2151">
      <x:c r="A2151" s="9" t="str">
        <x:v>2147</x:v>
      </x:c>
      <x:c r="B2151" s="9" t="str">
        <x:v>1076</x:v>
      </x:c>
      <x:c r="C2151" s="11" t="n">
        <x:v>46148</x:v>
      </x:c>
      <x:c r="D2151" s="13" t="n">
        <x:v>123.41</x:v>
      </x:c>
    </x:row>
    <x:row r="2152">
      <x:c r="A2152" s="9" t="str">
        <x:v>2148</x:v>
      </x:c>
      <x:c r="B2152" s="9" t="str">
        <x:v>1076</x:v>
      </x:c>
      <x:c r="C2152" s="11" t="n">
        <x:v>46133</x:v>
      </x:c>
      <x:c r="D2152" s="13" t="n">
        <x:v>1278.64</x:v>
      </x:c>
    </x:row>
    <x:row r="2153">
      <x:c r="A2153" s="9" t="str">
        <x:v>2149</x:v>
      </x:c>
      <x:c r="B2153" s="9" t="str">
        <x:v>1076</x:v>
      </x:c>
      <x:c r="C2153" s="11" t="n">
        <x:v>46152</x:v>
      </x:c>
      <x:c r="D2153" s="13" t="n">
        <x:v>909</x:v>
      </x:c>
    </x:row>
    <x:row r="2154">
      <x:c r="A2154" s="9" t="str">
        <x:v>2150</x:v>
      </x:c>
      <x:c r="B2154" s="9" t="str">
        <x:v>1076</x:v>
      </x:c>
      <x:c r="C2154" s="11" t="n">
        <x:v>46149</x:v>
      </x:c>
      <x:c r="D2154" s="13" t="n">
        <x:v>1474.4</x:v>
      </x:c>
    </x:row>
    <x:row r="2155">
      <x:c r="A2155" s="9" t="str">
        <x:v>2151</x:v>
      </x:c>
      <x:c r="B2155" s="9" t="str">
        <x:v>1077</x:v>
      </x:c>
      <x:c r="C2155" s="11" t="n">
        <x:v>46156</x:v>
      </x:c>
      <x:c r="D2155" s="13" t="n">
        <x:v>2023.57</x:v>
      </x:c>
    </x:row>
    <x:row r="2156">
      <x:c r="A2156" s="9" t="str">
        <x:v>2152</x:v>
      </x:c>
      <x:c r="B2156" s="9" t="str">
        <x:v>1077</x:v>
      </x:c>
      <x:c r="C2156" s="11" t="n">
        <x:v>46157</x:v>
      </x:c>
      <x:c r="D2156" s="13" t="n">
        <x:v>492.96</x:v>
      </x:c>
    </x:row>
    <x:row r="2157">
      <x:c r="A2157" s="9" t="str">
        <x:v>2153</x:v>
      </x:c>
      <x:c r="B2157" s="9" t="str">
        <x:v>1077</x:v>
      </x:c>
      <x:c r="C2157" s="11" t="n">
        <x:v>46135</x:v>
      </x:c>
      <x:c r="D2157" s="13" t="n">
        <x:v>337.37</x:v>
      </x:c>
    </x:row>
    <x:row r="2158">
      <x:c r="A2158" s="9" t="str">
        <x:v>2154</x:v>
      </x:c>
      <x:c r="B2158" s="9" t="str">
        <x:v>1078</x:v>
      </x:c>
      <x:c r="C2158" s="11" t="n">
        <x:v>46117</x:v>
      </x:c>
      <x:c r="D2158" s="13" t="n">
        <x:v>865.26</x:v>
      </x:c>
    </x:row>
    <x:row r="2159">
      <x:c r="A2159" s="9" t="str">
        <x:v>2155</x:v>
      </x:c>
      <x:c r="B2159" s="9" t="str">
        <x:v>1078</x:v>
      </x:c>
      <x:c r="C2159" s="11" t="n">
        <x:v>46201</x:v>
      </x:c>
      <x:c r="D2159" s="13" t="n">
        <x:v>262.67</x:v>
      </x:c>
    </x:row>
    <x:row r="2160">
      <x:c r="A2160" s="9" t="str">
        <x:v>2156</x:v>
      </x:c>
      <x:c r="B2160" s="9" t="str">
        <x:v>1078</x:v>
      </x:c>
      <x:c r="C2160" s="11" t="n">
        <x:v>46164</x:v>
      </x:c>
      <x:c r="D2160" s="13" t="n">
        <x:v>617.54</x:v>
      </x:c>
    </x:row>
    <x:row r="2161">
      <x:c r="A2161" s="9" t="str">
        <x:v>2157</x:v>
      </x:c>
      <x:c r="B2161" s="9" t="str">
        <x:v>1079</x:v>
      </x:c>
      <x:c r="C2161" s="11" t="n">
        <x:v>46112</x:v>
      </x:c>
      <x:c r="D2161" s="13" t="n">
        <x:v>83.86</x:v>
      </x:c>
    </x:row>
    <x:row r="2162">
      <x:c r="A2162" s="9" t="str">
        <x:v>2158</x:v>
      </x:c>
      <x:c r="B2162" s="9" t="str">
        <x:v>1079</x:v>
      </x:c>
      <x:c r="C2162" s="11" t="n">
        <x:v>46143</x:v>
      </x:c>
      <x:c r="D2162" s="13" t="n">
        <x:v>981.27</x:v>
      </x:c>
    </x:row>
    <x:row r="2163">
      <x:c r="A2163" s="9" t="str">
        <x:v>2159</x:v>
      </x:c>
      <x:c r="B2163" s="9" t="str">
        <x:v>1079</x:v>
      </x:c>
      <x:c r="C2163" s="11" t="n">
        <x:v>46128</x:v>
      </x:c>
      <x:c r="D2163" s="13" t="n">
        <x:v>526.93</x:v>
      </x:c>
    </x:row>
    <x:row r="2164">
      <x:c r="A2164" s="9" t="str">
        <x:v>2160</x:v>
      </x:c>
      <x:c r="B2164" s="9" t="str">
        <x:v>1079</x:v>
      </x:c>
      <x:c r="C2164" s="11" t="n">
        <x:v>46135</x:v>
      </x:c>
      <x:c r="D2164" s="13" t="n">
        <x:v>872.99</x:v>
      </x:c>
    </x:row>
    <x:row r="2165">
      <x:c r="A2165" s="9" t="str">
        <x:v>2161</x:v>
      </x:c>
      <x:c r="B2165" s="9" t="str">
        <x:v>1080</x:v>
      </x:c>
      <x:c r="C2165" s="11" t="n">
        <x:v>46153</x:v>
      </x:c>
      <x:c r="D2165" s="13" t="n">
        <x:v>658.35</x:v>
      </x:c>
    </x:row>
    <x:row r="2166">
      <x:c r="A2166" s="9" t="str">
        <x:v>2162</x:v>
      </x:c>
      <x:c r="B2166" s="9" t="str">
        <x:v>1080</x:v>
      </x:c>
      <x:c r="C2166" s="11" t="n">
        <x:v>46192</x:v>
      </x:c>
      <x:c r="D2166" s="13" t="n">
        <x:v>567.84</x:v>
      </x:c>
    </x:row>
    <x:row r="2167">
      <x:c r="A2167" s="9" t="str">
        <x:v>2163</x:v>
      </x:c>
      <x:c r="B2167" s="9" t="str">
        <x:v>1080</x:v>
      </x:c>
      <x:c r="C2167" s="11" t="n">
        <x:v>46177</x:v>
      </x:c>
      <x:c r="D2167" s="13" t="n">
        <x:v>364.81</x:v>
      </x:c>
    </x:row>
    <x:row r="2168">
      <x:c r="A2168" s="9" t="str">
        <x:v>2164</x:v>
      </x:c>
      <x:c r="B2168" s="9" t="str">
        <x:v>1081</x:v>
      </x:c>
      <x:c r="C2168" s="11" t="n">
        <x:v>46069</x:v>
      </x:c>
      <x:c r="D2168" s="13" t="n">
        <x:v>1622.04</x:v>
      </x:c>
    </x:row>
    <x:row r="2169">
      <x:c r="A2169" s="9" t="str">
        <x:v>2165</x:v>
      </x:c>
      <x:c r="B2169" s="9" t="str">
        <x:v>1081</x:v>
      </x:c>
      <x:c r="C2169" s="11" t="n">
        <x:v>46065</x:v>
      </x:c>
      <x:c r="D2169" s="13" t="n">
        <x:v>1186.04</x:v>
      </x:c>
    </x:row>
    <x:row r="2170">
      <x:c r="A2170" s="9" t="str">
        <x:v>2166</x:v>
      </x:c>
      <x:c r="B2170" s="9" t="str">
        <x:v>1082</x:v>
      </x:c>
      <x:c r="C2170" s="11" t="n">
        <x:v>46120</x:v>
      </x:c>
      <x:c r="D2170" s="13" t="n">
        <x:v>206.37</x:v>
      </x:c>
    </x:row>
    <x:row r="2171">
      <x:c r="A2171" s="9" t="str">
        <x:v>2167</x:v>
      </x:c>
      <x:c r="B2171" s="9" t="str">
        <x:v>1082</x:v>
      </x:c>
      <x:c r="C2171" s="11" t="n">
        <x:v>46166</x:v>
      </x:c>
      <x:c r="D2171" s="13" t="n">
        <x:v>94.64</x:v>
      </x:c>
    </x:row>
    <x:row r="2172">
      <x:c r="A2172" s="9" t="str">
        <x:v>2168</x:v>
      </x:c>
      <x:c r="B2172" s="9" t="str">
        <x:v>1083</x:v>
      </x:c>
      <x:c r="C2172" s="11" t="n">
        <x:v>46184</x:v>
      </x:c>
      <x:c r="D2172" s="13" t="n">
        <x:v>768.6</x:v>
      </x:c>
    </x:row>
    <x:row r="2173">
      <x:c r="A2173" s="9" t="str">
        <x:v>2169</x:v>
      </x:c>
      <x:c r="B2173" s="9" t="str">
        <x:v>1083</x:v>
      </x:c>
      <x:c r="C2173" s="11" t="n">
        <x:v>46192</x:v>
      </x:c>
      <x:c r="D2173" s="13" t="n">
        <x:v>106.06</x:v>
      </x:c>
    </x:row>
    <x:row r="2174">
      <x:c r="A2174" s="9" t="str">
        <x:v>2170</x:v>
      </x:c>
      <x:c r="B2174" s="9" t="str">
        <x:v>1084</x:v>
      </x:c>
      <x:c r="C2174" s="11" t="n">
        <x:v>46153</x:v>
      </x:c>
      <x:c r="D2174" s="13" t="n">
        <x:v>403.78</x:v>
      </x:c>
    </x:row>
    <x:row r="2175">
      <x:c r="A2175" s="9" t="str">
        <x:v>2171</x:v>
      </x:c>
      <x:c r="B2175" s="9" t="str">
        <x:v>1084</x:v>
      </x:c>
      <x:c r="C2175" s="11" t="n">
        <x:v>46134</x:v>
      </x:c>
      <x:c r="D2175" s="13" t="n">
        <x:v>289.91</x:v>
      </x:c>
    </x:row>
    <x:row r="2176">
      <x:c r="A2176" s="9" t="str">
        <x:v>2172</x:v>
      </x:c>
      <x:c r="B2176" s="9" t="str">
        <x:v>1084</x:v>
      </x:c>
      <x:c r="C2176" s="11" t="n">
        <x:v>46190</x:v>
      </x:c>
      <x:c r="D2176" s="13" t="n">
        <x:v>346.18</x:v>
      </x:c>
    </x:row>
    <x:row r="2177">
      <x:c r="A2177" s="9" t="str">
        <x:v>2173</x:v>
      </x:c>
      <x:c r="B2177" s="9" t="str">
        <x:v>1084</x:v>
      </x:c>
      <x:c r="C2177" s="11" t="n">
        <x:v>46198</x:v>
      </x:c>
      <x:c r="D2177" s="13" t="n">
        <x:v>341.63</x:v>
      </x:c>
    </x:row>
    <x:row r="2178">
      <x:c r="A2178" s="9" t="str">
        <x:v>2174</x:v>
      </x:c>
      <x:c r="B2178" s="9" t="str">
        <x:v>1085</x:v>
      </x:c>
      <x:c r="C2178" s="11" t="n">
        <x:v>46155</x:v>
      </x:c>
      <x:c r="D2178" s="13" t="n">
        <x:v>579.89</x:v>
      </x:c>
    </x:row>
    <x:row r="2179">
      <x:c r="A2179" s="9" t="str">
        <x:v>2175</x:v>
      </x:c>
      <x:c r="B2179" s="9" t="str">
        <x:v>1085</x:v>
      </x:c>
      <x:c r="C2179" s="11" t="n">
        <x:v>46187</x:v>
      </x:c>
      <x:c r="D2179" s="13" t="n">
        <x:v>424.14</x:v>
      </x:c>
    </x:row>
    <x:row r="2180">
      <x:c r="A2180" s="9" t="str">
        <x:v>2176</x:v>
      </x:c>
      <x:c r="B2180" s="9" t="str">
        <x:v>1085</x:v>
      </x:c>
      <x:c r="C2180" s="11" t="n">
        <x:v>46164</x:v>
      </x:c>
      <x:c r="D2180" s="13" t="n">
        <x:v>92.04</x:v>
      </x:c>
    </x:row>
    <x:row r="2181">
      <x:c r="A2181" s="9" t="str">
        <x:v>2177</x:v>
      </x:c>
      <x:c r="B2181" s="9" t="str">
        <x:v>1085</x:v>
      </x:c>
      <x:c r="C2181" s="11" t="n">
        <x:v>46151</x:v>
      </x:c>
      <x:c r="D2181" s="13" t="n">
        <x:v>247.94</x:v>
      </x:c>
    </x:row>
    <x:row r="2182">
      <x:c r="A2182" s="9" t="str">
        <x:v>2178</x:v>
      </x:c>
      <x:c r="B2182" s="9" t="str">
        <x:v>1086</x:v>
      </x:c>
      <x:c r="C2182" s="11" t="n">
        <x:v>46147</x:v>
      </x:c>
      <x:c r="D2182" s="13" t="n">
        <x:v>741.94</x:v>
      </x:c>
    </x:row>
    <x:row r="2183">
      <x:c r="A2183" s="9" t="str">
        <x:v>2179</x:v>
      </x:c>
      <x:c r="B2183" s="9" t="str">
        <x:v>1086</x:v>
      </x:c>
      <x:c r="C2183" s="11" t="n">
        <x:v>46072</x:v>
      </x:c>
      <x:c r="D2183" s="13" t="n">
        <x:v>1311.71</x:v>
      </x:c>
    </x:row>
    <x:row r="2184">
      <x:c r="A2184" s="9" t="str">
        <x:v>2180</x:v>
      </x:c>
      <x:c r="B2184" s="9" t="str">
        <x:v>1087</x:v>
      </x:c>
      <x:c r="C2184" s="11" t="n">
        <x:v>46192</x:v>
      </x:c>
      <x:c r="D2184" s="13" t="n">
        <x:v>1550.2</x:v>
      </x:c>
    </x:row>
    <x:row r="2185">
      <x:c r="A2185" s="9" t="str">
        <x:v>2181</x:v>
      </x:c>
      <x:c r="B2185" s="9" t="str">
        <x:v>1087</x:v>
      </x:c>
      <x:c r="C2185" s="11" t="n">
        <x:v>46122</x:v>
      </x:c>
      <x:c r="D2185" s="13" t="n">
        <x:v>1545.73</x:v>
      </x:c>
    </x:row>
    <x:row r="2186">
      <x:c r="A2186" s="9" t="str">
        <x:v>2182</x:v>
      </x:c>
      <x:c r="B2186" s="9" t="str">
        <x:v>1087</x:v>
      </x:c>
      <x:c r="C2186" s="11" t="n">
        <x:v>46123</x:v>
      </x:c>
      <x:c r="D2186" s="13" t="n">
        <x:v>1817.46</x:v>
      </x:c>
    </x:row>
    <x:row r="2187">
      <x:c r="A2187" s="9" t="str">
        <x:v>2183</x:v>
      </x:c>
      <x:c r="B2187" s="9" t="str">
        <x:v>1087</x:v>
      </x:c>
      <x:c r="C2187" s="11" t="n">
        <x:v>46125</x:v>
      </x:c>
      <x:c r="D2187" s="13" t="n">
        <x:v>304.03</x:v>
      </x:c>
    </x:row>
    <x:row r="2188">
      <x:c r="A2188" s="9" t="str">
        <x:v>2184</x:v>
      </x:c>
      <x:c r="B2188" s="9" t="str">
        <x:v>1088</x:v>
      </x:c>
      <x:c r="C2188" s="11" t="n">
        <x:v>46142</x:v>
      </x:c>
      <x:c r="D2188" s="13" t="n">
        <x:v>1364.5</x:v>
      </x:c>
    </x:row>
    <x:row r="2189">
      <x:c r="A2189" s="9" t="str">
        <x:v>2185</x:v>
      </x:c>
      <x:c r="B2189" s="9" t="str">
        <x:v>1088</x:v>
      </x:c>
      <x:c r="C2189" s="11" t="n">
        <x:v>46160</x:v>
      </x:c>
      <x:c r="D2189" s="13" t="n">
        <x:v>1210.15</x:v>
      </x:c>
    </x:row>
    <x:row r="2190">
      <x:c r="A2190" s="9" t="str">
        <x:v>2186</x:v>
      </x:c>
      <x:c r="B2190" s="9" t="str">
        <x:v>1088</x:v>
      </x:c>
      <x:c r="C2190" s="11" t="n">
        <x:v>46109</x:v>
      </x:c>
      <x:c r="D2190" s="13" t="n">
        <x:v>1158.29</x:v>
      </x:c>
    </x:row>
    <x:row r="2191">
      <x:c r="A2191" s="9" t="str">
        <x:v>2187</x:v>
      </x:c>
      <x:c r="B2191" s="9" t="str">
        <x:v>1088</x:v>
      </x:c>
      <x:c r="C2191" s="11" t="n">
        <x:v>46160</x:v>
      </x:c>
      <x:c r="D2191" s="13" t="n">
        <x:v>1480.73</x:v>
      </x:c>
    </x:row>
    <x:row r="2192">
      <x:c r="A2192" s="9" t="str">
        <x:v>2188</x:v>
      </x:c>
      <x:c r="B2192" s="9" t="str">
        <x:v>1089</x:v>
      </x:c>
      <x:c r="C2192" s="11" t="n">
        <x:v>46061</x:v>
      </x:c>
      <x:c r="D2192" s="13" t="n">
        <x:v>602.25</x:v>
      </x:c>
    </x:row>
    <x:row r="2193">
      <x:c r="A2193" s="9" t="str">
        <x:v>2189</x:v>
      </x:c>
      <x:c r="B2193" s="9" t="str">
        <x:v>1089</x:v>
      </x:c>
      <x:c r="C2193" s="11" t="n">
        <x:v>46044</x:v>
      </x:c>
      <x:c r="D2193" s="13" t="n">
        <x:v>615.71</x:v>
      </x:c>
    </x:row>
    <x:row r="2194">
      <x:c r="A2194" s="9" t="str">
        <x:v>2190</x:v>
      </x:c>
      <x:c r="B2194" s="9" t="str">
        <x:v>1089</x:v>
      </x:c>
      <x:c r="C2194" s="11" t="n">
        <x:v>46189</x:v>
      </x:c>
      <x:c r="D2194" s="13" t="n">
        <x:v>440.13</x:v>
      </x:c>
    </x:row>
    <x:row r="2195">
      <x:c r="A2195" s="9" t="str">
        <x:v>2191</x:v>
      </x:c>
      <x:c r="B2195" s="9" t="str">
        <x:v>1089</x:v>
      </x:c>
      <x:c r="C2195" s="11" t="n">
        <x:v>46117</x:v>
      </x:c>
      <x:c r="D2195" s="13" t="n">
        <x:v>703.52</x:v>
      </x:c>
    </x:row>
    <x:row r="2196">
      <x:c r="A2196" s="9" t="str">
        <x:v>2192</x:v>
      </x:c>
      <x:c r="B2196" s="9" t="str">
        <x:v>1090</x:v>
      </x:c>
      <x:c r="C2196" s="11" t="n">
        <x:v>46149</x:v>
      </x:c>
      <x:c r="D2196" s="13" t="n">
        <x:v>165.63</x:v>
      </x:c>
    </x:row>
    <x:row r="2197">
      <x:c r="A2197" s="9" t="str">
        <x:v>2193</x:v>
      </x:c>
      <x:c r="B2197" s="9" t="str">
        <x:v>1091</x:v>
      </x:c>
      <x:c r="C2197" s="11" t="n">
        <x:v>46192</x:v>
      </x:c>
      <x:c r="D2197" s="13" t="n">
        <x:v>71.59</x:v>
      </x:c>
    </x:row>
    <x:row r="2198">
      <x:c r="A2198" s="9" t="str">
        <x:v>2194</x:v>
      </x:c>
      <x:c r="B2198" s="9" t="str">
        <x:v>1091</x:v>
      </x:c>
      <x:c r="C2198" s="11" t="n">
        <x:v>46178</x:v>
      </x:c>
      <x:c r="D2198" s="13" t="n">
        <x:v>423.69</x:v>
      </x:c>
    </x:row>
    <x:row r="2199">
      <x:c r="A2199" s="9" t="str">
        <x:v>2195</x:v>
      </x:c>
      <x:c r="B2199" s="9" t="str">
        <x:v>1091</x:v>
      </x:c>
      <x:c r="C2199" s="11" t="n">
        <x:v>46196</x:v>
      </x:c>
      <x:c r="D2199" s="13" t="n">
        <x:v>744.36</x:v>
      </x:c>
    </x:row>
    <x:row r="2200">
      <x:c r="A2200" s="9" t="str">
        <x:v>2196</x:v>
      </x:c>
      <x:c r="B2200" s="9" t="str">
        <x:v>1091</x:v>
      </x:c>
      <x:c r="C2200" s="11" t="n">
        <x:v>46182</x:v>
      </x:c>
      <x:c r="D2200" s="13" t="n">
        <x:v>564.38</x:v>
      </x:c>
    </x:row>
    <x:row r="2201">
      <x:c r="A2201" s="9" t="str">
        <x:v>2197</x:v>
      </x:c>
      <x:c r="B2201" s="9" t="str">
        <x:v>1092</x:v>
      </x:c>
      <x:c r="C2201" s="11" t="n">
        <x:v>46166</x:v>
      </x:c>
      <x:c r="D2201" s="13" t="n">
        <x:v>120.31</x:v>
      </x:c>
    </x:row>
    <x:row r="2202">
      <x:c r="A2202" s="9" t="str">
        <x:v>2198</x:v>
      </x:c>
      <x:c r="B2202" s="9" t="str">
        <x:v>1093</x:v>
      </x:c>
      <x:c r="C2202" s="11" t="n">
        <x:v>46056</x:v>
      </x:c>
      <x:c r="D2202" s="13" t="n">
        <x:v>114.62</x:v>
      </x:c>
    </x:row>
    <x:row r="2203">
      <x:c r="A2203" s="9" t="str">
        <x:v>2199</x:v>
      </x:c>
      <x:c r="B2203" s="9" t="str">
        <x:v>1093</x:v>
      </x:c>
      <x:c r="C2203" s="11" t="n">
        <x:v>46190</x:v>
      </x:c>
      <x:c r="D2203" s="13" t="n">
        <x:v>335.87</x:v>
      </x:c>
    </x:row>
    <x:row r="2204">
      <x:c r="A2204" s="9" t="str">
        <x:v>2200</x:v>
      </x:c>
      <x:c r="B2204" s="9" t="str">
        <x:v>1093</x:v>
      </x:c>
      <x:c r="C2204" s="11" t="n">
        <x:v>46200</x:v>
      </x:c>
      <x:c r="D2204" s="13" t="n">
        <x:v>174.69</x:v>
      </x:c>
    </x:row>
    <x:row r="2205">
      <x:c r="A2205" s="9" t="str">
        <x:v>2201</x:v>
      </x:c>
      <x:c r="B2205" s="9" t="str">
        <x:v>1093</x:v>
      </x:c>
      <x:c r="C2205" s="11" t="n">
        <x:v>46132</x:v>
      </x:c>
      <x:c r="D2205" s="13" t="n">
        <x:v>631.68</x:v>
      </x:c>
    </x:row>
    <x:row r="2206">
      <x:c r="A2206" s="9" t="str">
        <x:v>2202</x:v>
      </x:c>
      <x:c r="B2206" s="9" t="str">
        <x:v>1094</x:v>
      </x:c>
      <x:c r="C2206" s="11" t="n">
        <x:v>46161</x:v>
      </x:c>
      <x:c r="D2206" s="13" t="n">
        <x:v>539.86</x:v>
      </x:c>
    </x:row>
    <x:row r="2207">
      <x:c r="A2207" s="9" t="str">
        <x:v>2203</x:v>
      </x:c>
      <x:c r="B2207" s="9" t="str">
        <x:v>1094</x:v>
      </x:c>
      <x:c r="C2207" s="11" t="n">
        <x:v>46043</x:v>
      </x:c>
      <x:c r="D2207" s="13" t="n">
        <x:v>654.96</x:v>
      </x:c>
    </x:row>
    <x:row r="2208">
      <x:c r="A2208" s="9" t="str">
        <x:v>2204</x:v>
      </x:c>
      <x:c r="B2208" s="9" t="str">
        <x:v>1094</x:v>
      </x:c>
      <x:c r="C2208" s="11" t="n">
        <x:v>46116</x:v>
      </x:c>
      <x:c r="D2208" s="13" t="n">
        <x:v>1495.86</x:v>
      </x:c>
    </x:row>
    <x:row r="2209">
      <x:c r="A2209" s="9" t="str">
        <x:v>2205</x:v>
      </x:c>
      <x:c r="B2209" s="9" t="str">
        <x:v>1094</x:v>
      </x:c>
      <x:c r="C2209" s="11" t="n">
        <x:v>46067</x:v>
      </x:c>
      <x:c r="D2209" s="13" t="n">
        <x:v>329.79</x:v>
      </x:c>
    </x:row>
    <x:row r="2210">
      <x:c r="A2210" s="9" t="str">
        <x:v>2206</x:v>
      </x:c>
      <x:c r="B2210" s="9" t="str">
        <x:v>1095</x:v>
      </x:c>
      <x:c r="C2210" s="11" t="n">
        <x:v>46164</x:v>
      </x:c>
      <x:c r="D2210" s="13" t="n">
        <x:v>1819.33</x:v>
      </x:c>
    </x:row>
    <x:row r="2211">
      <x:c r="A2211" s="9" t="str">
        <x:v>2207</x:v>
      </x:c>
      <x:c r="B2211" s="9" t="str">
        <x:v>1096</x:v>
      </x:c>
      <x:c r="C2211" s="11" t="n">
        <x:v>46168</x:v>
      </x:c>
      <x:c r="D2211" s="13" t="n">
        <x:v>994.54</x:v>
      </x:c>
    </x:row>
    <x:row r="2212">
      <x:c r="A2212" s="9" t="str">
        <x:v>2208</x:v>
      </x:c>
      <x:c r="B2212" s="9" t="str">
        <x:v>1096</x:v>
      </x:c>
      <x:c r="C2212" s="11" t="n">
        <x:v>46161</x:v>
      </x:c>
      <x:c r="D2212" s="13" t="n">
        <x:v>1287.54</x:v>
      </x:c>
    </x:row>
    <x:row r="2213">
      <x:c r="A2213" s="9" t="str">
        <x:v>2209</x:v>
      </x:c>
      <x:c r="B2213" s="9" t="str">
        <x:v>1096</x:v>
      </x:c>
      <x:c r="C2213" s="11" t="n">
        <x:v>46182</x:v>
      </x:c>
      <x:c r="D2213" s="13" t="n">
        <x:v>946.03</x:v>
      </x:c>
    </x:row>
    <x:row r="2214">
      <x:c r="A2214" s="9" t="str">
        <x:v>2210</x:v>
      </x:c>
      <x:c r="B2214" s="9" t="str">
        <x:v>1097</x:v>
      </x:c>
      <x:c r="C2214" s="11" t="n">
        <x:v>46202</x:v>
      </x:c>
      <x:c r="D2214" s="13" t="n">
        <x:v>1341.84</x:v>
      </x:c>
    </x:row>
    <x:row r="2215">
      <x:c r="A2215" s="9" t="str">
        <x:v>2211</x:v>
      </x:c>
      <x:c r="B2215" s="9" t="str">
        <x:v>1098</x:v>
      </x:c>
      <x:c r="C2215" s="11" t="n">
        <x:v>46152</x:v>
      </x:c>
      <x:c r="D2215" s="13" t="n">
        <x:v>783.28</x:v>
      </x:c>
    </x:row>
    <x:row r="2216">
      <x:c r="A2216" s="9" t="str">
        <x:v>2212</x:v>
      </x:c>
      <x:c r="B2216" s="9" t="str">
        <x:v>1099</x:v>
      </x:c>
      <x:c r="C2216" s="11" t="n">
        <x:v>46161</x:v>
      </x:c>
      <x:c r="D2216" s="13" t="n">
        <x:v>229.3</x:v>
      </x:c>
    </x:row>
    <x:row r="2217">
      <x:c r="A2217" s="9" t="str">
        <x:v>2213</x:v>
      </x:c>
      <x:c r="B2217" s="9" t="str">
        <x:v>1100</x:v>
      </x:c>
      <x:c r="C2217" s="11" t="n">
        <x:v>46172</x:v>
      </x:c>
      <x:c r="D2217" s="13" t="n">
        <x:v>1224.46</x:v>
      </x:c>
    </x:row>
    <x:row r="2218">
      <x:c r="A2218" s="9" t="str">
        <x:v>2214</x:v>
      </x:c>
      <x:c r="B2218" s="9" t="str">
        <x:v>1101</x:v>
      </x:c>
      <x:c r="C2218" s="11" t="n">
        <x:v>46160</x:v>
      </x:c>
      <x:c r="D2218" s="13" t="n">
        <x:v>871.53</x:v>
      </x:c>
    </x:row>
    <x:row r="2219">
      <x:c r="A2219" s="9" t="str">
        <x:v>2215</x:v>
      </x:c>
      <x:c r="B2219" s="9" t="str">
        <x:v>1102</x:v>
      </x:c>
      <x:c r="C2219" s="11" t="n">
        <x:v>46189</x:v>
      </x:c>
      <x:c r="D2219" s="13" t="n">
        <x:v>175.11</x:v>
      </x:c>
    </x:row>
    <x:row r="2220">
      <x:c r="A2220" s="9" t="str">
        <x:v>2216</x:v>
      </x:c>
      <x:c r="B2220" s="9" t="str">
        <x:v>1102</x:v>
      </x:c>
      <x:c r="C2220" s="11" t="n">
        <x:v>46100</x:v>
      </x:c>
      <x:c r="D2220" s="13" t="n">
        <x:v>181.28</x:v>
      </x:c>
    </x:row>
    <x:row r="2221">
      <x:c r="A2221" s="9" t="str">
        <x:v>2217</x:v>
      </x:c>
      <x:c r="B2221" s="9" t="str">
        <x:v>1102</x:v>
      </x:c>
      <x:c r="C2221" s="11" t="n">
        <x:v>46155</x:v>
      </x:c>
      <x:c r="D2221" s="13" t="n">
        <x:v>176.21</x:v>
      </x:c>
    </x:row>
    <x:row r="2222">
      <x:c r="A2222" s="9" t="str">
        <x:v>2218</x:v>
      </x:c>
      <x:c r="B2222" s="9" t="str">
        <x:v>1102</x:v>
      </x:c>
      <x:c r="C2222" s="11" t="n">
        <x:v>46162</x:v>
      </x:c>
      <x:c r="D2222" s="13" t="n">
        <x:v>77.35</x:v>
      </x:c>
    </x:row>
    <x:row r="2223">
      <x:c r="A2223" s="9" t="str">
        <x:v>2219</x:v>
      </x:c>
      <x:c r="B2223" s="9" t="str">
        <x:v>1103</x:v>
      </x:c>
      <x:c r="C2223" s="11" t="n">
        <x:v>46188</x:v>
      </x:c>
      <x:c r="D2223" s="13" t="n">
        <x:v>93.99</x:v>
      </x:c>
    </x:row>
    <x:row r="2224">
      <x:c r="A2224" s="9" t="str">
        <x:v>2220</x:v>
      </x:c>
      <x:c r="B2224" s="9" t="str">
        <x:v>1104</x:v>
      </x:c>
      <x:c r="C2224" s="11" t="n">
        <x:v>46141</x:v>
      </x:c>
      <x:c r="D2224" s="13" t="n">
        <x:v>305.04</x:v>
      </x:c>
    </x:row>
    <x:row r="2225">
      <x:c r="A2225" s="9" t="str">
        <x:v>2221</x:v>
      </x:c>
      <x:c r="B2225" s="9" t="str">
        <x:v>1104</x:v>
      </x:c>
      <x:c r="C2225" s="11" t="n">
        <x:v>46082</x:v>
      </x:c>
      <x:c r="D2225" s="13" t="n">
        <x:v>97.78</x:v>
      </x:c>
    </x:row>
    <x:row r="2226">
      <x:c r="A2226" s="9" t="str">
        <x:v>2222</x:v>
      </x:c>
      <x:c r="B2226" s="9" t="str">
        <x:v>1105</x:v>
      </x:c>
      <x:c r="C2226" s="11" t="n">
        <x:v>46191</x:v>
      </x:c>
      <x:c r="D2226" s="13" t="n">
        <x:v>253.29</x:v>
      </x:c>
    </x:row>
    <x:row r="2227">
      <x:c r="A2227" s="9" t="str">
        <x:v>2223</x:v>
      </x:c>
      <x:c r="B2227" s="9" t="str">
        <x:v>1105</x:v>
      </x:c>
      <x:c r="C2227" s="11" t="n">
        <x:v>46199</x:v>
      </x:c>
      <x:c r="D2227" s="13" t="n">
        <x:v>167.41</x:v>
      </x:c>
    </x:row>
    <x:row r="2228">
      <x:c r="A2228" s="9" t="str">
        <x:v>2224</x:v>
      </x:c>
      <x:c r="B2228" s="9" t="str">
        <x:v>1106</x:v>
      </x:c>
      <x:c r="C2228" s="11" t="n">
        <x:v>46156</x:v>
      </x:c>
      <x:c r="D2228" s="13" t="n">
        <x:v>475.19</x:v>
      </x:c>
    </x:row>
    <x:row r="2229">
      <x:c r="A2229" s="9" t="str">
        <x:v>2225</x:v>
      </x:c>
      <x:c r="B2229" s="9" t="str">
        <x:v>1107</x:v>
      </x:c>
      <x:c r="C2229" s="11" t="n">
        <x:v>46166</x:v>
      </x:c>
      <x:c r="D2229" s="13" t="n">
        <x:v>235.95</x:v>
      </x:c>
    </x:row>
    <x:row r="2230">
      <x:c r="A2230" s="9" t="str">
        <x:v>2226</x:v>
      </x:c>
      <x:c r="B2230" s="9" t="str">
        <x:v>1108</x:v>
      </x:c>
      <x:c r="C2230" s="11" t="n">
        <x:v>46061</x:v>
      </x:c>
      <x:c r="D2230" s="13" t="n">
        <x:v>151.43</x:v>
      </x:c>
    </x:row>
    <x:row r="2231">
      <x:c r="A2231" s="9" t="str">
        <x:v>2227</x:v>
      </x:c>
      <x:c r="B2231" s="9" t="str">
        <x:v>1108</x:v>
      </x:c>
      <x:c r="C2231" s="11" t="n">
        <x:v>46133</x:v>
      </x:c>
      <x:c r="D2231" s="13" t="n">
        <x:v>235.29</x:v>
      </x:c>
    </x:row>
    <x:row r="2232">
      <x:c r="A2232" s="9" t="str">
        <x:v>2228</x:v>
      </x:c>
      <x:c r="B2232" s="9" t="str">
        <x:v>1108</x:v>
      </x:c>
      <x:c r="C2232" s="11" t="n">
        <x:v>46048</x:v>
      </x:c>
      <x:c r="D2232" s="13" t="n">
        <x:v>80.48</x:v>
      </x:c>
    </x:row>
    <x:row r="2233">
      <x:c r="A2233" s="9" t="str">
        <x:v>2229</x:v>
      </x:c>
      <x:c r="B2233" s="9" t="str">
        <x:v>1108</x:v>
      </x:c>
      <x:c r="C2233" s="11" t="n">
        <x:v>46039</x:v>
      </x:c>
      <x:c r="D2233" s="13" t="n">
        <x:v>165.61</x:v>
      </x:c>
    </x:row>
    <x:row r="2234">
      <x:c r="A2234" s="9" t="str">
        <x:v>2230</x:v>
      </x:c>
      <x:c r="B2234" s="9" t="str">
        <x:v>1109</x:v>
      </x:c>
      <x:c r="C2234" s="11" t="n">
        <x:v>46167</x:v>
      </x:c>
      <x:c r="D2234" s="13" t="n">
        <x:v>138.09</x:v>
      </x:c>
    </x:row>
    <x:row r="2235">
      <x:c r="A2235" s="9" t="str">
        <x:v>2231</x:v>
      </x:c>
      <x:c r="B2235" s="9" t="str">
        <x:v>1110</x:v>
      </x:c>
      <x:c r="C2235" s="11" t="n">
        <x:v>46200</x:v>
      </x:c>
      <x:c r="D2235" s="13" t="n">
        <x:v>2504.54</x:v>
      </x:c>
    </x:row>
    <x:row r="2236">
      <x:c r="A2236" s="9" t="str">
        <x:v>2232</x:v>
      </x:c>
      <x:c r="B2236" s="9" t="str">
        <x:v>1110</x:v>
      </x:c>
      <x:c r="C2236" s="11" t="n">
        <x:v>46163</x:v>
      </x:c>
      <x:c r="D2236" s="13" t="n">
        <x:v>1650.96</x:v>
      </x:c>
    </x:row>
    <x:row r="2237">
      <x:c r="A2237" s="9" t="str">
        <x:v>2233</x:v>
      </x:c>
      <x:c r="B2237" s="9" t="str">
        <x:v>1110</x:v>
      </x:c>
      <x:c r="C2237" s="11" t="n">
        <x:v>46168</x:v>
      </x:c>
      <x:c r="D2237" s="13" t="n">
        <x:v>324.21</x:v>
      </x:c>
    </x:row>
    <x:row r="2238">
      <x:c r="A2238" s="9" t="str">
        <x:v>2234</x:v>
      </x:c>
      <x:c r="B2238" s="9" t="str">
        <x:v>1112</x:v>
      </x:c>
      <x:c r="C2238" s="11" t="n">
        <x:v>46144</x:v>
      </x:c>
      <x:c r="D2238" s="13" t="n">
        <x:v>651.93</x:v>
      </x:c>
    </x:row>
    <x:row r="2239">
      <x:c r="A2239" s="9" t="str">
        <x:v>2235</x:v>
      </x:c>
      <x:c r="B2239" s="9" t="str">
        <x:v>1112</x:v>
      </x:c>
      <x:c r="C2239" s="11" t="n">
        <x:v>46077</x:v>
      </x:c>
      <x:c r="D2239" s="13" t="n">
        <x:v>151.01</x:v>
      </x:c>
    </x:row>
    <x:row r="2240">
      <x:c r="A2240" s="9" t="str">
        <x:v>2236</x:v>
      </x:c>
      <x:c r="B2240" s="9" t="str">
        <x:v>1113</x:v>
      </x:c>
      <x:c r="C2240" s="11" t="n">
        <x:v>46158</x:v>
      </x:c>
      <x:c r="D2240" s="13" t="n">
        <x:v>106.29</x:v>
      </x:c>
    </x:row>
    <x:row r="2241">
      <x:c r="A2241" s="9" t="str">
        <x:v>2237</x:v>
      </x:c>
      <x:c r="B2241" s="9" t="str">
        <x:v>1114</x:v>
      </x:c>
      <x:c r="C2241" s="11" t="n">
        <x:v>46073</x:v>
      </x:c>
      <x:c r="D2241" s="13" t="n">
        <x:v>2497.53</x:v>
      </x:c>
    </x:row>
    <x:row r="2242">
      <x:c r="A2242" s="9" t="str">
        <x:v>2238</x:v>
      </x:c>
      <x:c r="B2242" s="9" t="str">
        <x:v>1114</x:v>
      </x:c>
      <x:c r="C2242" s="11" t="n">
        <x:v>46184</x:v>
      </x:c>
      <x:c r="D2242" s="13" t="n">
        <x:v>1980.41</x:v>
      </x:c>
    </x:row>
    <x:row r="2243">
      <x:c r="A2243" s="9" t="str">
        <x:v>2239</x:v>
      </x:c>
      <x:c r="B2243" s="9" t="str">
        <x:v>1114</x:v>
      </x:c>
      <x:c r="C2243" s="11" t="n">
        <x:v>46080</x:v>
      </x:c>
      <x:c r="D2243" s="13" t="n">
        <x:v>128.5</x:v>
      </x:c>
    </x:row>
    <x:row r="2244">
      <x:c r="A2244" s="9" t="str">
        <x:v>2240</x:v>
      </x:c>
      <x:c r="B2244" s="9" t="str">
        <x:v>1115</x:v>
      </x:c>
      <x:c r="C2244" s="11" t="n">
        <x:v>46172</x:v>
      </x:c>
      <x:c r="D2244" s="13" t="n">
        <x:v>403.35</x:v>
      </x:c>
    </x:row>
    <x:row r="2245">
      <x:c r="A2245" s="9" t="str">
        <x:v>2241</x:v>
      </x:c>
      <x:c r="B2245" s="9" t="str">
        <x:v>1115</x:v>
      </x:c>
      <x:c r="C2245" s="11" t="n">
        <x:v>46083</x:v>
      </x:c>
      <x:c r="D2245" s="13" t="n">
        <x:v>740.32</x:v>
      </x:c>
    </x:row>
    <x:row r="2246">
      <x:c r="A2246" s="9" t="str">
        <x:v>2242</x:v>
      </x:c>
      <x:c r="B2246" s="9" t="str">
        <x:v>1115</x:v>
      </x:c>
      <x:c r="C2246" s="11" t="n">
        <x:v>46114</x:v>
      </x:c>
      <x:c r="D2246" s="13" t="n">
        <x:v>185.55</x:v>
      </x:c>
    </x:row>
    <x:row r="2247">
      <x:c r="A2247" s="9" t="str">
        <x:v>2243</x:v>
      </x:c>
      <x:c r="B2247" s="9" t="str">
        <x:v>1116</x:v>
      </x:c>
      <x:c r="C2247" s="11" t="n">
        <x:v>46155</x:v>
      </x:c>
      <x:c r="D2247" s="13" t="n">
        <x:v>2843.73</x:v>
      </x:c>
    </x:row>
    <x:row r="2248">
      <x:c r="A2248" s="9" t="str">
        <x:v>2244</x:v>
      </x:c>
      <x:c r="B2248" s="9" t="str">
        <x:v>1116</x:v>
      </x:c>
      <x:c r="C2248" s="11" t="n">
        <x:v>46197</x:v>
      </x:c>
      <x:c r="D2248" s="13" t="n">
        <x:v>1507.02</x:v>
      </x:c>
    </x:row>
    <x:row r="2249">
      <x:c r="A2249" s="9" t="str">
        <x:v>2245</x:v>
      </x:c>
      <x:c r="B2249" s="9" t="str">
        <x:v>1116</x:v>
      </x:c>
      <x:c r="C2249" s="11" t="n">
        <x:v>46156</x:v>
      </x:c>
      <x:c r="D2249" s="13" t="n">
        <x:v>2819.45</x:v>
      </x:c>
    </x:row>
    <x:row r="2250">
      <x:c r="A2250" s="9" t="str">
        <x:v>2246</x:v>
      </x:c>
      <x:c r="B2250" s="9" t="str">
        <x:v>1117</x:v>
      </x:c>
      <x:c r="C2250" s="11" t="n">
        <x:v>46031</x:v>
      </x:c>
      <x:c r="D2250" s="13" t="n">
        <x:v>1366.95</x:v>
      </x:c>
    </x:row>
    <x:row r="2251">
      <x:c r="A2251" s="9" t="str">
        <x:v>2247</x:v>
      </x:c>
      <x:c r="B2251" s="9" t="str">
        <x:v>1117</x:v>
      </x:c>
      <x:c r="C2251" s="11" t="n">
        <x:v>46137</x:v>
      </x:c>
      <x:c r="D2251" s="13" t="n">
        <x:v>1219.64</x:v>
      </x:c>
    </x:row>
    <x:row r="2252">
      <x:c r="A2252" s="9" t="str">
        <x:v>2248</x:v>
      </x:c>
      <x:c r="B2252" s="9" t="str">
        <x:v>1117</x:v>
      </x:c>
      <x:c r="C2252" s="11" t="n">
        <x:v>46169</x:v>
      </x:c>
      <x:c r="D2252" s="13" t="n">
        <x:v>474.36</x:v>
      </x:c>
    </x:row>
    <x:row r="2253">
      <x:c r="A2253" s="9" t="str">
        <x:v>2249</x:v>
      </x:c>
      <x:c r="B2253" s="9" t="str">
        <x:v>1118</x:v>
      </x:c>
      <x:c r="C2253" s="11" t="n">
        <x:v>46103</x:v>
      </x:c>
      <x:c r="D2253" s="13" t="n">
        <x:v>238.65</x:v>
      </x:c>
    </x:row>
    <x:row r="2254">
      <x:c r="A2254" s="9" t="str">
        <x:v>2250</x:v>
      </x:c>
      <x:c r="B2254" s="9" t="str">
        <x:v>1118</x:v>
      </x:c>
      <x:c r="C2254" s="11" t="n">
        <x:v>46170</x:v>
      </x:c>
      <x:c r="D2254" s="13" t="n">
        <x:v>2126.36</x:v>
      </x:c>
    </x:row>
    <x:row r="2255">
      <x:c r="A2255" s="9" t="str">
        <x:v>2251</x:v>
      </x:c>
      <x:c r="B2255" s="9" t="str">
        <x:v>1119</x:v>
      </x:c>
      <x:c r="C2255" s="11" t="n">
        <x:v>46114</x:v>
      </x:c>
      <x:c r="D2255" s="13" t="n">
        <x:v>2160.72</x:v>
      </x:c>
    </x:row>
    <x:row r="2256">
      <x:c r="A2256" s="9" t="str">
        <x:v>2252</x:v>
      </x:c>
      <x:c r="B2256" s="9" t="str">
        <x:v>1119</x:v>
      </x:c>
      <x:c r="C2256" s="11" t="n">
        <x:v>46143</x:v>
      </x:c>
      <x:c r="D2256" s="13" t="n">
        <x:v>1448.23</x:v>
      </x:c>
    </x:row>
    <x:row r="2257">
      <x:c r="A2257" s="9" t="str">
        <x:v>2253</x:v>
      </x:c>
      <x:c r="B2257" s="9" t="str">
        <x:v>1119</x:v>
      </x:c>
      <x:c r="C2257" s="11" t="n">
        <x:v>46070</x:v>
      </x:c>
      <x:c r="D2257" s="13" t="n">
        <x:v>992.99</x:v>
      </x:c>
    </x:row>
    <x:row r="2258">
      <x:c r="A2258" s="9" t="str">
        <x:v>2254</x:v>
      </x:c>
      <x:c r="B2258" s="9" t="str">
        <x:v>1119</x:v>
      </x:c>
      <x:c r="C2258" s="11" t="n">
        <x:v>46076</x:v>
      </x:c>
      <x:c r="D2258" s="13" t="n">
        <x:v>61</x:v>
      </x:c>
    </x:row>
    <x:row r="2259">
      <x:c r="A2259" s="9" t="str">
        <x:v>2255</x:v>
      </x:c>
      <x:c r="B2259" s="9" t="str">
        <x:v>1120</x:v>
      </x:c>
      <x:c r="C2259" s="11" t="n">
        <x:v>46161</x:v>
      </x:c>
      <x:c r="D2259" s="13" t="n">
        <x:v>11.95</x:v>
      </x:c>
    </x:row>
    <x:row r="2260">
      <x:c r="A2260" s="9" t="str">
        <x:v>2256</x:v>
      </x:c>
      <x:c r="B2260" s="9" t="str">
        <x:v>1120</x:v>
      </x:c>
      <x:c r="C2260" s="11" t="n">
        <x:v>46148</x:v>
      </x:c>
      <x:c r="D2260" s="13" t="n">
        <x:v>295.48</x:v>
      </x:c>
    </x:row>
    <x:row r="2261">
      <x:c r="A2261" s="9" t="str">
        <x:v>2257</x:v>
      </x:c>
      <x:c r="B2261" s="9" t="str">
        <x:v>1121</x:v>
      </x:c>
      <x:c r="C2261" s="11" t="n">
        <x:v>46131</x:v>
      </x:c>
      <x:c r="D2261" s="13" t="n">
        <x:v>131.86</x:v>
      </x:c>
    </x:row>
    <x:row r="2262">
      <x:c r="A2262" s="9" t="str">
        <x:v>2258</x:v>
      </x:c>
      <x:c r="B2262" s="9" t="str">
        <x:v>1121</x:v>
      </x:c>
      <x:c r="C2262" s="11" t="n">
        <x:v>46089</x:v>
      </x:c>
      <x:c r="D2262" s="13" t="n">
        <x:v>84.29</x:v>
      </x:c>
    </x:row>
    <x:row r="2263">
      <x:c r="A2263" s="9" t="str">
        <x:v>2259</x:v>
      </x:c>
      <x:c r="B2263" s="9" t="str">
        <x:v>1122</x:v>
      </x:c>
      <x:c r="C2263" s="11" t="n">
        <x:v>46180</x:v>
      </x:c>
      <x:c r="D2263" s="13" t="n">
        <x:v>634.48</x:v>
      </x:c>
    </x:row>
    <x:row r="2264">
      <x:c r="A2264" s="9" t="str">
        <x:v>2260</x:v>
      </x:c>
      <x:c r="B2264" s="9" t="str">
        <x:v>1122</x:v>
      </x:c>
      <x:c r="C2264" s="11" t="n">
        <x:v>46156</x:v>
      </x:c>
      <x:c r="D2264" s="13" t="n">
        <x:v>23.89</x:v>
      </x:c>
    </x:row>
    <x:row r="2265">
      <x:c r="A2265" s="9" t="str">
        <x:v>2261</x:v>
      </x:c>
      <x:c r="B2265" s="9" t="str">
        <x:v>1123</x:v>
      </x:c>
      <x:c r="C2265" s="11" t="n">
        <x:v>46197</x:v>
      </x:c>
      <x:c r="D2265" s="13" t="n">
        <x:v>982.76</x:v>
      </x:c>
    </x:row>
    <x:row r="2266">
      <x:c r="A2266" s="9" t="str">
        <x:v>2262</x:v>
      </x:c>
      <x:c r="B2266" s="9" t="str">
        <x:v>1123</x:v>
      </x:c>
      <x:c r="C2266" s="11" t="n">
        <x:v>46178</x:v>
      </x:c>
      <x:c r="D2266" s="13" t="n">
        <x:v>1248.72</x:v>
      </x:c>
    </x:row>
    <x:row r="2267">
      <x:c r="A2267" s="9" t="str">
        <x:v>2263</x:v>
      </x:c>
      <x:c r="B2267" s="9" t="str">
        <x:v>1123</x:v>
      </x:c>
      <x:c r="C2267" s="11" t="n">
        <x:v>46072</x:v>
      </x:c>
      <x:c r="D2267" s="13" t="n">
        <x:v>979.94</x:v>
      </x:c>
    </x:row>
    <x:row r="2268">
      <x:c r="A2268" s="9" t="str">
        <x:v>2264</x:v>
      </x:c>
      <x:c r="B2268" s="9" t="str">
        <x:v>1124</x:v>
      </x:c>
      <x:c r="C2268" s="11" t="n">
        <x:v>46160</x:v>
      </x:c>
      <x:c r="D2268" s="13" t="n">
        <x:v>321.27</x:v>
      </x:c>
    </x:row>
    <x:row r="2269">
      <x:c r="A2269" s="9" t="str">
        <x:v>2265</x:v>
      </x:c>
      <x:c r="B2269" s="9" t="str">
        <x:v>1124</x:v>
      </x:c>
      <x:c r="C2269" s="11" t="n">
        <x:v>46182</x:v>
      </x:c>
      <x:c r="D2269" s="13" t="n">
        <x:v>650.46</x:v>
      </x:c>
    </x:row>
    <x:row r="2270">
      <x:c r="A2270" s="9" t="str">
        <x:v>2266</x:v>
      </x:c>
      <x:c r="B2270" s="9" t="str">
        <x:v>1124</x:v>
      </x:c>
      <x:c r="C2270" s="11" t="n">
        <x:v>46160</x:v>
      </x:c>
      <x:c r="D2270" s="13" t="n">
        <x:v>226.22</x:v>
      </x:c>
    </x:row>
    <x:row r="2271">
      <x:c r="A2271" s="9" t="str">
        <x:v>2267</x:v>
      </x:c>
      <x:c r="B2271" s="9" t="str">
        <x:v>1125</x:v>
      </x:c>
      <x:c r="C2271" s="11" t="n">
        <x:v>46131</x:v>
      </x:c>
      <x:c r="D2271" s="13" t="n">
        <x:v>192.01</x:v>
      </x:c>
    </x:row>
    <x:row r="2272">
      <x:c r="A2272" s="9" t="str">
        <x:v>2268</x:v>
      </x:c>
      <x:c r="B2272" s="9" t="str">
        <x:v>1127</x:v>
      </x:c>
      <x:c r="C2272" s="11" t="n">
        <x:v>46096</x:v>
      </x:c>
      <x:c r="D2272" s="13" t="n">
        <x:v>11.47</x:v>
      </x:c>
    </x:row>
    <x:row r="2273">
      <x:c r="A2273" s="9" t="str">
        <x:v>2269</x:v>
      </x:c>
      <x:c r="B2273" s="9" t="str">
        <x:v>1127</x:v>
      </x:c>
      <x:c r="C2273" s="11" t="n">
        <x:v>46158</x:v>
      </x:c>
      <x:c r="D2273" s="13" t="n">
        <x:v>1177.43</x:v>
      </x:c>
    </x:row>
    <x:row r="2274">
      <x:c r="A2274" s="9" t="str">
        <x:v>2270</x:v>
      </x:c>
      <x:c r="B2274" s="9" t="str">
        <x:v>1128</x:v>
      </x:c>
      <x:c r="C2274" s="11" t="n">
        <x:v>46164</x:v>
      </x:c>
      <x:c r="D2274" s="13" t="n">
        <x:v>1235.7</x:v>
      </x:c>
    </x:row>
    <x:row r="2275">
      <x:c r="A2275" s="9" t="str">
        <x:v>2271</x:v>
      </x:c>
      <x:c r="B2275" s="9" t="str">
        <x:v>1129</x:v>
      </x:c>
      <x:c r="C2275" s="11" t="n">
        <x:v>46154</x:v>
      </x:c>
      <x:c r="D2275" s="13" t="n">
        <x:v>619.19</x:v>
      </x:c>
    </x:row>
    <x:row r="2276">
      <x:c r="A2276" s="9" t="str">
        <x:v>2272</x:v>
      </x:c>
      <x:c r="B2276" s="9" t="str">
        <x:v>1129</x:v>
      </x:c>
      <x:c r="C2276" s="11" t="n">
        <x:v>46092</x:v>
      </x:c>
      <x:c r="D2276" s="13" t="n">
        <x:v>374.08</x:v>
      </x:c>
    </x:row>
    <x:row r="2277">
      <x:c r="A2277" s="9" t="str">
        <x:v>2273</x:v>
      </x:c>
      <x:c r="B2277" s="9" t="str">
        <x:v>1129</x:v>
      </x:c>
      <x:c r="C2277" s="11" t="n">
        <x:v>46135</x:v>
      </x:c>
      <x:c r="D2277" s="13" t="n">
        <x:v>1726.33</x:v>
      </x:c>
    </x:row>
    <x:row r="2278">
      <x:c r="A2278" s="9" t="str">
        <x:v>2274</x:v>
      </x:c>
      <x:c r="B2278" s="9" t="str">
        <x:v>1129</x:v>
      </x:c>
      <x:c r="C2278" s="11" t="n">
        <x:v>46051</x:v>
      </x:c>
      <x:c r="D2278" s="13" t="n">
        <x:v>2969.4</x:v>
      </x:c>
    </x:row>
    <x:row r="2279">
      <x:c r="A2279" s="9" t="str">
        <x:v>2275</x:v>
      </x:c>
      <x:c r="B2279" s="9" t="str">
        <x:v>1130</x:v>
      </x:c>
      <x:c r="C2279" s="11" t="n">
        <x:v>46193</x:v>
      </x:c>
      <x:c r="D2279" s="13" t="n">
        <x:v>89.39</x:v>
      </x:c>
    </x:row>
    <x:row r="2280">
      <x:c r="A2280" s="9" t="str">
        <x:v>2276</x:v>
      </x:c>
      <x:c r="B2280" s="9" t="str">
        <x:v>1130</x:v>
      </x:c>
      <x:c r="C2280" s="11" t="n">
        <x:v>46185</x:v>
      </x:c>
      <x:c r="D2280" s="13" t="n">
        <x:v>56.96</x:v>
      </x:c>
    </x:row>
    <x:row r="2281">
      <x:c r="A2281" s="9" t="str">
        <x:v>2277</x:v>
      </x:c>
      <x:c r="B2281" s="9" t="str">
        <x:v>1130</x:v>
      </x:c>
      <x:c r="C2281" s="11" t="n">
        <x:v>46130</x:v>
      </x:c>
      <x:c r="D2281" s="13" t="n">
        <x:v>38.39</x:v>
      </x:c>
    </x:row>
    <x:row r="2282">
      <x:c r="A2282" s="9" t="str">
        <x:v>2278</x:v>
      </x:c>
      <x:c r="B2282" s="9" t="str">
        <x:v>1130</x:v>
      </x:c>
      <x:c r="C2282" s="11" t="n">
        <x:v>46149</x:v>
      </x:c>
      <x:c r="D2282" s="13" t="n">
        <x:v>39.4</x:v>
      </x:c>
    </x:row>
    <x:row r="2283">
      <x:c r="A2283" s="9" t="str">
        <x:v>2279</x:v>
      </x:c>
      <x:c r="B2283" s="9" t="str">
        <x:v>1131</x:v>
      </x:c>
      <x:c r="C2283" s="11" t="n">
        <x:v>46145</x:v>
      </x:c>
      <x:c r="D2283" s="13" t="n">
        <x:v>2261.2</x:v>
      </x:c>
    </x:row>
    <x:row r="2284">
      <x:c r="A2284" s="9" t="str">
        <x:v>2280</x:v>
      </x:c>
      <x:c r="B2284" s="9" t="str">
        <x:v>1131</x:v>
      </x:c>
      <x:c r="C2284" s="11" t="n">
        <x:v>46118</x:v>
      </x:c>
      <x:c r="D2284" s="13" t="n">
        <x:v>1714.47</x:v>
      </x:c>
    </x:row>
    <x:row r="2285">
      <x:c r="A2285" s="9" t="str">
        <x:v>2281</x:v>
      </x:c>
      <x:c r="B2285" s="9" t="str">
        <x:v>1131</x:v>
      </x:c>
      <x:c r="C2285" s="11" t="n">
        <x:v>46129</x:v>
      </x:c>
      <x:c r="D2285" s="13" t="n">
        <x:v>1365.54</x:v>
      </x:c>
    </x:row>
    <x:row r="2286">
      <x:c r="A2286" s="9" t="str">
        <x:v>2282</x:v>
      </x:c>
      <x:c r="B2286" s="9" t="str">
        <x:v>1132</x:v>
      </x:c>
      <x:c r="C2286" s="11" t="n">
        <x:v>46122</x:v>
      </x:c>
      <x:c r="D2286" s="13" t="n">
        <x:v>14.48</x:v>
      </x:c>
    </x:row>
    <x:row r="2287">
      <x:c r="A2287" s="9" t="str">
        <x:v>2283</x:v>
      </x:c>
      <x:c r="B2287" s="9" t="str">
        <x:v>1133</x:v>
      </x:c>
      <x:c r="C2287" s="11" t="n">
        <x:v>46178</x:v>
      </x:c>
      <x:c r="D2287" s="13" t="n">
        <x:v>14.97</x:v>
      </x:c>
    </x:row>
    <x:row r="2288">
      <x:c r="A2288" s="9" t="str">
        <x:v>2284</x:v>
      </x:c>
      <x:c r="B2288" s="9" t="str">
        <x:v>1133</x:v>
      </x:c>
      <x:c r="C2288" s="11" t="n">
        <x:v>46155</x:v>
      </x:c>
      <x:c r="D2288" s="13" t="n">
        <x:v>523.78</x:v>
      </x:c>
    </x:row>
    <x:row r="2289">
      <x:c r="A2289" s="9" t="str">
        <x:v>2285</x:v>
      </x:c>
      <x:c r="B2289" s="9" t="str">
        <x:v>1133</x:v>
      </x:c>
      <x:c r="C2289" s="11" t="n">
        <x:v>46137</x:v>
      </x:c>
      <x:c r="D2289" s="13" t="n">
        <x:v>517.8</x:v>
      </x:c>
    </x:row>
    <x:row r="2290">
      <x:c r="A2290" s="9" t="str">
        <x:v>2286</x:v>
      </x:c>
      <x:c r="B2290" s="9" t="str">
        <x:v>1134</x:v>
      </x:c>
      <x:c r="C2290" s="11" t="n">
        <x:v>46105</x:v>
      </x:c>
      <x:c r="D2290" s="13" t="n">
        <x:v>1525.66</x:v>
      </x:c>
    </x:row>
    <x:row r="2291">
      <x:c r="A2291" s="9" t="str">
        <x:v>2287</x:v>
      </x:c>
      <x:c r="B2291" s="9" t="str">
        <x:v>1135</x:v>
      </x:c>
      <x:c r="C2291" s="11" t="n">
        <x:v>46130</x:v>
      </x:c>
      <x:c r="D2291" s="13" t="n">
        <x:v>668.26</x:v>
      </x:c>
    </x:row>
    <x:row r="2292">
      <x:c r="A2292" s="9" t="str">
        <x:v>2288</x:v>
      </x:c>
      <x:c r="B2292" s="9" t="str">
        <x:v>1136</x:v>
      </x:c>
      <x:c r="C2292" s="11" t="n">
        <x:v>46142</x:v>
      </x:c>
      <x:c r="D2292" s="13" t="n">
        <x:v>341.32</x:v>
      </x:c>
    </x:row>
    <x:row r="2293">
      <x:c r="A2293" s="9" t="str">
        <x:v>2289</x:v>
      </x:c>
      <x:c r="B2293" s="9" t="str">
        <x:v>1136</x:v>
      </x:c>
      <x:c r="C2293" s="11" t="n">
        <x:v>46142</x:v>
      </x:c>
      <x:c r="D2293" s="13" t="n">
        <x:v>224.46</x:v>
      </x:c>
    </x:row>
    <x:row r="2294">
      <x:c r="A2294" s="9" t="str">
        <x:v>2290</x:v>
      </x:c>
      <x:c r="B2294" s="9" t="str">
        <x:v>1136</x:v>
      </x:c>
      <x:c r="C2294" s="11" t="n">
        <x:v>46198</x:v>
      </x:c>
      <x:c r="D2294" s="13" t="n">
        <x:v>346.56</x:v>
      </x:c>
    </x:row>
    <x:row r="2295">
      <x:c r="A2295" s="9" t="str">
        <x:v>2291</x:v>
      </x:c>
      <x:c r="B2295" s="9" t="str">
        <x:v>1137</x:v>
      </x:c>
      <x:c r="C2295" s="11" t="n">
        <x:v>46180</x:v>
      </x:c>
      <x:c r="D2295" s="13" t="n">
        <x:v>115.26</x:v>
      </x:c>
    </x:row>
    <x:row r="2296">
      <x:c r="A2296" s="9" t="str">
        <x:v>2292</x:v>
      </x:c>
      <x:c r="B2296" s="9" t="str">
        <x:v>1138</x:v>
      </x:c>
      <x:c r="C2296" s="11" t="n">
        <x:v>46172</x:v>
      </x:c>
      <x:c r="D2296" s="13" t="n">
        <x:v>478.63</x:v>
      </x:c>
    </x:row>
    <x:row r="2297">
      <x:c r="A2297" s="9" t="str">
        <x:v>2293</x:v>
      </x:c>
      <x:c r="B2297" s="9" t="str">
        <x:v>1138</x:v>
      </x:c>
      <x:c r="C2297" s="11" t="n">
        <x:v>46147</x:v>
      </x:c>
      <x:c r="D2297" s="13" t="n">
        <x:v>179.79</x:v>
      </x:c>
    </x:row>
    <x:row r="2298">
      <x:c r="A2298" s="9" t="str">
        <x:v>2294</x:v>
      </x:c>
      <x:c r="B2298" s="9" t="str">
        <x:v>1138</x:v>
      </x:c>
      <x:c r="C2298" s="11" t="n">
        <x:v>46115</x:v>
      </x:c>
      <x:c r="D2298" s="13" t="n">
        <x:v>1364.8</x:v>
      </x:c>
    </x:row>
    <x:row r="2299">
      <x:c r="A2299" s="9" t="str">
        <x:v>2295</x:v>
      </x:c>
      <x:c r="B2299" s="9" t="str">
        <x:v>1138</x:v>
      </x:c>
      <x:c r="C2299" s="11" t="n">
        <x:v>46182</x:v>
      </x:c>
      <x:c r="D2299" s="13" t="n">
        <x:v>1547.96</x:v>
      </x:c>
    </x:row>
    <x:row r="2300">
      <x:c r="A2300" s="9" t="str">
        <x:v>2296</x:v>
      </x:c>
      <x:c r="B2300" s="9" t="str">
        <x:v>1139</x:v>
      </x:c>
      <x:c r="C2300" s="11" t="n">
        <x:v>46111</x:v>
      </x:c>
      <x:c r="D2300" s="13" t="n">
        <x:v>225.64</x:v>
      </x:c>
    </x:row>
    <x:row r="2301">
      <x:c r="A2301" s="9" t="str">
        <x:v>2297</x:v>
      </x:c>
      <x:c r="B2301" s="9" t="str">
        <x:v>1139</x:v>
      </x:c>
      <x:c r="C2301" s="11" t="n">
        <x:v>46071</x:v>
      </x:c>
      <x:c r="D2301" s="13" t="n">
        <x:v>657.84</x:v>
      </x:c>
    </x:row>
    <x:row r="2302">
      <x:c r="A2302" s="9" t="str">
        <x:v>2298</x:v>
      </x:c>
      <x:c r="B2302" s="9" t="str">
        <x:v>1140</x:v>
      </x:c>
      <x:c r="C2302" s="11" t="n">
        <x:v>46203</x:v>
      </x:c>
      <x:c r="D2302" s="13" t="n">
        <x:v>273.4</x:v>
      </x:c>
    </x:row>
    <x:row r="2303">
      <x:c r="A2303" s="9" t="str">
        <x:v>2299</x:v>
      </x:c>
      <x:c r="B2303" s="9" t="str">
        <x:v>1142</x:v>
      </x:c>
      <x:c r="C2303" s="11" t="n">
        <x:v>46187</x:v>
      </x:c>
      <x:c r="D2303" s="13" t="n">
        <x:v>417.86</x:v>
      </x:c>
    </x:row>
    <x:row r="2304">
      <x:c r="A2304" s="9" t="str">
        <x:v>2300</x:v>
      </x:c>
      <x:c r="B2304" s="9" t="str">
        <x:v>1142</x:v>
      </x:c>
      <x:c r="C2304" s="11" t="n">
        <x:v>46168</x:v>
      </x:c>
      <x:c r="D2304" s="13" t="n">
        <x:v>1802.39</x:v>
      </x:c>
    </x:row>
    <x:row r="2305">
      <x:c r="A2305" s="9" t="str">
        <x:v>2301</x:v>
      </x:c>
      <x:c r="B2305" s="9" t="str">
        <x:v>1142</x:v>
      </x:c>
      <x:c r="C2305" s="11" t="n">
        <x:v>46197</x:v>
      </x:c>
      <x:c r="D2305" s="13" t="n">
        <x:v>1902.04</x:v>
      </x:c>
    </x:row>
    <x:row r="2306">
      <x:c r="A2306" s="9" t="str">
        <x:v>2302</x:v>
      </x:c>
      <x:c r="B2306" s="9" t="str">
        <x:v>1143</x:v>
      </x:c>
      <x:c r="C2306" s="11" t="n">
        <x:v>46111</x:v>
      </x:c>
      <x:c r="D2306" s="13" t="n">
        <x:v>302.88</x:v>
      </x:c>
    </x:row>
    <x:row r="2307">
      <x:c r="A2307" s="9" t="str">
        <x:v>2303</x:v>
      </x:c>
      <x:c r="B2307" s="9" t="str">
        <x:v>1143</x:v>
      </x:c>
      <x:c r="C2307" s="11" t="n">
        <x:v>46055</x:v>
      </x:c>
      <x:c r="D2307" s="13" t="n">
        <x:v>227.11</x:v>
      </x:c>
    </x:row>
    <x:row r="2308">
      <x:c r="A2308" s="9" t="str">
        <x:v>2304</x:v>
      </x:c>
      <x:c r="B2308" s="9" t="str">
        <x:v>1145</x:v>
      </x:c>
      <x:c r="C2308" s="11" t="n">
        <x:v>46183</x:v>
      </x:c>
      <x:c r="D2308" s="13" t="n">
        <x:v>780.8</x:v>
      </x:c>
    </x:row>
    <x:row r="2309">
      <x:c r="A2309" s="9" t="str">
        <x:v>2305</x:v>
      </x:c>
      <x:c r="B2309" s="9" t="str">
        <x:v>1145</x:v>
      </x:c>
      <x:c r="C2309" s="11" t="n">
        <x:v>46159</x:v>
      </x:c>
      <x:c r="D2309" s="13" t="n">
        <x:v>513.57</x:v>
      </x:c>
    </x:row>
    <x:row r="2310">
      <x:c r="A2310" s="9" t="str">
        <x:v>2306</x:v>
      </x:c>
      <x:c r="B2310" s="9" t="str">
        <x:v>1145</x:v>
      </x:c>
      <x:c r="C2310" s="11" t="n">
        <x:v>46174</x:v>
      </x:c>
      <x:c r="D2310" s="13" t="n">
        <x:v>640.61</x:v>
      </x:c>
    </x:row>
    <x:row r="2311">
      <x:c r="A2311" s="9" t="str">
        <x:v>2307</x:v>
      </x:c>
      <x:c r="B2311" s="9" t="str">
        <x:v>1145</x:v>
      </x:c>
      <x:c r="C2311" s="11" t="n">
        <x:v>46177</x:v>
      </x:c>
      <x:c r="D2311" s="13" t="n">
        <x:v>168.09</x:v>
      </x:c>
    </x:row>
    <x:row r="2312">
      <x:c r="A2312" s="9" t="str">
        <x:v>2308</x:v>
      </x:c>
      <x:c r="B2312" s="9" t="str">
        <x:v>1147</x:v>
      </x:c>
      <x:c r="C2312" s="11" t="n">
        <x:v>46151</x:v>
      </x:c>
      <x:c r="D2312" s="13" t="n">
        <x:v>1589.32</x:v>
      </x:c>
    </x:row>
    <x:row r="2313">
      <x:c r="A2313" s="9" t="str">
        <x:v>2309</x:v>
      </x:c>
      <x:c r="B2313" s="9" t="str">
        <x:v>1147</x:v>
      </x:c>
      <x:c r="C2313" s="11" t="n">
        <x:v>46144</x:v>
      </x:c>
      <x:c r="D2313" s="13" t="n">
        <x:v>1455.68</x:v>
      </x:c>
    </x:row>
    <x:row r="2314">
      <x:c r="A2314" s="9" t="str">
        <x:v>2310</x:v>
      </x:c>
      <x:c r="B2314" s="9" t="str">
        <x:v>1147</x:v>
      </x:c>
      <x:c r="C2314" s="11" t="n">
        <x:v>46120</x:v>
      </x:c>
      <x:c r="D2314" s="13" t="n">
        <x:v>1205.09</x:v>
      </x:c>
    </x:row>
    <x:row r="2315">
      <x:c r="A2315" s="9" t="str">
        <x:v>2311</x:v>
      </x:c>
      <x:c r="B2315" s="9" t="str">
        <x:v>1148</x:v>
      </x:c>
      <x:c r="C2315" s="11" t="n">
        <x:v>46055</x:v>
      </x:c>
      <x:c r="D2315" s="13" t="n">
        <x:v>519.07</x:v>
      </x:c>
    </x:row>
    <x:row r="2316">
      <x:c r="A2316" s="9" t="str">
        <x:v>2312</x:v>
      </x:c>
      <x:c r="B2316" s="9" t="str">
        <x:v>1151</x:v>
      </x:c>
      <x:c r="C2316" s="11" t="n">
        <x:v>46201</x:v>
      </x:c>
      <x:c r="D2316" s="13" t="n">
        <x:v>1221.56</x:v>
      </x:c>
    </x:row>
    <x:row r="2317">
      <x:c r="A2317" s="9" t="str">
        <x:v>2313</x:v>
      </x:c>
      <x:c r="B2317" s="9" t="str">
        <x:v>1152</x:v>
      </x:c>
      <x:c r="C2317" s="11" t="n">
        <x:v>46145</x:v>
      </x:c>
      <x:c r="D2317" s="13" t="n">
        <x:v>1122.76</x:v>
      </x:c>
    </x:row>
    <x:row r="2318">
      <x:c r="A2318" s="9" t="str">
        <x:v>2314</x:v>
      </x:c>
      <x:c r="B2318" s="9" t="str">
        <x:v>1152</x:v>
      </x:c>
      <x:c r="C2318" s="11" t="n">
        <x:v>46190</x:v>
      </x:c>
      <x:c r="D2318" s="13" t="n">
        <x:v>849.01</x:v>
      </x:c>
    </x:row>
    <x:row r="2319">
      <x:c r="A2319" s="9" t="str">
        <x:v>2315</x:v>
      </x:c>
      <x:c r="B2319" s="9" t="str">
        <x:v>1152</x:v>
      </x:c>
      <x:c r="C2319" s="11" t="n">
        <x:v>46200</x:v>
      </x:c>
      <x:c r="D2319" s="13" t="n">
        <x:v>656.92</x:v>
      </x:c>
    </x:row>
    <x:row r="2320">
      <x:c r="A2320" s="9" t="str">
        <x:v>2316</x:v>
      </x:c>
      <x:c r="B2320" s="9" t="str">
        <x:v>1152</x:v>
      </x:c>
      <x:c r="C2320" s="11" t="n">
        <x:v>46171</x:v>
      </x:c>
      <x:c r="D2320" s="13" t="n">
        <x:v>893.32</x:v>
      </x:c>
    </x:row>
    <x:row r="2321">
      <x:c r="A2321" s="9" t="str">
        <x:v>2317</x:v>
      </x:c>
      <x:c r="B2321" s="9" t="str">
        <x:v>1154</x:v>
      </x:c>
      <x:c r="C2321" s="11" t="n">
        <x:v>46059</x:v>
      </x:c>
      <x:c r="D2321" s="13" t="n">
        <x:v>1686.38</x:v>
      </x:c>
    </x:row>
    <x:row r="2322">
      <x:c r="A2322" s="9" t="str">
        <x:v>2318</x:v>
      </x:c>
      <x:c r="B2322" s="9" t="str">
        <x:v>1154</x:v>
      </x:c>
      <x:c r="C2322" s="11" t="n">
        <x:v>46201</x:v>
      </x:c>
      <x:c r="D2322" s="13" t="n">
        <x:v>1770.15</x:v>
      </x:c>
    </x:row>
    <x:row r="2323">
      <x:c r="A2323" s="9" t="str">
        <x:v>2319</x:v>
      </x:c>
      <x:c r="B2323" s="9" t="str">
        <x:v>1154</x:v>
      </x:c>
      <x:c r="C2323" s="11" t="n">
        <x:v>46089</x:v>
      </x:c>
      <x:c r="D2323" s="13" t="n">
        <x:v>1220.73</x:v>
      </x:c>
    </x:row>
    <x:row r="2324">
      <x:c r="A2324" s="9" t="str">
        <x:v>2320</x:v>
      </x:c>
      <x:c r="B2324" s="9" t="str">
        <x:v>1155</x:v>
      </x:c>
      <x:c r="C2324" s="11" t="n">
        <x:v>46162</x:v>
      </x:c>
      <x:c r="D2324" s="13" t="n">
        <x:v>106.15</x:v>
      </x:c>
    </x:row>
    <x:row r="2325">
      <x:c r="A2325" s="9" t="str">
        <x:v>2321</x:v>
      </x:c>
      <x:c r="B2325" s="9" t="str">
        <x:v>1156</x:v>
      </x:c>
      <x:c r="C2325" s="11" t="n">
        <x:v>46173</x:v>
      </x:c>
      <x:c r="D2325" s="13" t="n">
        <x:v>513.67</x:v>
      </x:c>
    </x:row>
    <x:row r="2326">
      <x:c r="A2326" s="9" t="str">
        <x:v>2322</x:v>
      </x:c>
      <x:c r="B2326" s="9" t="str">
        <x:v>1156</x:v>
      </x:c>
      <x:c r="C2326" s="11" t="n">
        <x:v>46201</x:v>
      </x:c>
      <x:c r="D2326" s="13" t="n">
        <x:v>999.19</x:v>
      </x:c>
    </x:row>
    <x:row r="2327">
      <x:c r="A2327" s="9" t="str">
        <x:v>2323</x:v>
      </x:c>
      <x:c r="B2327" s="9" t="str">
        <x:v>1157</x:v>
      </x:c>
      <x:c r="C2327" s="11" t="n">
        <x:v>46135</x:v>
      </x:c>
      <x:c r="D2327" s="13" t="n">
        <x:v>881.18</x:v>
      </x:c>
    </x:row>
    <x:row r="2328">
      <x:c r="A2328" s="9" t="str">
        <x:v>2324</x:v>
      </x:c>
      <x:c r="B2328" s="9" t="str">
        <x:v>1158</x:v>
      </x:c>
      <x:c r="C2328" s="11" t="n">
        <x:v>46145</x:v>
      </x:c>
      <x:c r="D2328" s="13" t="n">
        <x:v>453.36</x:v>
      </x:c>
    </x:row>
    <x:row r="2329">
      <x:c r="A2329" s="9" t="str">
        <x:v>2325</x:v>
      </x:c>
      <x:c r="B2329" s="9" t="str">
        <x:v>1160</x:v>
      </x:c>
      <x:c r="C2329" s="11" t="n">
        <x:v>46170</x:v>
      </x:c>
      <x:c r="D2329" s="13" t="n">
        <x:v>15.78</x:v>
      </x:c>
    </x:row>
    <x:row r="2330">
      <x:c r="A2330" s="9" t="str">
        <x:v>2326</x:v>
      </x:c>
      <x:c r="B2330" s="9" t="str">
        <x:v>1160</x:v>
      </x:c>
      <x:c r="C2330" s="11" t="n">
        <x:v>46171</x:v>
      </x:c>
      <x:c r="D2330" s="13" t="n">
        <x:v>135.73</x:v>
      </x:c>
    </x:row>
    <x:row r="2331">
      <x:c r="A2331" s="9" t="str">
        <x:v>2327</x:v>
      </x:c>
      <x:c r="B2331" s="9" t="str">
        <x:v>1161</x:v>
      </x:c>
      <x:c r="C2331" s="11" t="n">
        <x:v>46083</x:v>
      </x:c>
      <x:c r="D2331" s="13" t="n">
        <x:v>1260.05</x:v>
      </x:c>
    </x:row>
    <x:row r="2332">
      <x:c r="A2332" s="9" t="str">
        <x:v>2328</x:v>
      </x:c>
      <x:c r="B2332" s="9" t="str">
        <x:v>1164</x:v>
      </x:c>
      <x:c r="C2332" s="11" t="n">
        <x:v>46193</x:v>
      </x:c>
      <x:c r="D2332" s="13" t="n">
        <x:v>976.7</x:v>
      </x:c>
    </x:row>
    <x:row r="2333">
      <x:c r="A2333" s="9" t="str">
        <x:v>2329</x:v>
      </x:c>
      <x:c r="B2333" s="9" t="str">
        <x:v>1164</x:v>
      </x:c>
      <x:c r="C2333" s="11" t="n">
        <x:v>46199</x:v>
      </x:c>
      <x:c r="D2333" s="13" t="n">
        <x:v>1418.43</x:v>
      </x:c>
    </x:row>
    <x:row r="2334">
      <x:c r="A2334" s="9" t="str">
        <x:v>2330</x:v>
      </x:c>
      <x:c r="B2334" s="9" t="str">
        <x:v>1166</x:v>
      </x:c>
      <x:c r="C2334" s="11" t="n">
        <x:v>46142</x:v>
      </x:c>
      <x:c r="D2334" s="13" t="n">
        <x:v>145.41</x:v>
      </x:c>
    </x:row>
    <x:row r="2335">
      <x:c r="A2335" s="9" t="str">
        <x:v>2331</x:v>
      </x:c>
      <x:c r="B2335" s="9" t="str">
        <x:v>1167</x:v>
      </x:c>
      <x:c r="C2335" s="11" t="n">
        <x:v>46112</x:v>
      </x:c>
      <x:c r="D2335" s="13" t="n">
        <x:v>1145.68</x:v>
      </x:c>
    </x:row>
    <x:row r="2336">
      <x:c r="A2336" s="9" t="str">
        <x:v>2332</x:v>
      </x:c>
      <x:c r="B2336" s="9" t="str">
        <x:v>1167</x:v>
      </x:c>
      <x:c r="C2336" s="11" t="n">
        <x:v>46052</x:v>
      </x:c>
      <x:c r="D2336" s="13" t="n">
        <x:v>1465.44</x:v>
      </x:c>
    </x:row>
    <x:row r="2337">
      <x:c r="A2337" s="9" t="str">
        <x:v>2333</x:v>
      </x:c>
      <x:c r="B2337" s="9" t="str">
        <x:v>1167</x:v>
      </x:c>
      <x:c r="C2337" s="11" t="n">
        <x:v>46107</x:v>
      </x:c>
      <x:c r="D2337" s="13" t="n">
        <x:v>1425.39</x:v>
      </x:c>
    </x:row>
    <x:row r="2338">
      <x:c r="A2338" s="9" t="str">
        <x:v>2334</x:v>
      </x:c>
      <x:c r="B2338" s="9" t="str">
        <x:v>1168</x:v>
      </x:c>
      <x:c r="C2338" s="11" t="n">
        <x:v>46202</x:v>
      </x:c>
      <x:c r="D2338" s="13" t="n">
        <x:v>1624.23</x:v>
      </x:c>
    </x:row>
    <x:row r="2339">
      <x:c r="A2339" s="9" t="str">
        <x:v>2335</x:v>
      </x:c>
      <x:c r="B2339" s="9" t="str">
        <x:v>1168</x:v>
      </x:c>
      <x:c r="C2339" s="11" t="n">
        <x:v>46165</x:v>
      </x:c>
      <x:c r="D2339" s="13" t="n">
        <x:v>1451.9</x:v>
      </x:c>
    </x:row>
    <x:row r="2340">
      <x:c r="A2340" s="9" t="str">
        <x:v>2336</x:v>
      </x:c>
      <x:c r="B2340" s="9" t="str">
        <x:v>1169</x:v>
      </x:c>
      <x:c r="C2340" s="11" t="n">
        <x:v>46149</x:v>
      </x:c>
      <x:c r="D2340" s="13" t="n">
        <x:v>246.16</x:v>
      </x:c>
    </x:row>
    <x:row r="2341">
      <x:c r="A2341" s="9" t="str">
        <x:v>2337</x:v>
      </x:c>
      <x:c r="B2341" s="9" t="str">
        <x:v>1169</x:v>
      </x:c>
      <x:c r="C2341" s="11" t="n">
        <x:v>46100</x:v>
      </x:c>
      <x:c r="D2341" s="13" t="n">
        <x:v>124.04</x:v>
      </x:c>
    </x:row>
    <x:row r="2342">
      <x:c r="A2342" s="9" t="str">
        <x:v>2338</x:v>
      </x:c>
      <x:c r="B2342" s="9" t="str">
        <x:v>1169</x:v>
      </x:c>
      <x:c r="C2342" s="11" t="n">
        <x:v>46185</x:v>
      </x:c>
      <x:c r="D2342" s="13" t="n">
        <x:v>164.49</x:v>
      </x:c>
    </x:row>
    <x:row r="2343">
      <x:c r="A2343" s="9" t="str">
        <x:v>2339</x:v>
      </x:c>
      <x:c r="B2343" s="9" t="str">
        <x:v>1170</x:v>
      </x:c>
      <x:c r="C2343" s="11" t="n">
        <x:v>46133</x:v>
      </x:c>
      <x:c r="D2343" s="13" t="n">
        <x:v>476.48</x:v>
      </x:c>
    </x:row>
    <x:row r="2344">
      <x:c r="A2344" s="9" t="str">
        <x:v>2340</x:v>
      </x:c>
      <x:c r="B2344" s="9" t="str">
        <x:v>1170</x:v>
      </x:c>
      <x:c r="C2344" s="11" t="n">
        <x:v>46169</x:v>
      </x:c>
      <x:c r="D2344" s="13" t="n">
        <x:v>780.85</x:v>
      </x:c>
    </x:row>
    <x:row r="2345">
      <x:c r="A2345" s="9" t="str">
        <x:v>2341</x:v>
      </x:c>
      <x:c r="B2345" s="9" t="str">
        <x:v>1171</x:v>
      </x:c>
      <x:c r="C2345" s="11" t="n">
        <x:v>46186</x:v>
      </x:c>
      <x:c r="D2345" s="13" t="n">
        <x:v>962.59</x:v>
      </x:c>
    </x:row>
    <x:row r="2346">
      <x:c r="A2346" s="9" t="str">
        <x:v>2342</x:v>
      </x:c>
      <x:c r="B2346" s="9" t="str">
        <x:v>1171</x:v>
      </x:c>
      <x:c r="C2346" s="11" t="n">
        <x:v>46155</x:v>
      </x:c>
      <x:c r="D2346" s="13" t="n">
        <x:v>66.88</x:v>
      </x:c>
    </x:row>
    <x:row r="2347">
      <x:c r="A2347" s="9" t="str">
        <x:v>2343</x:v>
      </x:c>
      <x:c r="B2347" s="9" t="str">
        <x:v>1171</x:v>
      </x:c>
      <x:c r="C2347" s="11" t="n">
        <x:v>46203</x:v>
      </x:c>
      <x:c r="D2347" s="13" t="n">
        <x:v>126.9</x:v>
      </x:c>
    </x:row>
    <x:row r="2348">
      <x:c r="A2348" s="9" t="str">
        <x:v>2344</x:v>
      </x:c>
      <x:c r="B2348" s="9" t="str">
        <x:v>1172</x:v>
      </x:c>
      <x:c r="C2348" s="11" t="n">
        <x:v>46144</x:v>
      </x:c>
      <x:c r="D2348" s="13" t="n">
        <x:v>417.65</x:v>
      </x:c>
    </x:row>
    <x:row r="2349">
      <x:c r="A2349" s="9" t="str">
        <x:v>2345</x:v>
      </x:c>
      <x:c r="B2349" s="9" t="str">
        <x:v>1173</x:v>
      </x:c>
      <x:c r="C2349" s="11" t="n">
        <x:v>46105</x:v>
      </x:c>
      <x:c r="D2349" s="13" t="n">
        <x:v>27.19</x:v>
      </x:c>
    </x:row>
    <x:row r="2350">
      <x:c r="A2350" s="9" t="str">
        <x:v>2346</x:v>
      </x:c>
      <x:c r="B2350" s="9" t="str">
        <x:v>1174</x:v>
      </x:c>
      <x:c r="C2350" s="11" t="n">
        <x:v>46046</x:v>
      </x:c>
      <x:c r="D2350" s="13" t="n">
        <x:v>225.32</x:v>
      </x:c>
    </x:row>
    <x:row r="2351">
      <x:c r="A2351" s="9" t="str">
        <x:v>2347</x:v>
      </x:c>
      <x:c r="B2351" s="9" t="str">
        <x:v>1174</x:v>
      </x:c>
      <x:c r="C2351" s="11" t="n">
        <x:v>46141</x:v>
      </x:c>
      <x:c r="D2351" s="13" t="n">
        <x:v>158.13</x:v>
      </x:c>
    </x:row>
    <x:row r="2352">
      <x:c r="A2352" s="9" t="str">
        <x:v>2348</x:v>
      </x:c>
      <x:c r="B2352" s="9" t="str">
        <x:v>1175</x:v>
      </x:c>
      <x:c r="C2352" s="11" t="n">
        <x:v>46177</x:v>
      </x:c>
      <x:c r="D2352" s="13" t="n">
        <x:v>98.29</x:v>
      </x:c>
    </x:row>
    <x:row r="2353">
      <x:c r="A2353" s="9" t="str">
        <x:v>2349</x:v>
      </x:c>
      <x:c r="B2353" s="9" t="str">
        <x:v>1176</x:v>
      </x:c>
      <x:c r="C2353" s="11" t="n">
        <x:v>46194</x:v>
      </x:c>
      <x:c r="D2353" s="13" t="n">
        <x:v>1585.86</x:v>
      </x:c>
    </x:row>
    <x:row r="2354">
      <x:c r="A2354" s="9" t="str">
        <x:v>2350</x:v>
      </x:c>
      <x:c r="B2354" s="9" t="str">
        <x:v>1176</x:v>
      </x:c>
      <x:c r="C2354" s="11" t="n">
        <x:v>46051</x:v>
      </x:c>
      <x:c r="D2354" s="13" t="n">
        <x:v>361</x:v>
      </x:c>
    </x:row>
    <x:row r="2355">
      <x:c r="A2355" s="9" t="str">
        <x:v>2351</x:v>
      </x:c>
      <x:c r="B2355" s="9" t="str">
        <x:v>1176</x:v>
      </x:c>
      <x:c r="C2355" s="11" t="n">
        <x:v>46073</x:v>
      </x:c>
      <x:c r="D2355" s="13" t="n">
        <x:v>319.07</x:v>
      </x:c>
    </x:row>
    <x:row r="2356">
      <x:c r="A2356" s="9" t="str">
        <x:v>2352</x:v>
      </x:c>
      <x:c r="B2356" s="9" t="str">
        <x:v>1176</x:v>
      </x:c>
      <x:c r="C2356" s="11" t="n">
        <x:v>46164</x:v>
      </x:c>
      <x:c r="D2356" s="13" t="n">
        <x:v>646.29</x:v>
      </x:c>
    </x:row>
    <x:row r="2357">
      <x:c r="A2357" s="9" t="str">
        <x:v>2353</x:v>
      </x:c>
      <x:c r="B2357" s="9" t="str">
        <x:v>1178</x:v>
      </x:c>
      <x:c r="C2357" s="11" t="n">
        <x:v>46156</x:v>
      </x:c>
      <x:c r="D2357" s="13" t="n">
        <x:v>345.82</x:v>
      </x:c>
    </x:row>
    <x:row r="2358">
      <x:c r="A2358" s="9" t="str">
        <x:v>2354</x:v>
      </x:c>
      <x:c r="B2358" s="9" t="str">
        <x:v>1178</x:v>
      </x:c>
      <x:c r="C2358" s="11" t="n">
        <x:v>46118</x:v>
      </x:c>
      <x:c r="D2358" s="13" t="n">
        <x:v>2251.25</x:v>
      </x:c>
    </x:row>
    <x:row r="2359">
      <x:c r="A2359" s="9" t="str">
        <x:v>2355</x:v>
      </x:c>
      <x:c r="B2359" s="9" t="str">
        <x:v>1178</x:v>
      </x:c>
      <x:c r="C2359" s="11" t="n">
        <x:v>46129</x:v>
      </x:c>
      <x:c r="D2359" s="13" t="n">
        <x:v>1251.12</x:v>
      </x:c>
    </x:row>
    <x:row r="2360">
      <x:c r="A2360" s="9" t="str">
        <x:v>2356</x:v>
      </x:c>
      <x:c r="B2360" s="9" t="str">
        <x:v>1179</x:v>
      </x:c>
      <x:c r="C2360" s="11" t="n">
        <x:v>46079</x:v>
      </x:c>
      <x:c r="D2360" s="13" t="n">
        <x:v>568</x:v>
      </x:c>
    </x:row>
    <x:row r="2361">
      <x:c r="A2361" s="9" t="str">
        <x:v>2357</x:v>
      </x:c>
      <x:c r="B2361" s="9" t="str">
        <x:v>1179</x:v>
      </x:c>
      <x:c r="C2361" s="11" t="n">
        <x:v>46107</x:v>
      </x:c>
      <x:c r="D2361" s="13" t="n">
        <x:v>597.94</x:v>
      </x:c>
    </x:row>
    <x:row r="2362">
      <x:c r="A2362" s="9" t="str">
        <x:v>2358</x:v>
      </x:c>
      <x:c r="B2362" s="9" t="str">
        <x:v>1179</x:v>
      </x:c>
      <x:c r="C2362" s="11" t="n">
        <x:v>46050</x:v>
      </x:c>
      <x:c r="D2362" s="13" t="n">
        <x:v>44.66</x:v>
      </x:c>
    </x:row>
    <x:row r="2363">
      <x:c r="A2363" s="9" t="str">
        <x:v>2359</x:v>
      </x:c>
      <x:c r="B2363" s="9" t="str">
        <x:v>1179</x:v>
      </x:c>
      <x:c r="C2363" s="11" t="n">
        <x:v>46200</x:v>
      </x:c>
      <x:c r="D2363" s="13" t="n">
        <x:v>758.52</x:v>
      </x:c>
    </x:row>
    <x:row r="2364">
      <x:c r="A2364" s="9" t="str">
        <x:v>2360</x:v>
      </x:c>
      <x:c r="B2364" s="9" t="str">
        <x:v>1181</x:v>
      </x:c>
      <x:c r="C2364" s="11" t="n">
        <x:v>46199</x:v>
      </x:c>
      <x:c r="D2364" s="13" t="n">
        <x:v>560.19</x:v>
      </x:c>
    </x:row>
    <x:row r="2365">
      <x:c r="A2365" s="9" t="str">
        <x:v>2361</x:v>
      </x:c>
      <x:c r="B2365" s="9" t="str">
        <x:v>1181</x:v>
      </x:c>
      <x:c r="C2365" s="11" t="n">
        <x:v>46119</x:v>
      </x:c>
      <x:c r="D2365" s="13" t="n">
        <x:v>375.88</x:v>
      </x:c>
    </x:row>
    <x:row r="2366">
      <x:c r="A2366" s="9" t="str">
        <x:v>2362</x:v>
      </x:c>
      <x:c r="B2366" s="9" t="str">
        <x:v>1182</x:v>
      </x:c>
      <x:c r="C2366" s="11" t="n">
        <x:v>46198</x:v>
      </x:c>
      <x:c r="D2366" s="13" t="n">
        <x:v>2426.94</x:v>
      </x:c>
    </x:row>
    <x:row r="2367">
      <x:c r="A2367" s="9" t="str">
        <x:v>2363</x:v>
      </x:c>
      <x:c r="B2367" s="9" t="str">
        <x:v>1182</x:v>
      </x:c>
      <x:c r="C2367" s="11" t="n">
        <x:v>46101</x:v>
      </x:c>
      <x:c r="D2367" s="13" t="n">
        <x:v>742.2</x:v>
      </x:c>
    </x:row>
    <x:row r="2368">
      <x:c r="A2368" s="9" t="str">
        <x:v>2364</x:v>
      </x:c>
      <x:c r="B2368" s="9" t="str">
        <x:v>1182</x:v>
      </x:c>
      <x:c r="C2368" s="11" t="n">
        <x:v>46189</x:v>
      </x:c>
      <x:c r="D2368" s="13" t="n">
        <x:v>2453.9</x:v>
      </x:c>
    </x:row>
    <x:row r="2369">
      <x:c r="A2369" s="9" t="str">
        <x:v>2365</x:v>
      </x:c>
      <x:c r="B2369" s="9" t="str">
        <x:v>1182</x:v>
      </x:c>
      <x:c r="C2369" s="11" t="n">
        <x:v>46130</x:v>
      </x:c>
      <x:c r="D2369" s="13" t="n">
        <x:v>675.05</x:v>
      </x:c>
    </x:row>
    <x:row r="2370">
      <x:c r="A2370" s="9" t="str">
        <x:v>2366</x:v>
      </x:c>
      <x:c r="B2370" s="9" t="str">
        <x:v>1185</x:v>
      </x:c>
      <x:c r="C2370" s="11" t="n">
        <x:v>46155</x:v>
      </x:c>
      <x:c r="D2370" s="13" t="n">
        <x:v>910.7</x:v>
      </x:c>
    </x:row>
    <x:row r="2371">
      <x:c r="A2371" s="9" t="str">
        <x:v>2367</x:v>
      </x:c>
      <x:c r="B2371" s="9" t="str">
        <x:v>1185</x:v>
      </x:c>
      <x:c r="C2371" s="11" t="n">
        <x:v>46175</x:v>
      </x:c>
      <x:c r="D2371" s="13" t="n">
        <x:v>2302.41</x:v>
      </x:c>
    </x:row>
    <x:row r="2372">
      <x:c r="A2372" s="9" t="str">
        <x:v>2368</x:v>
      </x:c>
      <x:c r="B2372" s="9" t="str">
        <x:v>1185</x:v>
      </x:c>
      <x:c r="C2372" s="11" t="n">
        <x:v>46165</x:v>
      </x:c>
      <x:c r="D2372" s="13" t="n">
        <x:v>717.66</x:v>
      </x:c>
    </x:row>
    <x:row r="2373">
      <x:c r="A2373" s="9" t="str">
        <x:v>2369</x:v>
      </x:c>
      <x:c r="B2373" s="9" t="str">
        <x:v>1185</x:v>
      </x:c>
      <x:c r="C2373" s="11" t="n">
        <x:v>46116</x:v>
      </x:c>
      <x:c r="D2373" s="13" t="n">
        <x:v>911.25</x:v>
      </x:c>
    </x:row>
    <x:row r="2374">
      <x:c r="A2374" s="9" t="str">
        <x:v>2370</x:v>
      </x:c>
      <x:c r="B2374" s="9" t="str">
        <x:v>1186</x:v>
      </x:c>
      <x:c r="C2374" s="11" t="n">
        <x:v>46172</x:v>
      </x:c>
      <x:c r="D2374" s="13" t="n">
        <x:v>934.49</x:v>
      </x:c>
    </x:row>
    <x:row r="2375">
      <x:c r="A2375" s="9" t="str">
        <x:v>2371</x:v>
      </x:c>
      <x:c r="B2375" s="9" t="str">
        <x:v>1187</x:v>
      </x:c>
      <x:c r="C2375" s="11" t="n">
        <x:v>46118</x:v>
      </x:c>
      <x:c r="D2375" s="13" t="n">
        <x:v>223.02</x:v>
      </x:c>
    </x:row>
    <x:row r="2376">
      <x:c r="A2376" s="9" t="str">
        <x:v>2372</x:v>
      </x:c>
      <x:c r="B2376" s="9" t="str">
        <x:v>1188</x:v>
      </x:c>
      <x:c r="C2376" s="11" t="n">
        <x:v>46180</x:v>
      </x:c>
      <x:c r="D2376" s="13" t="n">
        <x:v>1084.55</x:v>
      </x:c>
    </x:row>
    <x:row r="2377">
      <x:c r="A2377" s="9" t="str">
        <x:v>2373</x:v>
      </x:c>
      <x:c r="B2377" s="9" t="str">
        <x:v>1189</x:v>
      </x:c>
      <x:c r="C2377" s="11" t="n">
        <x:v>46098</x:v>
      </x:c>
      <x:c r="D2377" s="13" t="n">
        <x:v>495.25</x:v>
      </x:c>
    </x:row>
    <x:row r="2378">
      <x:c r="A2378" s="9" t="str">
        <x:v>2374</x:v>
      </x:c>
      <x:c r="B2378" s="9" t="str">
        <x:v>1190</x:v>
      </x:c>
      <x:c r="C2378" s="11" t="n">
        <x:v>46090</x:v>
      </x:c>
      <x:c r="D2378" s="13" t="n">
        <x:v>132.74</x:v>
      </x:c>
    </x:row>
    <x:row r="2379">
      <x:c r="A2379" s="9" t="str">
        <x:v>2375</x:v>
      </x:c>
      <x:c r="B2379" s="9" t="str">
        <x:v>1190</x:v>
      </x:c>
      <x:c r="C2379" s="11" t="n">
        <x:v>46165</x:v>
      </x:c>
      <x:c r="D2379" s="13" t="n">
        <x:v>301.23</x:v>
      </x:c>
    </x:row>
    <x:row r="2380">
      <x:c r="A2380" s="9" t="str">
        <x:v>2376</x:v>
      </x:c>
      <x:c r="B2380" s="9" t="str">
        <x:v>1190</x:v>
      </x:c>
      <x:c r="C2380" s="11" t="n">
        <x:v>46079</x:v>
      </x:c>
      <x:c r="D2380" s="13" t="n">
        <x:v>17.58</x:v>
      </x:c>
    </x:row>
    <x:row r="2381">
      <x:c r="A2381" s="9" t="str">
        <x:v>2377</x:v>
      </x:c>
      <x:c r="B2381" s="9" t="str">
        <x:v>1191</x:v>
      </x:c>
      <x:c r="C2381" s="11" t="n">
        <x:v>46135</x:v>
      </x:c>
      <x:c r="D2381" s="13" t="n">
        <x:v>473.97</x:v>
      </x:c>
    </x:row>
    <x:row r="2382">
      <x:c r="A2382" s="9" t="str">
        <x:v>2378</x:v>
      </x:c>
      <x:c r="B2382" s="9" t="str">
        <x:v>1191</x:v>
      </x:c>
      <x:c r="C2382" s="11" t="n">
        <x:v>46175</x:v>
      </x:c>
      <x:c r="D2382" s="13" t="n">
        <x:v>29.3</x:v>
      </x:c>
    </x:row>
    <x:row r="2383">
      <x:c r="A2383" s="9" t="str">
        <x:v>2379</x:v>
      </x:c>
      <x:c r="B2383" s="9" t="str">
        <x:v>1191</x:v>
      </x:c>
      <x:c r="C2383" s="11" t="n">
        <x:v>46193</x:v>
      </x:c>
      <x:c r="D2383" s="13" t="n">
        <x:v>309.19</x:v>
      </x:c>
    </x:row>
    <x:row r="2384">
      <x:c r="A2384" s="9" t="str">
        <x:v>2380</x:v>
      </x:c>
      <x:c r="B2384" s="9" t="str">
        <x:v>1191</x:v>
      </x:c>
      <x:c r="C2384" s="11" t="n">
        <x:v>46159</x:v>
      </x:c>
      <x:c r="D2384" s="13" t="n">
        <x:v>237.36</x:v>
      </x:c>
    </x:row>
    <x:row r="2385">
      <x:c r="A2385" s="9" t="str">
        <x:v>2381</x:v>
      </x:c>
      <x:c r="B2385" s="9" t="str">
        <x:v>1192</x:v>
      </x:c>
      <x:c r="C2385" s="11" t="n">
        <x:v>46145</x:v>
      </x:c>
      <x:c r="D2385" s="13" t="n">
        <x:v>688.88</x:v>
      </x:c>
    </x:row>
    <x:row r="2386">
      <x:c r="A2386" s="9" t="str">
        <x:v>2382</x:v>
      </x:c>
      <x:c r="B2386" s="9" t="str">
        <x:v>1192</x:v>
      </x:c>
      <x:c r="C2386" s="11" t="n">
        <x:v>46096</x:v>
      </x:c>
      <x:c r="D2386" s="13" t="n">
        <x:v>1877.91</x:v>
      </x:c>
    </x:row>
    <x:row r="2387">
      <x:c r="A2387" s="9" t="str">
        <x:v>2383</x:v>
      </x:c>
      <x:c r="B2387" s="9" t="str">
        <x:v>1192</x:v>
      </x:c>
      <x:c r="C2387" s="11" t="n">
        <x:v>46149</x:v>
      </x:c>
      <x:c r="D2387" s="13" t="n">
        <x:v>1151.04</x:v>
      </x:c>
    </x:row>
    <x:row r="2388">
      <x:c r="A2388" s="9" t="str">
        <x:v>2384</x:v>
      </x:c>
      <x:c r="B2388" s="9" t="str">
        <x:v>1192</x:v>
      </x:c>
      <x:c r="C2388" s="11" t="n">
        <x:v>46124</x:v>
      </x:c>
      <x:c r="D2388" s="13" t="n">
        <x:v>369.7</x:v>
      </x:c>
    </x:row>
    <x:row r="2389">
      <x:c r="A2389" s="9" t="str">
        <x:v>2385</x:v>
      </x:c>
      <x:c r="B2389" s="9" t="str">
        <x:v>1193</x:v>
      </x:c>
      <x:c r="C2389" s="11" t="n">
        <x:v>46156</x:v>
      </x:c>
      <x:c r="D2389" s="13" t="n">
        <x:v>618.07</x:v>
      </x:c>
    </x:row>
    <x:row r="2390">
      <x:c r="A2390" s="9" t="str">
        <x:v>2386</x:v>
      </x:c>
      <x:c r="B2390" s="9" t="str">
        <x:v>1194</x:v>
      </x:c>
      <x:c r="C2390" s="11" t="n">
        <x:v>46059</x:v>
      </x:c>
      <x:c r="D2390" s="13" t="n">
        <x:v>901.76</x:v>
      </x:c>
    </x:row>
    <x:row r="2391">
      <x:c r="A2391" s="9" t="str">
        <x:v>2387</x:v>
      </x:c>
      <x:c r="B2391" s="9" t="str">
        <x:v>1194</x:v>
      </x:c>
      <x:c r="C2391" s="11" t="n">
        <x:v>46174</x:v>
      </x:c>
      <x:c r="D2391" s="13" t="n">
        <x:v>1351.12</x:v>
      </x:c>
    </x:row>
    <x:row r="2392">
      <x:c r="A2392" s="9" t="str">
        <x:v>2388</x:v>
      </x:c>
      <x:c r="B2392" s="9" t="str">
        <x:v>1195</x:v>
      </x:c>
      <x:c r="C2392" s="11" t="n">
        <x:v>46145</x:v>
      </x:c>
      <x:c r="D2392" s="13" t="n">
        <x:v>236.32</x:v>
      </x:c>
    </x:row>
    <x:row r="2393">
      <x:c r="A2393" s="9" t="str">
        <x:v>2389</x:v>
      </x:c>
      <x:c r="B2393" s="9" t="str">
        <x:v>1195</x:v>
      </x:c>
      <x:c r="C2393" s="11" t="n">
        <x:v>46192</x:v>
      </x:c>
      <x:c r="D2393" s="13" t="n">
        <x:v>229.7</x:v>
      </x:c>
    </x:row>
    <x:row r="2394">
      <x:c r="A2394" s="9" t="str">
        <x:v>2390</x:v>
      </x:c>
      <x:c r="B2394" s="9" t="str">
        <x:v>1196</x:v>
      </x:c>
      <x:c r="C2394" s="11" t="n">
        <x:v>46082</x:v>
      </x:c>
      <x:c r="D2394" s="13" t="n">
        <x:v>494.6</x:v>
      </x:c>
    </x:row>
    <x:row r="2395">
      <x:c r="A2395" s="9" t="str">
        <x:v>2391</x:v>
      </x:c>
      <x:c r="B2395" s="9" t="str">
        <x:v>1196</x:v>
      </x:c>
      <x:c r="C2395" s="11" t="n">
        <x:v>46060</x:v>
      </x:c>
      <x:c r="D2395" s="13" t="n">
        <x:v>506.1</x:v>
      </x:c>
    </x:row>
    <x:row r="2396">
      <x:c r="A2396" s="9" t="str">
        <x:v>2392</x:v>
      </x:c>
      <x:c r="B2396" s="9" t="str">
        <x:v>1196</x:v>
      </x:c>
      <x:c r="C2396" s="11" t="n">
        <x:v>46168</x:v>
      </x:c>
      <x:c r="D2396" s="13" t="n">
        <x:v>557.9</x:v>
      </x:c>
    </x:row>
    <x:row r="2397">
      <x:c r="A2397" s="9" t="str">
        <x:v>2393</x:v>
      </x:c>
      <x:c r="B2397" s="9" t="str">
        <x:v>1196</x:v>
      </x:c>
      <x:c r="C2397" s="11" t="n">
        <x:v>46035</x:v>
      </x:c>
      <x:c r="D2397" s="13" t="n">
        <x:v>754.25</x:v>
      </x:c>
    </x:row>
    <x:row r="2398">
      <x:c r="A2398" s="9" t="str">
        <x:v>2394</x:v>
      </x:c>
      <x:c r="B2398" s="9" t="str">
        <x:v>1197</x:v>
      </x:c>
      <x:c r="C2398" s="11" t="n">
        <x:v>46091</x:v>
      </x:c>
      <x:c r="D2398" s="13" t="n">
        <x:v>1272.77</x:v>
      </x:c>
    </x:row>
    <x:row r="2399">
      <x:c r="A2399" s="9" t="str">
        <x:v>2395</x:v>
      </x:c>
      <x:c r="B2399" s="9" t="str">
        <x:v>1197</x:v>
      </x:c>
      <x:c r="C2399" s="11" t="n">
        <x:v>46046</x:v>
      </x:c>
      <x:c r="D2399" s="13" t="n">
        <x:v>467.12</x:v>
      </x:c>
    </x:row>
    <x:row r="2400">
      <x:c r="A2400" s="9" t="str">
        <x:v>2396</x:v>
      </x:c>
      <x:c r="B2400" s="9" t="str">
        <x:v>1198</x:v>
      </x:c>
      <x:c r="C2400" s="11" t="n">
        <x:v>46180</x:v>
      </x:c>
      <x:c r="D2400" s="13" t="n">
        <x:v>1204.35</x:v>
      </x:c>
    </x:row>
    <x:row r="2401">
      <x:c r="A2401" s="9" t="str">
        <x:v>2397</x:v>
      </x:c>
      <x:c r="B2401" s="9" t="str">
        <x:v>1200</x:v>
      </x:c>
      <x:c r="C2401" s="11" t="n">
        <x:v>46165</x:v>
      </x:c>
      <x:c r="D2401" s="13" t="n">
        <x:v>413.78</x:v>
      </x:c>
    </x:row>
    <x:row r="2402">
      <x:c r="A2402" s="9" t="str">
        <x:v>2398</x:v>
      </x:c>
      <x:c r="B2402" s="9" t="str">
        <x:v>1200</x:v>
      </x:c>
      <x:c r="C2402" s="11" t="n">
        <x:v>46188</x:v>
      </x:c>
      <x:c r="D2402" s="13" t="n">
        <x:v>63.75</x:v>
      </x:c>
    </x:row>
    <x:row r="2403">
      <x:c r="A2403" s="9" t="str">
        <x:v>2399</x:v>
      </x:c>
      <x:c r="B2403" s="9" t="str">
        <x:v>1200</x:v>
      </x:c>
      <x:c r="C2403" s="11" t="n">
        <x:v>46185</x:v>
      </x:c>
      <x:c r="D2403" s="13" t="n">
        <x:v>605.62</x:v>
      </x:c>
    </x:row>
    <x:row r="2404">
      <x:c r="A2404" s="9" t="str">
        <x:v>2400</x:v>
      </x:c>
      <x:c r="B2404" s="9" t="str">
        <x:v>1200</x:v>
      </x:c>
      <x:c r="C2404" s="11" t="n">
        <x:v>46168</x:v>
      </x:c>
      <x:c r="D2404" s="13" t="n">
        <x:v>746.75</x:v>
      </x:c>
    </x:row>
    <x:row r="2405">
      <x:c r="A2405" s="9" t="str">
        <x:v>2401</x:v>
      </x:c>
      <x:c r="B2405" s="9" t="str">
        <x:v>1201</x:v>
      </x:c>
      <x:c r="C2405" s="11" t="n">
        <x:v>46101</x:v>
      </x:c>
      <x:c r="D2405" s="13" t="n">
        <x:v>1188.89</x:v>
      </x:c>
    </x:row>
    <x:row r="2406">
      <x:c r="A2406" s="9" t="str">
        <x:v>2402</x:v>
      </x:c>
      <x:c r="B2406" s="9" t="str">
        <x:v>1201</x:v>
      </x:c>
      <x:c r="C2406" s="11" t="n">
        <x:v>46187</x:v>
      </x:c>
      <x:c r="D2406" s="13" t="n">
        <x:v>308.7</x:v>
      </x:c>
    </x:row>
    <x:row r="2407">
      <x:c r="A2407" s="9" t="str">
        <x:v>2403</x:v>
      </x:c>
      <x:c r="B2407" s="9" t="str">
        <x:v>1202</x:v>
      </x:c>
      <x:c r="C2407" s="11" t="n">
        <x:v>46139</x:v>
      </x:c>
      <x:c r="D2407" s="13" t="n">
        <x:v>1244.7</x:v>
      </x:c>
    </x:row>
    <x:row r="2408">
      <x:c r="A2408" s="9" t="str">
        <x:v>2404</x:v>
      </x:c>
      <x:c r="B2408" s="9" t="str">
        <x:v>1202</x:v>
      </x:c>
      <x:c r="C2408" s="11" t="n">
        <x:v>46141</x:v>
      </x:c>
      <x:c r="D2408" s="13" t="n">
        <x:v>1446.53</x:v>
      </x:c>
    </x:row>
    <x:row r="2409">
      <x:c r="A2409" s="9" t="str">
        <x:v>2405</x:v>
      </x:c>
      <x:c r="B2409" s="9" t="str">
        <x:v>1202</x:v>
      </x:c>
      <x:c r="C2409" s="11" t="n">
        <x:v>46147</x:v>
      </x:c>
      <x:c r="D2409" s="13" t="n">
        <x:v>489.81</x:v>
      </x:c>
    </x:row>
    <x:row r="2410">
      <x:c r="A2410" s="9" t="str">
        <x:v>2406</x:v>
      </x:c>
      <x:c r="B2410" s="9" t="str">
        <x:v>1203</x:v>
      </x:c>
      <x:c r="C2410" s="11" t="n">
        <x:v>46104</x:v>
      </x:c>
      <x:c r="D2410" s="13" t="n">
        <x:v>2184.27</x:v>
      </x:c>
    </x:row>
    <x:row r="2411">
      <x:c r="A2411" s="9" t="str">
        <x:v>2407</x:v>
      </x:c>
      <x:c r="B2411" s="9" t="str">
        <x:v>1205</x:v>
      </x:c>
      <x:c r="C2411" s="11" t="n">
        <x:v>46089</x:v>
      </x:c>
      <x:c r="D2411" s="13" t="n">
        <x:v>1089.68</x:v>
      </x:c>
    </x:row>
    <x:row r="2412">
      <x:c r="A2412" s="9" t="str">
        <x:v>2408</x:v>
      </x:c>
      <x:c r="B2412" s="9" t="str">
        <x:v>1205</x:v>
      </x:c>
      <x:c r="C2412" s="11" t="n">
        <x:v>46059</x:v>
      </x:c>
      <x:c r="D2412" s="13" t="n">
        <x:v>330.82</x:v>
      </x:c>
    </x:row>
    <x:row r="2413">
      <x:c r="A2413" s="9" t="str">
        <x:v>2409</x:v>
      </x:c>
      <x:c r="B2413" s="9" t="str">
        <x:v>1205</x:v>
      </x:c>
      <x:c r="C2413" s="11" t="n">
        <x:v>46083</x:v>
      </x:c>
      <x:c r="D2413" s="13" t="n">
        <x:v>2118.78</x:v>
      </x:c>
    </x:row>
    <x:row r="2414">
      <x:c r="A2414" s="9" t="str">
        <x:v>2410</x:v>
      </x:c>
      <x:c r="B2414" s="9" t="str">
        <x:v>1206</x:v>
      </x:c>
      <x:c r="C2414" s="11" t="n">
        <x:v>46149</x:v>
      </x:c>
      <x:c r="D2414" s="13" t="n">
        <x:v>817.02</x:v>
      </x:c>
    </x:row>
    <x:row r="2415">
      <x:c r="A2415" s="9" t="str">
        <x:v>2411</x:v>
      </x:c>
      <x:c r="B2415" s="9" t="str">
        <x:v>1206</x:v>
      </x:c>
      <x:c r="C2415" s="11" t="n">
        <x:v>46180</x:v>
      </x:c>
      <x:c r="D2415" s="13" t="n">
        <x:v>891.98</x:v>
      </x:c>
    </x:row>
    <x:row r="2416">
      <x:c r="A2416" s="9" t="str">
        <x:v>2412</x:v>
      </x:c>
      <x:c r="B2416" s="9" t="str">
        <x:v>1206</x:v>
      </x:c>
      <x:c r="C2416" s="11" t="n">
        <x:v>46203</x:v>
      </x:c>
      <x:c r="D2416" s="13" t="n">
        <x:v>713.21</x:v>
      </x:c>
    </x:row>
    <x:row r="2417">
      <x:c r="A2417" s="9" t="str">
        <x:v>2413</x:v>
      </x:c>
      <x:c r="B2417" s="9" t="str">
        <x:v>1206</x:v>
      </x:c>
      <x:c r="C2417" s="11" t="n">
        <x:v>46175</x:v>
      </x:c>
      <x:c r="D2417" s="13" t="n">
        <x:v>219.37</x:v>
      </x:c>
    </x:row>
    <x:row r="2418">
      <x:c r="A2418" s="9" t="str">
        <x:v>2414</x:v>
      </x:c>
      <x:c r="B2418" s="9" t="str">
        <x:v>1208</x:v>
      </x:c>
      <x:c r="C2418" s="11" t="n">
        <x:v>46161</x:v>
      </x:c>
      <x:c r="D2418" s="13" t="n">
        <x:v>1492.63</x:v>
      </x:c>
    </x:row>
    <x:row r="2419">
      <x:c r="A2419" s="9" t="str">
        <x:v>2415</x:v>
      </x:c>
      <x:c r="B2419" s="9" t="str">
        <x:v>1208</x:v>
      </x:c>
      <x:c r="C2419" s="11" t="n">
        <x:v>46140</x:v>
      </x:c>
      <x:c r="D2419" s="13" t="n">
        <x:v>1107.19</x:v>
      </x:c>
    </x:row>
    <x:row r="2420">
      <x:c r="A2420" s="9" t="str">
        <x:v>2416</x:v>
      </x:c>
      <x:c r="B2420" s="9" t="str">
        <x:v>1210</x:v>
      </x:c>
      <x:c r="C2420" s="11" t="n">
        <x:v>46138</x:v>
      </x:c>
      <x:c r="D2420" s="13" t="n">
        <x:v>83.16</x:v>
      </x:c>
    </x:row>
    <x:row r="2421">
      <x:c r="A2421" s="9" t="str">
        <x:v>2417</x:v>
      </x:c>
      <x:c r="B2421" s="9" t="str">
        <x:v>1210</x:v>
      </x:c>
      <x:c r="C2421" s="11" t="n">
        <x:v>46149</x:v>
      </x:c>
      <x:c r="D2421" s="13" t="n">
        <x:v>318.98</x:v>
      </x:c>
    </x:row>
    <x:row r="2422">
      <x:c r="A2422" s="9" t="str">
        <x:v>2418</x:v>
      </x:c>
      <x:c r="B2422" s="9" t="str">
        <x:v>1210</x:v>
      </x:c>
      <x:c r="C2422" s="11" t="n">
        <x:v>46134</x:v>
      </x:c>
      <x:c r="D2422" s="13" t="n">
        <x:v>13.65</x:v>
      </x:c>
    </x:row>
    <x:row r="2423">
      <x:c r="A2423" s="9" t="str">
        <x:v>2419</x:v>
      </x:c>
      <x:c r="B2423" s="9" t="str">
        <x:v>1210</x:v>
      </x:c>
      <x:c r="C2423" s="11" t="n">
        <x:v>46167</x:v>
      </x:c>
      <x:c r="D2423" s="13" t="n">
        <x:v>257</x:v>
      </x:c>
    </x:row>
    <x:row r="2424">
      <x:c r="A2424" s="9" t="str">
        <x:v>2420</x:v>
      </x:c>
      <x:c r="B2424" s="9" t="str">
        <x:v>1211</x:v>
      </x:c>
      <x:c r="C2424" s="11" t="n">
        <x:v>46120</x:v>
      </x:c>
      <x:c r="D2424" s="13" t="n">
        <x:v>71.04</x:v>
      </x:c>
    </x:row>
    <x:row r="2425">
      <x:c r="A2425" s="9" t="str">
        <x:v>2421</x:v>
      </x:c>
      <x:c r="B2425" s="9" t="str">
        <x:v>1211</x:v>
      </x:c>
      <x:c r="C2425" s="11" t="n">
        <x:v>46087</x:v>
      </x:c>
      <x:c r="D2425" s="13" t="n">
        <x:v>10.96</x:v>
      </x:c>
    </x:row>
    <x:row r="2426">
      <x:c r="A2426" s="9" t="str">
        <x:v>2422</x:v>
      </x:c>
      <x:c r="B2426" s="9" t="str">
        <x:v>1211</x:v>
      </x:c>
      <x:c r="C2426" s="11" t="n">
        <x:v>46047</x:v>
      </x:c>
      <x:c r="D2426" s="13" t="n">
        <x:v>304.1</x:v>
      </x:c>
    </x:row>
    <x:row r="2427">
      <x:c r="A2427" s="9" t="str">
        <x:v>2423</x:v>
      </x:c>
      <x:c r="B2427" s="9" t="str">
        <x:v>1211</x:v>
      </x:c>
      <x:c r="C2427" s="11" t="n">
        <x:v>46157</x:v>
      </x:c>
      <x:c r="D2427" s="13" t="n">
        <x:v>84.99</x:v>
      </x:c>
    </x:row>
    <x:row r="2428">
      <x:c r="A2428" s="9" t="str">
        <x:v>2424</x:v>
      </x:c>
      <x:c r="B2428" s="9" t="str">
        <x:v>1213</x:v>
      </x:c>
      <x:c r="C2428" s="11" t="n">
        <x:v>46163</x:v>
      </x:c>
      <x:c r="D2428" s="13" t="n">
        <x:v>397.95</x:v>
      </x:c>
    </x:row>
    <x:row r="2429">
      <x:c r="A2429" s="9" t="str">
        <x:v>2425</x:v>
      </x:c>
      <x:c r="B2429" s="9" t="str">
        <x:v>1216</x:v>
      </x:c>
      <x:c r="C2429" s="11" t="n">
        <x:v>46181</x:v>
      </x:c>
      <x:c r="D2429" s="13" t="n">
        <x:v>38.71</x:v>
      </x:c>
    </x:row>
    <x:row r="2430">
      <x:c r="A2430" s="9" t="str">
        <x:v>2426</x:v>
      </x:c>
      <x:c r="B2430" s="9" t="str">
        <x:v>1217</x:v>
      </x:c>
      <x:c r="C2430" s="11" t="n">
        <x:v>46073</x:v>
      </x:c>
      <x:c r="D2430" s="13" t="n">
        <x:v>15.86</x:v>
      </x:c>
    </x:row>
    <x:row r="2431">
      <x:c r="A2431" s="9" t="str">
        <x:v>2427</x:v>
      </x:c>
      <x:c r="B2431" s="9" t="str">
        <x:v>1219</x:v>
      </x:c>
      <x:c r="C2431" s="11" t="n">
        <x:v>46146</x:v>
      </x:c>
      <x:c r="D2431" s="13" t="n">
        <x:v>343.37</x:v>
      </x:c>
    </x:row>
    <x:row r="2432">
      <x:c r="A2432" s="9" t="str">
        <x:v>2428</x:v>
      </x:c>
      <x:c r="B2432" s="9" t="str">
        <x:v>1220</x:v>
      </x:c>
      <x:c r="C2432" s="11" t="n">
        <x:v>46171</x:v>
      </x:c>
      <x:c r="D2432" s="13" t="n">
        <x:v>697.38</x:v>
      </x:c>
    </x:row>
    <x:row r="2433">
      <x:c r="A2433" s="9" t="str">
        <x:v>2429</x:v>
      </x:c>
      <x:c r="B2433" s="9" t="str">
        <x:v>1220</x:v>
      </x:c>
      <x:c r="C2433" s="11" t="n">
        <x:v>46157</x:v>
      </x:c>
      <x:c r="D2433" s="13" t="n">
        <x:v>251.85</x:v>
      </x:c>
    </x:row>
    <x:row r="2434">
      <x:c r="A2434" s="9" t="str">
        <x:v>2430</x:v>
      </x:c>
      <x:c r="B2434" s="9" t="str">
        <x:v>1220</x:v>
      </x:c>
      <x:c r="C2434" s="11" t="n">
        <x:v>46183</x:v>
      </x:c>
      <x:c r="D2434" s="13" t="n">
        <x:v>548.35</x:v>
      </x:c>
    </x:row>
    <x:row r="2435">
      <x:c r="A2435" s="9" t="str">
        <x:v>2431</x:v>
      </x:c>
      <x:c r="B2435" s="9" t="str">
        <x:v>1220</x:v>
      </x:c>
      <x:c r="C2435" s="11" t="n">
        <x:v>46155</x:v>
      </x:c>
      <x:c r="D2435" s="13" t="n">
        <x:v>822.49</x:v>
      </x:c>
    </x:row>
    <x:row r="2436">
      <x:c r="A2436" s="9" t="str">
        <x:v>2432</x:v>
      </x:c>
      <x:c r="B2436" s="9" t="str">
        <x:v>1221</x:v>
      </x:c>
      <x:c r="C2436" s="11" t="n">
        <x:v>46173</x:v>
      </x:c>
      <x:c r="D2436" s="13" t="n">
        <x:v>1539.36</x:v>
      </x:c>
    </x:row>
    <x:row r="2437">
      <x:c r="A2437" s="9" t="str">
        <x:v>2433</x:v>
      </x:c>
      <x:c r="B2437" s="9" t="str">
        <x:v>1221</x:v>
      </x:c>
      <x:c r="C2437" s="11" t="n">
        <x:v>46145</x:v>
      </x:c>
      <x:c r="D2437" s="13" t="n">
        <x:v>473.78</x:v>
      </x:c>
    </x:row>
    <x:row r="2438">
      <x:c r="A2438" s="9" t="str">
        <x:v>2434</x:v>
      </x:c>
      <x:c r="B2438" s="9" t="str">
        <x:v>1221</x:v>
      </x:c>
      <x:c r="C2438" s="11" t="n">
        <x:v>46169</x:v>
      </x:c>
      <x:c r="D2438" s="13" t="n">
        <x:v>913.74</x:v>
      </x:c>
    </x:row>
    <x:row r="2439">
      <x:c r="A2439" s="9" t="str">
        <x:v>2435</x:v>
      </x:c>
      <x:c r="B2439" s="9" t="str">
        <x:v>1221</x:v>
      </x:c>
      <x:c r="C2439" s="11" t="n">
        <x:v>46196</x:v>
      </x:c>
      <x:c r="D2439" s="13" t="n">
        <x:v>1609.79</x:v>
      </x:c>
    </x:row>
    <x:row r="2440">
      <x:c r="A2440" s="9" t="str">
        <x:v>2436</x:v>
      </x:c>
      <x:c r="B2440" s="9" t="str">
        <x:v>1222</x:v>
      </x:c>
      <x:c r="C2440" s="11" t="n">
        <x:v>46192</x:v>
      </x:c>
      <x:c r="D2440" s="13" t="n">
        <x:v>1359.43</x:v>
      </x:c>
    </x:row>
    <x:row r="2441">
      <x:c r="A2441" s="9" t="str">
        <x:v>2437</x:v>
      </x:c>
      <x:c r="B2441" s="9" t="str">
        <x:v>1222</x:v>
      </x:c>
      <x:c r="C2441" s="11" t="n">
        <x:v>46191</x:v>
      </x:c>
      <x:c r="D2441" s="13" t="n">
        <x:v>1308.74</x:v>
      </x:c>
    </x:row>
    <x:row r="2442">
      <x:c r="A2442" s="9" t="str">
        <x:v>2438</x:v>
      </x:c>
      <x:c r="B2442" s="9" t="str">
        <x:v>1222</x:v>
      </x:c>
      <x:c r="C2442" s="11" t="n">
        <x:v>46186</x:v>
      </x:c>
      <x:c r="D2442" s="13" t="n">
        <x:v>500.97</x:v>
      </x:c>
    </x:row>
    <x:row r="2443">
      <x:c r="A2443" s="9" t="str">
        <x:v>2439</x:v>
      </x:c>
      <x:c r="B2443" s="9" t="str">
        <x:v>1224</x:v>
      </x:c>
      <x:c r="C2443" s="11" t="n">
        <x:v>46197</x:v>
      </x:c>
      <x:c r="D2443" s="13" t="n">
        <x:v>394.81</x:v>
      </x:c>
    </x:row>
    <x:row r="2444">
      <x:c r="A2444" s="9" t="str">
        <x:v>2440</x:v>
      </x:c>
      <x:c r="B2444" s="9" t="str">
        <x:v>1224</x:v>
      </x:c>
      <x:c r="C2444" s="11" t="n">
        <x:v>46118</x:v>
      </x:c>
      <x:c r="D2444" s="13" t="n">
        <x:v>186.52</x:v>
      </x:c>
    </x:row>
    <x:row r="2445">
      <x:c r="A2445" s="9" t="str">
        <x:v>2441</x:v>
      </x:c>
      <x:c r="B2445" s="9" t="str">
        <x:v>1224</x:v>
      </x:c>
      <x:c r="C2445" s="11" t="n">
        <x:v>46048</x:v>
      </x:c>
      <x:c r="D2445" s="13" t="n">
        <x:v>604.61</x:v>
      </x:c>
    </x:row>
    <x:row r="2446">
      <x:c r="A2446" s="9" t="str">
        <x:v>2442</x:v>
      </x:c>
      <x:c r="B2446" s="9" t="str">
        <x:v>1225</x:v>
      </x:c>
      <x:c r="C2446" s="11" t="n">
        <x:v>46172</x:v>
      </x:c>
      <x:c r="D2446" s="13" t="n">
        <x:v>2841.92</x:v>
      </x:c>
    </x:row>
    <x:row r="2447">
      <x:c r="A2447" s="9" t="str">
        <x:v>2443</x:v>
      </x:c>
      <x:c r="B2447" s="9" t="str">
        <x:v>1225</x:v>
      </x:c>
      <x:c r="C2447" s="11" t="n">
        <x:v>46159</x:v>
      </x:c>
      <x:c r="D2447" s="13" t="n">
        <x:v>1725.6</x:v>
      </x:c>
    </x:row>
    <x:row r="2448">
      <x:c r="A2448" s="9" t="str">
        <x:v>2444</x:v>
      </x:c>
      <x:c r="B2448" s="9" t="str">
        <x:v>1225</x:v>
      </x:c>
      <x:c r="C2448" s="11" t="n">
        <x:v>46101</x:v>
      </x:c>
      <x:c r="D2448" s="13" t="n">
        <x:v>1567.77</x:v>
      </x:c>
    </x:row>
    <x:row r="2449">
      <x:c r="A2449" s="9" t="str">
        <x:v>2445</x:v>
      </x:c>
      <x:c r="B2449" s="9" t="str">
        <x:v>1225</x:v>
      </x:c>
      <x:c r="C2449" s="11" t="n">
        <x:v>46136</x:v>
      </x:c>
      <x:c r="D2449" s="13" t="n">
        <x:v>720.05</x:v>
      </x:c>
    </x:row>
    <x:row r="2450">
      <x:c r="A2450" s="9" t="str">
        <x:v>2446</x:v>
      </x:c>
      <x:c r="B2450" s="9" t="str">
        <x:v>1226</x:v>
      </x:c>
      <x:c r="C2450" s="11" t="n">
        <x:v>46110</x:v>
      </x:c>
      <x:c r="D2450" s="13" t="n">
        <x:v>314.25</x:v>
      </x:c>
    </x:row>
    <x:row r="2451">
      <x:c r="A2451" s="9" t="str">
        <x:v>2447</x:v>
      </x:c>
      <x:c r="B2451" s="9" t="str">
        <x:v>1226</x:v>
      </x:c>
      <x:c r="C2451" s="11" t="n">
        <x:v>46169</x:v>
      </x:c>
      <x:c r="D2451" s="13" t="n">
        <x:v>757.4</x:v>
      </x:c>
    </x:row>
    <x:row r="2452">
      <x:c r="A2452" s="9" t="str">
        <x:v>2448</x:v>
      </x:c>
      <x:c r="B2452" s="9" t="str">
        <x:v>1228</x:v>
      </x:c>
      <x:c r="C2452" s="11" t="n">
        <x:v>46158</x:v>
      </x:c>
      <x:c r="D2452" s="13" t="n">
        <x:v>45.27</x:v>
      </x:c>
    </x:row>
    <x:row r="2453">
      <x:c r="A2453" s="9" t="str">
        <x:v>2449</x:v>
      </x:c>
      <x:c r="B2453" s="9" t="str">
        <x:v>1228</x:v>
      </x:c>
      <x:c r="C2453" s="11" t="n">
        <x:v>46146</x:v>
      </x:c>
      <x:c r="D2453" s="13" t="n">
        <x:v>37.29</x:v>
      </x:c>
    </x:row>
    <x:row r="2454">
      <x:c r="A2454" s="9" t="str">
        <x:v>2450</x:v>
      </x:c>
      <x:c r="B2454" s="9" t="str">
        <x:v>1228</x:v>
      </x:c>
      <x:c r="C2454" s="11" t="n">
        <x:v>46181</x:v>
      </x:c>
      <x:c r="D2454" s="13" t="n">
        <x:v>22.52</x:v>
      </x:c>
    </x:row>
    <x:row r="2455">
      <x:c r="A2455" s="9" t="str">
        <x:v>2451</x:v>
      </x:c>
      <x:c r="B2455" s="9" t="str">
        <x:v>1228</x:v>
      </x:c>
      <x:c r="C2455" s="11" t="n">
        <x:v>46168</x:v>
      </x:c>
      <x:c r="D2455" s="13" t="n">
        <x:v>72.62</x:v>
      </x:c>
    </x:row>
    <x:row r="2456">
      <x:c r="A2456" s="9" t="str">
        <x:v>2452</x:v>
      </x:c>
      <x:c r="B2456" s="9" t="str">
        <x:v>1229</x:v>
      </x:c>
      <x:c r="C2456" s="11" t="n">
        <x:v>46155</x:v>
      </x:c>
      <x:c r="D2456" s="13" t="n">
        <x:v>423.85</x:v>
      </x:c>
    </x:row>
    <x:row r="2457">
      <x:c r="A2457" s="9" t="str">
        <x:v>2453</x:v>
      </x:c>
      <x:c r="B2457" s="9" t="str">
        <x:v>1229</x:v>
      </x:c>
      <x:c r="C2457" s="11" t="n">
        <x:v>46105</x:v>
      </x:c>
      <x:c r="D2457" s="13" t="n">
        <x:v>137.05</x:v>
      </x:c>
    </x:row>
    <x:row r="2458">
      <x:c r="A2458" s="9" t="str">
        <x:v>2454</x:v>
      </x:c>
      <x:c r="B2458" s="9" t="str">
        <x:v>1229</x:v>
      </x:c>
      <x:c r="C2458" s="11" t="n">
        <x:v>46167</x:v>
      </x:c>
      <x:c r="D2458" s="13" t="n">
        <x:v>77.93</x:v>
      </x:c>
    </x:row>
    <x:row r="2459">
      <x:c r="A2459" s="9" t="str">
        <x:v>2455</x:v>
      </x:c>
      <x:c r="B2459" s="9" t="str">
        <x:v>1229</x:v>
      </x:c>
      <x:c r="C2459" s="11" t="n">
        <x:v>46167</x:v>
      </x:c>
      <x:c r="D2459" s="13" t="n">
        <x:v>652.5</x:v>
      </x:c>
    </x:row>
    <x:row r="2460">
      <x:c r="A2460" s="9" t="str">
        <x:v>2456</x:v>
      </x:c>
      <x:c r="B2460" s="9" t="str">
        <x:v>1230</x:v>
      </x:c>
      <x:c r="C2460" s="11" t="n">
        <x:v>46139</x:v>
      </x:c>
      <x:c r="D2460" s="13" t="n">
        <x:v>417.64</x:v>
      </x:c>
    </x:row>
    <x:row r="2461">
      <x:c r="A2461" s="9" t="str">
        <x:v>2457</x:v>
      </x:c>
      <x:c r="B2461" s="9" t="str">
        <x:v>1230</x:v>
      </x:c>
      <x:c r="C2461" s="11" t="n">
        <x:v>46155</x:v>
      </x:c>
      <x:c r="D2461" s="13" t="n">
        <x:v>397.17</x:v>
      </x:c>
    </x:row>
    <x:row r="2462">
      <x:c r="A2462" s="9" t="str">
        <x:v>2458</x:v>
      </x:c>
      <x:c r="B2462" s="9" t="str">
        <x:v>1232</x:v>
      </x:c>
      <x:c r="C2462" s="11" t="n">
        <x:v>46145</x:v>
      </x:c>
      <x:c r="D2462" s="13" t="n">
        <x:v>1661.17</x:v>
      </x:c>
    </x:row>
    <x:row r="2463">
      <x:c r="A2463" s="9" t="str">
        <x:v>2459</x:v>
      </x:c>
      <x:c r="B2463" s="9" t="str">
        <x:v>1232</x:v>
      </x:c>
      <x:c r="C2463" s="11" t="n">
        <x:v>46178</x:v>
      </x:c>
      <x:c r="D2463" s="13" t="n">
        <x:v>1813.71</x:v>
      </x:c>
    </x:row>
    <x:row r="2464">
      <x:c r="A2464" s="9" t="str">
        <x:v>2460</x:v>
      </x:c>
      <x:c r="B2464" s="9" t="str">
        <x:v>1232</x:v>
      </x:c>
      <x:c r="C2464" s="11" t="n">
        <x:v>46165</x:v>
      </x:c>
      <x:c r="D2464" s="13" t="n">
        <x:v>2057.99</x:v>
      </x:c>
    </x:row>
    <x:row r="2465">
      <x:c r="A2465" s="9" t="str">
        <x:v>2461</x:v>
      </x:c>
      <x:c r="B2465" s="9" t="str">
        <x:v>1233</x:v>
      </x:c>
      <x:c r="C2465" s="11" t="n">
        <x:v>46114</x:v>
      </x:c>
      <x:c r="D2465" s="13" t="n">
        <x:v>2020.78</x:v>
      </x:c>
    </x:row>
    <x:row r="2466">
      <x:c r="A2466" s="9" t="str">
        <x:v>2462</x:v>
      </x:c>
      <x:c r="B2466" s="9" t="str">
        <x:v>1233</x:v>
      </x:c>
      <x:c r="C2466" s="11" t="n">
        <x:v>46074</x:v>
      </x:c>
      <x:c r="D2466" s="13" t="n">
        <x:v>1351.09</x:v>
      </x:c>
    </x:row>
    <x:row r="2467">
      <x:c r="A2467" s="9" t="str">
        <x:v>2463</x:v>
      </x:c>
      <x:c r="B2467" s="9" t="str">
        <x:v>1234</x:v>
      </x:c>
      <x:c r="C2467" s="11" t="n">
        <x:v>46145</x:v>
      </x:c>
      <x:c r="D2467" s="13" t="n">
        <x:v>693.07</x:v>
      </x:c>
    </x:row>
    <x:row r="2468">
      <x:c r="A2468" s="9" t="str">
        <x:v>2464</x:v>
      </x:c>
      <x:c r="B2468" s="9" t="str">
        <x:v>1234</x:v>
      </x:c>
      <x:c r="C2468" s="11" t="n">
        <x:v>46161</x:v>
      </x:c>
      <x:c r="D2468" s="13" t="n">
        <x:v>1633.07</x:v>
      </x:c>
    </x:row>
    <x:row r="2469">
      <x:c r="A2469" s="9" t="str">
        <x:v>2465</x:v>
      </x:c>
      <x:c r="B2469" s="9" t="str">
        <x:v>1234</x:v>
      </x:c>
      <x:c r="C2469" s="11" t="n">
        <x:v>46157</x:v>
      </x:c>
      <x:c r="D2469" s="13" t="n">
        <x:v>1763.94</x:v>
      </x:c>
    </x:row>
    <x:row r="2470">
      <x:c r="A2470" s="9" t="str">
        <x:v>2466</x:v>
      </x:c>
      <x:c r="B2470" s="9" t="str">
        <x:v>1236</x:v>
      </x:c>
      <x:c r="C2470" s="11" t="n">
        <x:v>46186</x:v>
      </x:c>
      <x:c r="D2470" s="13" t="n">
        <x:v>781.44</x:v>
      </x:c>
    </x:row>
    <x:row r="2471">
      <x:c r="A2471" s="9" t="str">
        <x:v>2467</x:v>
      </x:c>
      <x:c r="B2471" s="9" t="str">
        <x:v>1237</x:v>
      </x:c>
      <x:c r="C2471" s="11" t="n">
        <x:v>46164</x:v>
      </x:c>
      <x:c r="D2471" s="13" t="n">
        <x:v>1781.81</x:v>
      </x:c>
    </x:row>
    <x:row r="2472">
      <x:c r="A2472" s="9" t="str">
        <x:v>2468</x:v>
      </x:c>
      <x:c r="B2472" s="9" t="str">
        <x:v>1238</x:v>
      </x:c>
      <x:c r="C2472" s="11" t="n">
        <x:v>46144</x:v>
      </x:c>
      <x:c r="D2472" s="13" t="n">
        <x:v>1287.64</x:v>
      </x:c>
    </x:row>
    <x:row r="2473">
      <x:c r="A2473" s="9" t="str">
        <x:v>2469</x:v>
      </x:c>
      <x:c r="B2473" s="9" t="str">
        <x:v>1238</x:v>
      </x:c>
      <x:c r="C2473" s="11" t="n">
        <x:v>46188</x:v>
      </x:c>
      <x:c r="D2473" s="13" t="n">
        <x:v>1335.37</x:v>
      </x:c>
    </x:row>
    <x:row r="2474">
      <x:c r="A2474" s="9" t="str">
        <x:v>2470</x:v>
      </x:c>
      <x:c r="B2474" s="9" t="str">
        <x:v>1238</x:v>
      </x:c>
      <x:c r="C2474" s="11" t="n">
        <x:v>46177</x:v>
      </x:c>
      <x:c r="D2474" s="13" t="n">
        <x:v>1596.28</x:v>
      </x:c>
    </x:row>
    <x:row r="2475">
      <x:c r="A2475" s="9" t="str">
        <x:v>2471</x:v>
      </x:c>
      <x:c r="B2475" s="9" t="str">
        <x:v>1239</x:v>
      </x:c>
      <x:c r="C2475" s="11" t="n">
        <x:v>46091</x:v>
      </x:c>
      <x:c r="D2475" s="13" t="n">
        <x:v>258.1</x:v>
      </x:c>
    </x:row>
    <x:row r="2476">
      <x:c r="A2476" s="9" t="str">
        <x:v>2472</x:v>
      </x:c>
      <x:c r="B2476" s="9" t="str">
        <x:v>1239</x:v>
      </x:c>
      <x:c r="C2476" s="11" t="n">
        <x:v>46121</x:v>
      </x:c>
      <x:c r="D2476" s="13" t="n">
        <x:v>73.07</x:v>
      </x:c>
    </x:row>
    <x:row r="2477">
      <x:c r="A2477" s="9" t="str">
        <x:v>2473</x:v>
      </x:c>
      <x:c r="B2477" s="9" t="str">
        <x:v>1239</x:v>
      </x:c>
      <x:c r="C2477" s="11" t="n">
        <x:v>46114</x:v>
      </x:c>
      <x:c r="D2477" s="13" t="n">
        <x:v>362</x:v>
      </x:c>
    </x:row>
    <x:row r="2478">
      <x:c r="A2478" s="9" t="str">
        <x:v>2474</x:v>
      </x:c>
      <x:c r="B2478" s="9" t="str">
        <x:v>1241</x:v>
      </x:c>
      <x:c r="C2478" s="11" t="n">
        <x:v>46145</x:v>
      </x:c>
      <x:c r="D2478" s="13" t="n">
        <x:v>2041.54</x:v>
      </x:c>
    </x:row>
    <x:row r="2479">
      <x:c r="A2479" s="9" t="str">
        <x:v>2475</x:v>
      </x:c>
      <x:c r="B2479" s="9" t="str">
        <x:v>1241</x:v>
      </x:c>
      <x:c r="C2479" s="11" t="n">
        <x:v>46145</x:v>
      </x:c>
      <x:c r="D2479" s="13" t="n">
        <x:v>703.47</x:v>
      </x:c>
    </x:row>
    <x:row r="2480">
      <x:c r="A2480" s="9" t="str">
        <x:v>2476</x:v>
      </x:c>
      <x:c r="B2480" s="9" t="str">
        <x:v>1241</x:v>
      </x:c>
      <x:c r="C2480" s="11" t="n">
        <x:v>46104</x:v>
      </x:c>
      <x:c r="D2480" s="13" t="n">
        <x:v>952.68</x:v>
      </x:c>
    </x:row>
    <x:row r="2481">
      <x:c r="A2481" s="9" t="str">
        <x:v>2477</x:v>
      </x:c>
      <x:c r="B2481" s="9" t="str">
        <x:v>1242</x:v>
      </x:c>
      <x:c r="C2481" s="11" t="n">
        <x:v>46188</x:v>
      </x:c>
      <x:c r="D2481" s="13" t="n">
        <x:v>1027.8</x:v>
      </x:c>
    </x:row>
    <x:row r="2482">
      <x:c r="A2482" s="9" t="str">
        <x:v>2478</x:v>
      </x:c>
      <x:c r="B2482" s="9" t="str">
        <x:v>1243</x:v>
      </x:c>
      <x:c r="C2482" s="11" t="n">
        <x:v>46056</x:v>
      </x:c>
      <x:c r="D2482" s="13" t="n">
        <x:v>1547.84</x:v>
      </x:c>
    </x:row>
    <x:row r="2483">
      <x:c r="A2483" s="9" t="str">
        <x:v>2479</x:v>
      </x:c>
      <x:c r="B2483" s="9" t="str">
        <x:v>1244</x:v>
      </x:c>
      <x:c r="C2483" s="11" t="n">
        <x:v>46126</x:v>
      </x:c>
      <x:c r="D2483" s="13" t="n">
        <x:v>95.94</x:v>
      </x:c>
    </x:row>
    <x:row r="2484">
      <x:c r="A2484" s="9" t="str">
        <x:v>2480</x:v>
      </x:c>
      <x:c r="B2484" s="9" t="str">
        <x:v>1244</x:v>
      </x:c>
      <x:c r="C2484" s="11" t="n">
        <x:v>46171</x:v>
      </x:c>
      <x:c r="D2484" s="13" t="n">
        <x:v>61.79</x:v>
      </x:c>
    </x:row>
    <x:row r="2485">
      <x:c r="A2485" s="9" t="str">
        <x:v>2481</x:v>
      </x:c>
      <x:c r="B2485" s="9" t="str">
        <x:v>1244</x:v>
      </x:c>
      <x:c r="C2485" s="11" t="n">
        <x:v>46181</x:v>
      </x:c>
      <x:c r="D2485" s="13" t="n">
        <x:v>75.54</x:v>
      </x:c>
    </x:row>
    <x:row r="2486">
      <x:c r="A2486" s="9" t="str">
        <x:v>2482</x:v>
      </x:c>
      <x:c r="B2486" s="9" t="str">
        <x:v>1244</x:v>
      </x:c>
      <x:c r="C2486" s="11" t="n">
        <x:v>46179</x:v>
      </x:c>
      <x:c r="D2486" s="13" t="n">
        <x:v>160.75</x:v>
      </x:c>
    </x:row>
    <x:row r="2487">
      <x:c r="A2487" s="9" t="str">
        <x:v>2483</x:v>
      </x:c>
      <x:c r="B2487" s="9" t="str">
        <x:v>1245</x:v>
      </x:c>
      <x:c r="C2487" s="11" t="n">
        <x:v>46201</x:v>
      </x:c>
      <x:c r="D2487" s="13" t="n">
        <x:v>784.04</x:v>
      </x:c>
    </x:row>
    <x:row r="2488">
      <x:c r="A2488" s="9" t="str">
        <x:v>2484</x:v>
      </x:c>
      <x:c r="B2488" s="9" t="str">
        <x:v>1245</x:v>
      </x:c>
      <x:c r="C2488" s="11" t="n">
        <x:v>46175</x:v>
      </x:c>
      <x:c r="D2488" s="13" t="n">
        <x:v>853.26</x:v>
      </x:c>
    </x:row>
    <x:row r="2489">
      <x:c r="A2489" s="9" t="str">
        <x:v>2485</x:v>
      </x:c>
      <x:c r="B2489" s="9" t="str">
        <x:v>1245</x:v>
      </x:c>
      <x:c r="C2489" s="11" t="n">
        <x:v>46176</x:v>
      </x:c>
      <x:c r="D2489" s="13" t="n">
        <x:v>2136.82</x:v>
      </x:c>
    </x:row>
    <x:row r="2490">
      <x:c r="A2490" s="9" t="str">
        <x:v>2486</x:v>
      </x:c>
      <x:c r="B2490" s="9" t="str">
        <x:v>1246</x:v>
      </x:c>
      <x:c r="C2490" s="11" t="n">
        <x:v>46175</x:v>
      </x:c>
      <x:c r="D2490" s="13" t="n">
        <x:v>52.7</x:v>
      </x:c>
    </x:row>
    <x:row r="2491">
      <x:c r="A2491" s="9" t="str">
        <x:v>2487</x:v>
      </x:c>
      <x:c r="B2491" s="9" t="str">
        <x:v>1246</x:v>
      </x:c>
      <x:c r="C2491" s="11" t="n">
        <x:v>46110</x:v>
      </x:c>
      <x:c r="D2491" s="13" t="n">
        <x:v>1480.78</x:v>
      </x:c>
    </x:row>
    <x:row r="2492">
      <x:c r="A2492" s="9" t="str">
        <x:v>2488</x:v>
      </x:c>
      <x:c r="B2492" s="9" t="str">
        <x:v>1246</x:v>
      </x:c>
      <x:c r="C2492" s="11" t="n">
        <x:v>46171</x:v>
      </x:c>
      <x:c r="D2492" s="13" t="n">
        <x:v>1446.61</x:v>
      </x:c>
    </x:row>
    <x:row r="2493">
      <x:c r="A2493" s="9" t="str">
        <x:v>2489</x:v>
      </x:c>
      <x:c r="B2493" s="9" t="str">
        <x:v>1246</x:v>
      </x:c>
      <x:c r="C2493" s="11" t="n">
        <x:v>46139</x:v>
      </x:c>
      <x:c r="D2493" s="13" t="n">
        <x:v>1030.49</x:v>
      </x:c>
    </x:row>
    <x:row r="2494">
      <x:c r="A2494" s="9" t="str">
        <x:v>2490</x:v>
      </x:c>
      <x:c r="B2494" s="9" t="str">
        <x:v>1247</x:v>
      </x:c>
      <x:c r="C2494" s="11" t="n">
        <x:v>46165</x:v>
      </x:c>
      <x:c r="D2494" s="13" t="n">
        <x:v>543.98</x:v>
      </x:c>
    </x:row>
    <x:row r="2495">
      <x:c r="A2495" s="9" t="str">
        <x:v>2491</x:v>
      </x:c>
      <x:c r="B2495" s="9" t="str">
        <x:v>1247</x:v>
      </x:c>
      <x:c r="C2495" s="11" t="n">
        <x:v>46147</x:v>
      </x:c>
      <x:c r="D2495" s="13" t="n">
        <x:v>25.82</x:v>
      </x:c>
    </x:row>
    <x:row r="2496">
      <x:c r="A2496" s="9" t="str">
        <x:v>2492</x:v>
      </x:c>
      <x:c r="B2496" s="9" t="str">
        <x:v>1249</x:v>
      </x:c>
      <x:c r="C2496" s="11" t="n">
        <x:v>46062</x:v>
      </x:c>
      <x:c r="D2496" s="13" t="n">
        <x:v>1509.67</x:v>
      </x:c>
    </x:row>
    <x:row r="2497">
      <x:c r="A2497" s="9" t="str">
        <x:v>2493</x:v>
      </x:c>
      <x:c r="B2497" s="9" t="str">
        <x:v>1249</x:v>
      </x:c>
      <x:c r="C2497" s="11" t="n">
        <x:v>46080</x:v>
      </x:c>
      <x:c r="D2497" s="13" t="n">
        <x:v>988.89</x:v>
      </x:c>
    </x:row>
    <x:row r="2498">
      <x:c r="A2498" s="9" t="str">
        <x:v>2494</x:v>
      </x:c>
      <x:c r="B2498" s="9" t="str">
        <x:v>1249</x:v>
      </x:c>
      <x:c r="C2498" s="11" t="n">
        <x:v>46112</x:v>
      </x:c>
      <x:c r="D2498" s="13" t="n">
        <x:v>479.87</x:v>
      </x:c>
    </x:row>
    <x:row r="2499">
      <x:c r="A2499" s="9" t="str">
        <x:v>2495</x:v>
      </x:c>
      <x:c r="B2499" s="9" t="str">
        <x:v>1250</x:v>
      </x:c>
      <x:c r="C2499" s="11" t="n">
        <x:v>46096</x:v>
      </x:c>
      <x:c r="D2499" s="13" t="n">
        <x:v>1539.67</x:v>
      </x:c>
    </x:row>
    <x:row r="2500">
      <x:c r="A2500" s="9" t="str">
        <x:v>2496</x:v>
      </x:c>
      <x:c r="B2500" s="9" t="str">
        <x:v>1250</x:v>
      </x:c>
      <x:c r="C2500" s="11" t="n">
        <x:v>46182</x:v>
      </x:c>
      <x:c r="D2500" s="13" t="n">
        <x:v>847.07</x:v>
      </x:c>
    </x:row>
    <x:row r="2501">
      <x:c r="A2501" s="9" t="str">
        <x:v>2497</x:v>
      </x:c>
      <x:c r="B2501" s="9" t="str">
        <x:v>1250</x:v>
      </x:c>
      <x:c r="C2501" s="11" t="n">
        <x:v>46105</x:v>
      </x:c>
      <x:c r="D2501" s="13" t="n">
        <x:v>1216.47</x:v>
      </x:c>
    </x:row>
    <x:row r="2502">
      <x:c r="A2502" s="9" t="str">
        <x:v>2498</x:v>
      </x:c>
      <x:c r="B2502" s="9" t="str">
        <x:v>1251</x:v>
      </x:c>
      <x:c r="C2502" s="11" t="n">
        <x:v>46194</x:v>
      </x:c>
      <x:c r="D2502" s="13" t="n">
        <x:v>2131.35</x:v>
      </x:c>
    </x:row>
    <x:row r="2503">
      <x:c r="A2503" s="9" t="str">
        <x:v>2499</x:v>
      </x:c>
      <x:c r="B2503" s="9" t="str">
        <x:v>1251</x:v>
      </x:c>
      <x:c r="C2503" s="11" t="n">
        <x:v>46184</x:v>
      </x:c>
      <x:c r="D2503" s="13" t="n">
        <x:v>1136.21</x:v>
      </x:c>
    </x:row>
    <x:row r="2504">
      <x:c r="A2504" s="9" t="str">
        <x:v>2500</x:v>
      </x:c>
      <x:c r="B2504" s="9" t="str">
        <x:v>1252</x:v>
      </x:c>
      <x:c r="C2504" s="11" t="n">
        <x:v>46185</x:v>
      </x:c>
      <x:c r="D2504" s="13" t="n">
        <x:v>1283.42</x:v>
      </x:c>
    </x:row>
    <x:row r="2505">
      <x:c r="A2505" s="9" t="str">
        <x:v>2501</x:v>
      </x:c>
      <x:c r="B2505" s="9" t="str">
        <x:v>1253</x:v>
      </x:c>
      <x:c r="C2505" s="11" t="n">
        <x:v>46161</x:v>
      </x:c>
      <x:c r="D2505" s="13" t="n">
        <x:v>388.92</x:v>
      </x:c>
    </x:row>
    <x:row r="2506">
      <x:c r="A2506" s="9" t="str">
        <x:v>2502</x:v>
      </x:c>
      <x:c r="B2506" s="9" t="str">
        <x:v>1253</x:v>
      </x:c>
      <x:c r="C2506" s="11" t="n">
        <x:v>46156</x:v>
      </x:c>
      <x:c r="D2506" s="13" t="n">
        <x:v>62.32</x:v>
      </x:c>
    </x:row>
    <x:row r="2507">
      <x:c r="A2507" s="9" t="str">
        <x:v>2503</x:v>
      </x:c>
      <x:c r="B2507" s="9" t="str">
        <x:v>1253</x:v>
      </x:c>
      <x:c r="C2507" s="11" t="n">
        <x:v>46180</x:v>
      </x:c>
      <x:c r="D2507" s="13" t="n">
        <x:v>1148.46</x:v>
      </x:c>
    </x:row>
    <x:row r="2508">
      <x:c r="A2508" s="9" t="str">
        <x:v>2504</x:v>
      </x:c>
      <x:c r="B2508" s="9" t="str">
        <x:v>1254</x:v>
      </x:c>
      <x:c r="C2508" s="11" t="n">
        <x:v>46170</x:v>
      </x:c>
      <x:c r="D2508" s="13" t="n">
        <x:v>1250.98</x:v>
      </x:c>
    </x:row>
    <x:row r="2509">
      <x:c r="A2509" s="9" t="str">
        <x:v>2505</x:v>
      </x:c>
      <x:c r="B2509" s="9" t="str">
        <x:v>1254</x:v>
      </x:c>
      <x:c r="C2509" s="11" t="n">
        <x:v>46160</x:v>
      </x:c>
      <x:c r="D2509" s="13" t="n">
        <x:v>1640.4</x:v>
      </x:c>
    </x:row>
    <x:row r="2510">
      <x:c r="A2510" s="9" t="str">
        <x:v>2506</x:v>
      </x:c>
      <x:c r="B2510" s="9" t="str">
        <x:v>1254</x:v>
      </x:c>
      <x:c r="C2510" s="11" t="n">
        <x:v>46183</x:v>
      </x:c>
      <x:c r="D2510" s="13" t="n">
        <x:v>596.76</x:v>
      </x:c>
    </x:row>
    <x:row r="2511">
      <x:c r="A2511" s="9" t="str">
        <x:v>2507</x:v>
      </x:c>
      <x:c r="B2511" s="9" t="str">
        <x:v>1255</x:v>
      </x:c>
      <x:c r="C2511" s="11" t="n">
        <x:v>46105</x:v>
      </x:c>
      <x:c r="D2511" s="13" t="n">
        <x:v>505.18</x:v>
      </x:c>
    </x:row>
    <x:row r="2512">
      <x:c r="A2512" s="9" t="str">
        <x:v>2508</x:v>
      </x:c>
      <x:c r="B2512" s="9" t="str">
        <x:v>1255</x:v>
      </x:c>
      <x:c r="C2512" s="11" t="n">
        <x:v>46179</x:v>
      </x:c>
      <x:c r="D2512" s="13" t="n">
        <x:v>469.24</x:v>
      </x:c>
    </x:row>
    <x:row r="2513">
      <x:c r="A2513" s="9" t="str">
        <x:v>2509</x:v>
      </x:c>
      <x:c r="B2513" s="9" t="str">
        <x:v>1255</x:v>
      </x:c>
      <x:c r="C2513" s="11" t="n">
        <x:v>46122</x:v>
      </x:c>
      <x:c r="D2513" s="13" t="n">
        <x:v>741.12</x:v>
      </x:c>
    </x:row>
    <x:row r="2514">
      <x:c r="A2514" s="9" t="str">
        <x:v>2510</x:v>
      </x:c>
      <x:c r="B2514" s="9" t="str">
        <x:v>1255</x:v>
      </x:c>
      <x:c r="C2514" s="11" t="n">
        <x:v>46101</x:v>
      </x:c>
      <x:c r="D2514" s="13" t="n">
        <x:v>372.54</x:v>
      </x:c>
    </x:row>
    <x:row r="2515">
      <x:c r="A2515" s="9" t="str">
        <x:v>2511</x:v>
      </x:c>
      <x:c r="B2515" s="9" t="str">
        <x:v>1256</x:v>
      </x:c>
      <x:c r="C2515" s="11" t="n">
        <x:v>46154</x:v>
      </x:c>
      <x:c r="D2515" s="13" t="n">
        <x:v>906.78</x:v>
      </x:c>
    </x:row>
    <x:row r="2516">
      <x:c r="A2516" s="9" t="str">
        <x:v>2512</x:v>
      </x:c>
      <x:c r="B2516" s="9" t="str">
        <x:v>1256</x:v>
      </x:c>
      <x:c r="C2516" s="11" t="n">
        <x:v>46149</x:v>
      </x:c>
      <x:c r="D2516" s="13" t="n">
        <x:v>1029.75</x:v>
      </x:c>
    </x:row>
    <x:row r="2517">
      <x:c r="A2517" s="9" t="str">
        <x:v>2513</x:v>
      </x:c>
      <x:c r="B2517" s="9" t="str">
        <x:v>1257</x:v>
      </x:c>
      <x:c r="C2517" s="11" t="n">
        <x:v>46181</x:v>
      </x:c>
      <x:c r="D2517" s="13" t="n">
        <x:v>622.68</x:v>
      </x:c>
    </x:row>
    <x:row r="2518">
      <x:c r="A2518" s="9" t="str">
        <x:v>2514</x:v>
      </x:c>
      <x:c r="B2518" s="9" t="str">
        <x:v>1257</x:v>
      </x:c>
      <x:c r="C2518" s="11" t="n">
        <x:v>46114</x:v>
      </x:c>
      <x:c r="D2518" s="13" t="n">
        <x:v>296.18</x:v>
      </x:c>
    </x:row>
    <x:row r="2519">
      <x:c r="A2519" s="9" t="str">
        <x:v>2515</x:v>
      </x:c>
      <x:c r="B2519" s="9" t="str">
        <x:v>1257</x:v>
      </x:c>
      <x:c r="C2519" s="11" t="n">
        <x:v>46168</x:v>
      </x:c>
      <x:c r="D2519" s="13" t="n">
        <x:v>108.87</x:v>
      </x:c>
    </x:row>
    <x:row r="2520">
      <x:c r="A2520" s="9" t="str">
        <x:v>2516</x:v>
      </x:c>
      <x:c r="B2520" s="9" t="str">
        <x:v>1259</x:v>
      </x:c>
      <x:c r="C2520" s="11" t="n">
        <x:v>46131</x:v>
      </x:c>
      <x:c r="D2520" s="13" t="n">
        <x:v>219.58</x:v>
      </x:c>
    </x:row>
    <x:row r="2521">
      <x:c r="A2521" s="9" t="str">
        <x:v>2517</x:v>
      </x:c>
      <x:c r="B2521" s="9" t="str">
        <x:v>1259</x:v>
      </x:c>
      <x:c r="C2521" s="11" t="n">
        <x:v>46161</x:v>
      </x:c>
      <x:c r="D2521" s="13" t="n">
        <x:v>62.44</x:v>
      </x:c>
    </x:row>
    <x:row r="2522">
      <x:c r="A2522" s="9" t="str">
        <x:v>2518</x:v>
      </x:c>
      <x:c r="B2522" s="9" t="str">
        <x:v>1259</x:v>
      </x:c>
      <x:c r="C2522" s="11" t="n">
        <x:v>46154</x:v>
      </x:c>
      <x:c r="D2522" s="13" t="n">
        <x:v>540.62</x:v>
      </x:c>
    </x:row>
    <x:row r="2523">
      <x:c r="A2523" s="9" t="str">
        <x:v>2519</x:v>
      </x:c>
      <x:c r="B2523" s="9" t="str">
        <x:v>1260</x:v>
      </x:c>
      <x:c r="C2523" s="11" t="n">
        <x:v>46173</x:v>
      </x:c>
      <x:c r="D2523" s="13" t="n">
        <x:v>2079.87</x:v>
      </x:c>
    </x:row>
    <x:row r="2524">
      <x:c r="A2524" s="9" t="str">
        <x:v>2520</x:v>
      </x:c>
      <x:c r="B2524" s="9" t="str">
        <x:v>1260</x:v>
      </x:c>
      <x:c r="C2524" s="11" t="n">
        <x:v>46201</x:v>
      </x:c>
      <x:c r="D2524" s="13" t="n">
        <x:v>685.51</x:v>
      </x:c>
    </x:row>
    <x:row r="2525">
      <x:c r="A2525" s="9" t="str">
        <x:v>2521</x:v>
      </x:c>
      <x:c r="B2525" s="9" t="str">
        <x:v>1260</x:v>
      </x:c>
      <x:c r="C2525" s="11" t="n">
        <x:v>46171</x:v>
      </x:c>
      <x:c r="D2525" s="13" t="n">
        <x:v>1130</x:v>
      </x:c>
    </x:row>
    <x:row r="2526">
      <x:c r="A2526" s="9" t="str">
        <x:v>2522</x:v>
      </x:c>
      <x:c r="B2526" s="9" t="str">
        <x:v>1260</x:v>
      </x:c>
      <x:c r="C2526" s="11" t="n">
        <x:v>46189</x:v>
      </x:c>
      <x:c r="D2526" s="13" t="n">
        <x:v>1554.75</x:v>
      </x:c>
    </x:row>
    <x:row r="2527">
      <x:c r="A2527" s="9" t="str">
        <x:v>2523</x:v>
      </x:c>
      <x:c r="B2527" s="9" t="str">
        <x:v>1261</x:v>
      </x:c>
      <x:c r="C2527" s="11" t="n">
        <x:v>46182</x:v>
      </x:c>
      <x:c r="D2527" s="13" t="n">
        <x:v>1408.97</x:v>
      </x:c>
    </x:row>
    <x:row r="2528">
      <x:c r="A2528" s="9" t="str">
        <x:v>2524</x:v>
      </x:c>
      <x:c r="B2528" s="9" t="str">
        <x:v>1262</x:v>
      </x:c>
      <x:c r="C2528" s="11" t="n">
        <x:v>46050</x:v>
      </x:c>
      <x:c r="D2528" s="13" t="n">
        <x:v>52.68</x:v>
      </x:c>
    </x:row>
    <x:row r="2529">
      <x:c r="A2529" s="9" t="str">
        <x:v>2525</x:v>
      </x:c>
      <x:c r="B2529" s="9" t="str">
        <x:v>1262</x:v>
      </x:c>
      <x:c r="C2529" s="11" t="n">
        <x:v>46095</x:v>
      </x:c>
      <x:c r="D2529" s="13" t="n">
        <x:v>201.97</x:v>
      </x:c>
    </x:row>
    <x:row r="2530">
      <x:c r="A2530" s="9" t="str">
        <x:v>2526</x:v>
      </x:c>
      <x:c r="B2530" s="9" t="str">
        <x:v>1263</x:v>
      </x:c>
      <x:c r="C2530" s="11" t="n">
        <x:v>46174</x:v>
      </x:c>
      <x:c r="D2530" s="13" t="n">
        <x:v>2637.66</x:v>
      </x:c>
    </x:row>
    <x:row r="2531">
      <x:c r="A2531" s="9" t="str">
        <x:v>2527</x:v>
      </x:c>
      <x:c r="B2531" s="9" t="str">
        <x:v>1263</x:v>
      </x:c>
      <x:c r="C2531" s="11" t="n">
        <x:v>46199</x:v>
      </x:c>
      <x:c r="D2531" s="13" t="n">
        <x:v>751.04</x:v>
      </x:c>
    </x:row>
    <x:row r="2532">
      <x:c r="A2532" s="9" t="str">
        <x:v>2528</x:v>
      </x:c>
      <x:c r="B2532" s="9" t="str">
        <x:v>1263</x:v>
      </x:c>
      <x:c r="C2532" s="11" t="n">
        <x:v>46154</x:v>
      </x:c>
      <x:c r="D2532" s="13" t="n">
        <x:v>685.11</x:v>
      </x:c>
    </x:row>
    <x:row r="2533">
      <x:c r="A2533" s="9" t="str">
        <x:v>2529</x:v>
      </x:c>
      <x:c r="B2533" s="9" t="str">
        <x:v>1263</x:v>
      </x:c>
      <x:c r="C2533" s="11" t="n">
        <x:v>46174</x:v>
      </x:c>
      <x:c r="D2533" s="13" t="n">
        <x:v>2370.61</x:v>
      </x:c>
    </x:row>
    <x:row r="2534">
      <x:c r="A2534" s="9" t="str">
        <x:v>2530</x:v>
      </x:c>
      <x:c r="B2534" s="9" t="str">
        <x:v>1266</x:v>
      </x:c>
      <x:c r="C2534" s="11" t="n">
        <x:v>46170</x:v>
      </x:c>
      <x:c r="D2534" s="13" t="n">
        <x:v>272.65</x:v>
      </x:c>
    </x:row>
    <x:row r="2535">
      <x:c r="A2535" s="9" t="str">
        <x:v>2531</x:v>
      </x:c>
      <x:c r="B2535" s="9" t="str">
        <x:v>1266</x:v>
      </x:c>
      <x:c r="C2535" s="11" t="n">
        <x:v>46168</x:v>
      </x:c>
      <x:c r="D2535" s="13" t="n">
        <x:v>14.85</x:v>
      </x:c>
    </x:row>
    <x:row r="2536">
      <x:c r="A2536" s="9" t="str">
        <x:v>2532</x:v>
      </x:c>
      <x:c r="B2536" s="9" t="str">
        <x:v>1266</x:v>
      </x:c>
      <x:c r="C2536" s="11" t="n">
        <x:v>46182</x:v>
      </x:c>
      <x:c r="D2536" s="13" t="n">
        <x:v>284.39</x:v>
      </x:c>
    </x:row>
    <x:row r="2537">
      <x:c r="A2537" s="9" t="str">
        <x:v>2533</x:v>
      </x:c>
      <x:c r="B2537" s="9" t="str">
        <x:v>1267</x:v>
      </x:c>
      <x:c r="C2537" s="11" t="n">
        <x:v>46149</x:v>
      </x:c>
      <x:c r="D2537" s="13" t="n">
        <x:v>2269.43</x:v>
      </x:c>
    </x:row>
    <x:row r="2538">
      <x:c r="A2538" s="9" t="str">
        <x:v>2534</x:v>
      </x:c>
      <x:c r="B2538" s="9" t="str">
        <x:v>1267</x:v>
      </x:c>
      <x:c r="C2538" s="11" t="n">
        <x:v>46114</x:v>
      </x:c>
      <x:c r="D2538" s="13" t="n">
        <x:v>39.99</x:v>
      </x:c>
    </x:row>
    <x:row r="2539">
      <x:c r="A2539" s="9" t="str">
        <x:v>2535</x:v>
      </x:c>
      <x:c r="B2539" s="9" t="str">
        <x:v>1267</x:v>
      </x:c>
      <x:c r="C2539" s="11" t="n">
        <x:v>46163</x:v>
      </x:c>
      <x:c r="D2539" s="13" t="n">
        <x:v>284.21</x:v>
      </x:c>
    </x:row>
    <x:row r="2540">
      <x:c r="A2540" s="9" t="str">
        <x:v>2536</x:v>
      </x:c>
      <x:c r="B2540" s="9" t="str">
        <x:v>1268</x:v>
      </x:c>
      <x:c r="C2540" s="11" t="n">
        <x:v>46114</x:v>
      </x:c>
      <x:c r="D2540" s="13" t="n">
        <x:v>142.19</x:v>
      </x:c>
    </x:row>
    <x:row r="2541">
      <x:c r="A2541" s="9" t="str">
        <x:v>2537</x:v>
      </x:c>
      <x:c r="B2541" s="9" t="str">
        <x:v>1269</x:v>
      </x:c>
      <x:c r="C2541" s="11" t="n">
        <x:v>46201</x:v>
      </x:c>
      <x:c r="D2541" s="13" t="n">
        <x:v>128.54</x:v>
      </x:c>
    </x:row>
    <x:row r="2542">
      <x:c r="A2542" s="9" t="str">
        <x:v>2538</x:v>
      </x:c>
      <x:c r="B2542" s="9" t="str">
        <x:v>1270</x:v>
      </x:c>
      <x:c r="C2542" s="11" t="n">
        <x:v>46182</x:v>
      </x:c>
      <x:c r="D2542" s="13" t="n">
        <x:v>183.57</x:v>
      </x:c>
    </x:row>
    <x:row r="2543">
      <x:c r="A2543" s="9" t="str">
        <x:v>2539</x:v>
      </x:c>
      <x:c r="B2543" s="9" t="str">
        <x:v>1270</x:v>
      </x:c>
      <x:c r="C2543" s="11" t="n">
        <x:v>46153</x:v>
      </x:c>
      <x:c r="D2543" s="13" t="n">
        <x:v>1256.83</x:v>
      </x:c>
    </x:row>
    <x:row r="2544">
      <x:c r="A2544" s="9" t="str">
        <x:v>2540</x:v>
      </x:c>
      <x:c r="B2544" s="9" t="str">
        <x:v>1270</x:v>
      </x:c>
      <x:c r="C2544" s="11" t="n">
        <x:v>46188</x:v>
      </x:c>
      <x:c r="D2544" s="13" t="n">
        <x:v>1280.85</x:v>
      </x:c>
    </x:row>
    <x:row r="2545">
      <x:c r="A2545" s="9" t="str">
        <x:v>2541</x:v>
      </x:c>
      <x:c r="B2545" s="9" t="str">
        <x:v>1272</x:v>
      </x:c>
      <x:c r="C2545" s="11" t="n">
        <x:v>46163</x:v>
      </x:c>
      <x:c r="D2545" s="13" t="n">
        <x:v>1400.53</x:v>
      </x:c>
    </x:row>
    <x:row r="2546">
      <x:c r="A2546" s="9" t="str">
        <x:v>2542</x:v>
      </x:c>
      <x:c r="B2546" s="9" t="str">
        <x:v>1272</x:v>
      </x:c>
      <x:c r="C2546" s="11" t="n">
        <x:v>46129</x:v>
      </x:c>
      <x:c r="D2546" s="13" t="n">
        <x:v>376.77</x:v>
      </x:c>
    </x:row>
    <x:row r="2547">
      <x:c r="A2547" s="9" t="str">
        <x:v>2543</x:v>
      </x:c>
      <x:c r="B2547" s="9" t="str">
        <x:v>1273</x:v>
      </x:c>
      <x:c r="C2547" s="11" t="n">
        <x:v>46150</x:v>
      </x:c>
      <x:c r="D2547" s="13" t="n">
        <x:v>493.53</x:v>
      </x:c>
    </x:row>
    <x:row r="2548">
      <x:c r="A2548" s="9" t="str">
        <x:v>2544</x:v>
      </x:c>
      <x:c r="B2548" s="9" t="str">
        <x:v>1273</x:v>
      </x:c>
      <x:c r="C2548" s="11" t="n">
        <x:v>46203</x:v>
      </x:c>
      <x:c r="D2548" s="13" t="n">
        <x:v>605.75</x:v>
      </x:c>
    </x:row>
    <x:row r="2549">
      <x:c r="A2549" s="9" t="str">
        <x:v>2545</x:v>
      </x:c>
      <x:c r="B2549" s="9" t="str">
        <x:v>1273</x:v>
      </x:c>
      <x:c r="C2549" s="11" t="n">
        <x:v>46136</x:v>
      </x:c>
      <x:c r="D2549" s="13" t="n">
        <x:v>352.54</x:v>
      </x:c>
    </x:row>
    <x:row r="2550">
      <x:c r="A2550" s="9" t="str">
        <x:v>2546</x:v>
      </x:c>
      <x:c r="B2550" s="9" t="str">
        <x:v>1274</x:v>
      </x:c>
      <x:c r="C2550" s="11" t="n">
        <x:v>46166</x:v>
      </x:c>
      <x:c r="D2550" s="13" t="n">
        <x:v>1111.75</x:v>
      </x:c>
    </x:row>
    <x:row r="2551">
      <x:c r="A2551" s="9" t="str">
        <x:v>2547</x:v>
      </x:c>
      <x:c r="B2551" s="9" t="str">
        <x:v>1274</x:v>
      </x:c>
      <x:c r="C2551" s="11" t="n">
        <x:v>46197</x:v>
      </x:c>
      <x:c r="D2551" s="13" t="n">
        <x:v>651.44</x:v>
      </x:c>
    </x:row>
    <x:row r="2552">
      <x:c r="A2552" s="9" t="str">
        <x:v>2548</x:v>
      </x:c>
      <x:c r="B2552" s="9" t="str">
        <x:v>1274</x:v>
      </x:c>
      <x:c r="C2552" s="11" t="n">
        <x:v>46170</x:v>
      </x:c>
      <x:c r="D2552" s="13" t="n">
        <x:v>2019.21</x:v>
      </x:c>
    </x:row>
    <x:row r="2553">
      <x:c r="A2553" s="9" t="str">
        <x:v>2549</x:v>
      </x:c>
      <x:c r="B2553" s="9" t="str">
        <x:v>1274</x:v>
      </x:c>
      <x:c r="C2553" s="11" t="n">
        <x:v>46183</x:v>
      </x:c>
      <x:c r="D2553" s="13" t="n">
        <x:v>451.22</x:v>
      </x:c>
    </x:row>
    <x:row r="2554">
      <x:c r="A2554" s="9" t="str">
        <x:v>2550</x:v>
      </x:c>
      <x:c r="B2554" s="9" t="str">
        <x:v>1275</x:v>
      </x:c>
      <x:c r="C2554" s="11" t="n">
        <x:v>46152</x:v>
      </x:c>
      <x:c r="D2554" s="13" t="n">
        <x:v>2529.54</x:v>
      </x:c>
    </x:row>
    <x:row r="2555">
      <x:c r="A2555" s="9" t="str">
        <x:v>2551</x:v>
      </x:c>
      <x:c r="B2555" s="9" t="str">
        <x:v>1275</x:v>
      </x:c>
      <x:c r="C2555" s="11" t="n">
        <x:v>46141</x:v>
      </x:c>
      <x:c r="D2555" s="13" t="n">
        <x:v>2717.18</x:v>
      </x:c>
    </x:row>
    <x:row r="2556">
      <x:c r="A2556" s="9" t="str">
        <x:v>2552</x:v>
      </x:c>
      <x:c r="B2556" s="9" t="str">
        <x:v>1275</x:v>
      </x:c>
      <x:c r="C2556" s="11" t="n">
        <x:v>46171</x:v>
      </x:c>
      <x:c r="D2556" s="13" t="n">
        <x:v>527.24</x:v>
      </x:c>
    </x:row>
    <x:row r="2557">
      <x:c r="A2557" s="9" t="str">
        <x:v>2553</x:v>
      </x:c>
      <x:c r="B2557" s="9" t="str">
        <x:v>1276</x:v>
      </x:c>
      <x:c r="C2557" s="11" t="n">
        <x:v>46083</x:v>
      </x:c>
      <x:c r="D2557" s="13" t="n">
        <x:v>1322.43</x:v>
      </x:c>
    </x:row>
    <x:row r="2558">
      <x:c r="A2558" s="9" t="str">
        <x:v>2554</x:v>
      </x:c>
      <x:c r="B2558" s="9" t="str">
        <x:v>1276</x:v>
      </x:c>
      <x:c r="C2558" s="11" t="n">
        <x:v>46082</x:v>
      </x:c>
      <x:c r="D2558" s="13" t="n">
        <x:v>783.06</x:v>
      </x:c>
    </x:row>
    <x:row r="2559">
      <x:c r="A2559" s="9" t="str">
        <x:v>2555</x:v>
      </x:c>
      <x:c r="B2559" s="9" t="str">
        <x:v>1276</x:v>
      </x:c>
      <x:c r="C2559" s="11" t="n">
        <x:v>46137</x:v>
      </x:c>
      <x:c r="D2559" s="13" t="n">
        <x:v>1010.03</x:v>
      </x:c>
    </x:row>
    <x:row r="2560">
      <x:c r="A2560" s="9" t="str">
        <x:v>2556</x:v>
      </x:c>
      <x:c r="B2560" s="9" t="str">
        <x:v>1276</x:v>
      </x:c>
      <x:c r="C2560" s="11" t="n">
        <x:v>46189</x:v>
      </x:c>
      <x:c r="D2560" s="13" t="n">
        <x:v>900.99</x:v>
      </x:c>
    </x:row>
    <x:row r="2561">
      <x:c r="A2561" s="9" t="str">
        <x:v>2557</x:v>
      </x:c>
      <x:c r="B2561" s="9" t="str">
        <x:v>1277</x:v>
      </x:c>
      <x:c r="C2561" s="11" t="n">
        <x:v>46065</x:v>
      </x:c>
      <x:c r="D2561" s="13" t="n">
        <x:v>668.75</x:v>
      </x:c>
    </x:row>
    <x:row r="2562">
      <x:c r="A2562" s="9" t="str">
        <x:v>2558</x:v>
      </x:c>
      <x:c r="B2562" s="9" t="str">
        <x:v>1277</x:v>
      </x:c>
      <x:c r="C2562" s="11" t="n">
        <x:v>46102</x:v>
      </x:c>
      <x:c r="D2562" s="13" t="n">
        <x:v>208.57</x:v>
      </x:c>
    </x:row>
    <x:row r="2563">
      <x:c r="A2563" s="9" t="str">
        <x:v>2559</x:v>
      </x:c>
      <x:c r="B2563" s="9" t="str">
        <x:v>1277</x:v>
      </x:c>
      <x:c r="C2563" s="11" t="n">
        <x:v>46179</x:v>
      </x:c>
      <x:c r="D2563" s="13" t="n">
        <x:v>308.84</x:v>
      </x:c>
    </x:row>
    <x:row r="2564">
      <x:c r="A2564" s="9" t="str">
        <x:v>2560</x:v>
      </x:c>
      <x:c r="B2564" s="9" t="str">
        <x:v>1277</x:v>
      </x:c>
      <x:c r="C2564" s="11" t="n">
        <x:v>46073</x:v>
      </x:c>
      <x:c r="D2564" s="13" t="n">
        <x:v>900.38</x:v>
      </x:c>
    </x:row>
    <x:row r="2565">
      <x:c r="A2565" s="9" t="str">
        <x:v>2561</x:v>
      </x:c>
      <x:c r="B2565" s="9" t="str">
        <x:v>1278</x:v>
      </x:c>
      <x:c r="C2565" s="11" t="n">
        <x:v>46191</x:v>
      </x:c>
      <x:c r="D2565" s="13" t="n">
        <x:v>745.49</x:v>
      </x:c>
    </x:row>
    <x:row r="2566">
      <x:c r="A2566" s="9" t="str">
        <x:v>2562</x:v>
      </x:c>
      <x:c r="B2566" s="9" t="str">
        <x:v>1278</x:v>
      </x:c>
      <x:c r="C2566" s="11" t="n">
        <x:v>46173</x:v>
      </x:c>
      <x:c r="D2566" s="13" t="n">
        <x:v>1180.8</x:v>
      </x:c>
    </x:row>
    <x:row r="2567">
      <x:c r="A2567" s="9" t="str">
        <x:v>2563</x:v>
      </x:c>
      <x:c r="B2567" s="9" t="str">
        <x:v>1278</x:v>
      </x:c>
      <x:c r="C2567" s="11" t="n">
        <x:v>46141</x:v>
      </x:c>
      <x:c r="D2567" s="13" t="n">
        <x:v>690.23</x:v>
      </x:c>
    </x:row>
    <x:row r="2568">
      <x:c r="A2568" s="9" t="str">
        <x:v>2564</x:v>
      </x:c>
      <x:c r="B2568" s="9" t="str">
        <x:v>1278</x:v>
      </x:c>
      <x:c r="C2568" s="11" t="n">
        <x:v>46188</x:v>
      </x:c>
      <x:c r="D2568" s="13" t="n">
        <x:v>1653.95</x:v>
      </x:c>
    </x:row>
    <x:row r="2569">
      <x:c r="A2569" s="9" t="str">
        <x:v>2565</x:v>
      </x:c>
      <x:c r="B2569" s="9" t="str">
        <x:v>1279</x:v>
      </x:c>
      <x:c r="C2569" s="11" t="n">
        <x:v>46181</x:v>
      </x:c>
      <x:c r="D2569" s="13" t="n">
        <x:v>162.24</x:v>
      </x:c>
    </x:row>
    <x:row r="2570">
      <x:c r="A2570" s="9" t="str">
        <x:v>2566</x:v>
      </x:c>
      <x:c r="B2570" s="9" t="str">
        <x:v>1279</x:v>
      </x:c>
      <x:c r="C2570" s="11" t="n">
        <x:v>46116</x:v>
      </x:c>
      <x:c r="D2570" s="13" t="n">
        <x:v>1533.13</x:v>
      </x:c>
    </x:row>
    <x:row r="2571">
      <x:c r="A2571" s="9" t="str">
        <x:v>2567</x:v>
      </x:c>
      <x:c r="B2571" s="9" t="str">
        <x:v>1279</x:v>
      </x:c>
      <x:c r="C2571" s="11" t="n">
        <x:v>46169</x:v>
      </x:c>
      <x:c r="D2571" s="13" t="n">
        <x:v>978.86</x:v>
      </x:c>
    </x:row>
    <x:row r="2572">
      <x:c r="A2572" s="9" t="str">
        <x:v>2568</x:v>
      </x:c>
      <x:c r="B2572" s="9" t="str">
        <x:v>1279</x:v>
      </x:c>
      <x:c r="C2572" s="11" t="n">
        <x:v>46199</x:v>
      </x:c>
      <x:c r="D2572" s="13" t="n">
        <x:v>1605.21</x:v>
      </x:c>
    </x:row>
    <x:row r="2573">
      <x:c r="A2573" s="9" t="str">
        <x:v>2569</x:v>
      </x:c>
      <x:c r="B2573" s="9" t="str">
        <x:v>1280</x:v>
      </x:c>
      <x:c r="C2573" s="11" t="n">
        <x:v>46151</x:v>
      </x:c>
      <x:c r="D2573" s="13" t="n">
        <x:v>1795.87</x:v>
      </x:c>
    </x:row>
    <x:row r="2574">
      <x:c r="A2574" s="9" t="str">
        <x:v>2570</x:v>
      </x:c>
      <x:c r="B2574" s="9" t="str">
        <x:v>1280</x:v>
      </x:c>
      <x:c r="C2574" s="11" t="n">
        <x:v>46152</x:v>
      </x:c>
      <x:c r="D2574" s="13" t="n">
        <x:v>482.92</x:v>
      </x:c>
    </x:row>
    <x:row r="2575">
      <x:c r="A2575" s="9" t="str">
        <x:v>2571</x:v>
      </x:c>
      <x:c r="B2575" s="9" t="str">
        <x:v>1280</x:v>
      </x:c>
      <x:c r="C2575" s="11" t="n">
        <x:v>46195</x:v>
      </x:c>
      <x:c r="D2575" s="13" t="n">
        <x:v>1665.69</x:v>
      </x:c>
    </x:row>
    <x:row r="2576">
      <x:c r="A2576" s="9" t="str">
        <x:v>2572</x:v>
      </x:c>
      <x:c r="B2576" s="9" t="str">
        <x:v>1281</x:v>
      </x:c>
      <x:c r="C2576" s="11" t="n">
        <x:v>46177</x:v>
      </x:c>
      <x:c r="D2576" s="13" t="n">
        <x:v>434.04</x:v>
      </x:c>
    </x:row>
    <x:row r="2577">
      <x:c r="A2577" s="9" t="str">
        <x:v>2573</x:v>
      </x:c>
      <x:c r="B2577" s="9" t="str">
        <x:v>1281</x:v>
      </x:c>
      <x:c r="C2577" s="11" t="n">
        <x:v>46190</x:v>
      </x:c>
      <x:c r="D2577" s="13" t="n">
        <x:v>352.74</x:v>
      </x:c>
    </x:row>
    <x:row r="2578">
      <x:c r="A2578" s="9" t="str">
        <x:v>2574</x:v>
      </x:c>
      <x:c r="B2578" s="9" t="str">
        <x:v>1281</x:v>
      </x:c>
      <x:c r="C2578" s="11" t="n">
        <x:v>46191</x:v>
      </x:c>
      <x:c r="D2578" s="13" t="n">
        <x:v>263.6</x:v>
      </x:c>
    </x:row>
    <x:row r="2579">
      <x:c r="A2579" s="9" t="str">
        <x:v>2575</x:v>
      </x:c>
      <x:c r="B2579" s="9" t="str">
        <x:v>1281</x:v>
      </x:c>
      <x:c r="C2579" s="11" t="n">
        <x:v>46120</x:v>
      </x:c>
      <x:c r="D2579" s="13" t="n">
        <x:v>523.89</x:v>
      </x:c>
    </x:row>
    <x:row r="2580">
      <x:c r="A2580" s="9" t="str">
        <x:v>2576</x:v>
      </x:c>
      <x:c r="B2580" s="9" t="str">
        <x:v>1282</x:v>
      </x:c>
      <x:c r="C2580" s="11" t="n">
        <x:v>46192</x:v>
      </x:c>
      <x:c r="D2580" s="13" t="n">
        <x:v>680.27</x:v>
      </x:c>
    </x:row>
    <x:row r="2581">
      <x:c r="A2581" s="9" t="str">
        <x:v>2577</x:v>
      </x:c>
      <x:c r="B2581" s="9" t="str">
        <x:v>1282</x:v>
      </x:c>
      <x:c r="C2581" s="11" t="n">
        <x:v>46203</x:v>
      </x:c>
      <x:c r="D2581" s="13" t="n">
        <x:v>408.18</x:v>
      </x:c>
    </x:row>
    <x:row r="2582">
      <x:c r="A2582" s="9" t="str">
        <x:v>2578</x:v>
      </x:c>
      <x:c r="B2582" s="9" t="str">
        <x:v>1285</x:v>
      </x:c>
      <x:c r="C2582" s="11" t="n">
        <x:v>46162</x:v>
      </x:c>
      <x:c r="D2582" s="13" t="n">
        <x:v>712.22</x:v>
      </x:c>
    </x:row>
    <x:row r="2583">
      <x:c r="A2583" s="9" t="str">
        <x:v>2579</x:v>
      </x:c>
      <x:c r="B2583" s="9" t="str">
        <x:v>1285</x:v>
      </x:c>
      <x:c r="C2583" s="11" t="n">
        <x:v>46132</x:v>
      </x:c>
      <x:c r="D2583" s="13" t="n">
        <x:v>159.2</x:v>
      </x:c>
    </x:row>
    <x:row r="2584">
      <x:c r="A2584" s="9" t="str">
        <x:v>2580</x:v>
      </x:c>
      <x:c r="B2584" s="9" t="str">
        <x:v>1285</x:v>
      </x:c>
      <x:c r="C2584" s="11" t="n">
        <x:v>46149</x:v>
      </x:c>
      <x:c r="D2584" s="13" t="n">
        <x:v>832.85</x:v>
      </x:c>
    </x:row>
    <x:row r="2585">
      <x:c r="A2585" s="9" t="str">
        <x:v>2581</x:v>
      </x:c>
      <x:c r="B2585" s="9" t="str">
        <x:v>1286</x:v>
      </x:c>
      <x:c r="C2585" s="11" t="n">
        <x:v>46202</x:v>
      </x:c>
      <x:c r="D2585" s="13" t="n">
        <x:v>74.85</x:v>
      </x:c>
    </x:row>
    <x:row r="2586">
      <x:c r="A2586" s="9" t="str">
        <x:v>2582</x:v>
      </x:c>
      <x:c r="B2586" s="9" t="str">
        <x:v>1286</x:v>
      </x:c>
      <x:c r="C2586" s="11" t="n">
        <x:v>46203</x:v>
      </x:c>
      <x:c r="D2586" s="13" t="n">
        <x:v>617.91</x:v>
      </x:c>
    </x:row>
    <x:row r="2587">
      <x:c r="A2587" s="9" t="str">
        <x:v>2583</x:v>
      </x:c>
      <x:c r="B2587" s="9" t="str">
        <x:v>1287</x:v>
      </x:c>
      <x:c r="C2587" s="11" t="n">
        <x:v>46113</x:v>
      </x:c>
      <x:c r="D2587" s="13" t="n">
        <x:v>219.93</x:v>
      </x:c>
    </x:row>
    <x:row r="2588">
      <x:c r="A2588" s="9" t="str">
        <x:v>2584</x:v>
      </x:c>
      <x:c r="B2588" s="9" t="str">
        <x:v>1287</x:v>
      </x:c>
      <x:c r="C2588" s="11" t="n">
        <x:v>46135</x:v>
      </x:c>
      <x:c r="D2588" s="13" t="n">
        <x:v>585.64</x:v>
      </x:c>
    </x:row>
    <x:row r="2589">
      <x:c r="A2589" s="9" t="str">
        <x:v>2585</x:v>
      </x:c>
      <x:c r="B2589" s="9" t="str">
        <x:v>1287</x:v>
      </x:c>
      <x:c r="C2589" s="11" t="n">
        <x:v>46176</x:v>
      </x:c>
      <x:c r="D2589" s="13" t="n">
        <x:v>146.91</x:v>
      </x:c>
    </x:row>
    <x:row r="2590">
      <x:c r="A2590" s="9" t="str">
        <x:v>2586</x:v>
      </x:c>
      <x:c r="B2590" s="9" t="str">
        <x:v>1288</x:v>
      </x:c>
      <x:c r="C2590" s="11" t="n">
        <x:v>46170</x:v>
      </x:c>
      <x:c r="D2590" s="13" t="n">
        <x:v>72.82</x:v>
      </x:c>
    </x:row>
    <x:row r="2591">
      <x:c r="A2591" s="9" t="str">
        <x:v>2587</x:v>
      </x:c>
      <x:c r="B2591" s="9" t="str">
        <x:v>1288</x:v>
      </x:c>
      <x:c r="C2591" s="11" t="n">
        <x:v>46149</x:v>
      </x:c>
      <x:c r="D2591" s="13" t="n">
        <x:v>553.43</x:v>
      </x:c>
    </x:row>
    <x:row r="2592">
      <x:c r="A2592" s="9" t="str">
        <x:v>2588</x:v>
      </x:c>
      <x:c r="B2592" s="9" t="str">
        <x:v>1288</x:v>
      </x:c>
      <x:c r="C2592" s="11" t="n">
        <x:v>46160</x:v>
      </x:c>
      <x:c r="D2592" s="13" t="n">
        <x:v>774.5</x:v>
      </x:c>
    </x:row>
    <x:row r="2593">
      <x:c r="A2593" s="9" t="str">
        <x:v>2589</x:v>
      </x:c>
      <x:c r="B2593" s="9" t="str">
        <x:v>1289</x:v>
      </x:c>
      <x:c r="C2593" s="11" t="n">
        <x:v>46170</x:v>
      </x:c>
      <x:c r="D2593" s="13" t="n">
        <x:v>211.64</x:v>
      </x:c>
    </x:row>
    <x:row r="2594">
      <x:c r="A2594" s="9" t="str">
        <x:v>2590</x:v>
      </x:c>
      <x:c r="B2594" s="9" t="str">
        <x:v>1290</x:v>
      </x:c>
      <x:c r="C2594" s="11" t="n">
        <x:v>46139</x:v>
      </x:c>
      <x:c r="D2594" s="13" t="n">
        <x:v>1267.01</x:v>
      </x:c>
    </x:row>
    <x:row r="2595">
      <x:c r="A2595" s="9" t="str">
        <x:v>2591</x:v>
      </x:c>
      <x:c r="B2595" s="9" t="str">
        <x:v>1290</x:v>
      </x:c>
      <x:c r="C2595" s="11" t="n">
        <x:v>46192</x:v>
      </x:c>
      <x:c r="D2595" s="13" t="n">
        <x:v>163.54</x:v>
      </x:c>
    </x:row>
    <x:row r="2596">
      <x:c r="A2596" s="9" t="str">
        <x:v>2592</x:v>
      </x:c>
      <x:c r="B2596" s="9" t="str">
        <x:v>1292</x:v>
      </x:c>
      <x:c r="C2596" s="11" t="n">
        <x:v>46172</x:v>
      </x:c>
      <x:c r="D2596" s="13" t="n">
        <x:v>621.18</x:v>
      </x:c>
    </x:row>
    <x:row r="2597">
      <x:c r="A2597" s="9" t="str">
        <x:v>2593</x:v>
      </x:c>
      <x:c r="B2597" s="9" t="str">
        <x:v>1293</x:v>
      </x:c>
      <x:c r="C2597" s="11" t="n">
        <x:v>46163</x:v>
      </x:c>
      <x:c r="D2597" s="13" t="n">
        <x:v>640.48</x:v>
      </x:c>
    </x:row>
    <x:row r="2598">
      <x:c r="A2598" s="9" t="str">
        <x:v>2594</x:v>
      </x:c>
      <x:c r="B2598" s="9" t="str">
        <x:v>1293</x:v>
      </x:c>
      <x:c r="C2598" s="11" t="n">
        <x:v>46132</x:v>
      </x:c>
      <x:c r="D2598" s="13" t="n">
        <x:v>465.85</x:v>
      </x:c>
    </x:row>
    <x:row r="2599">
      <x:c r="A2599" s="9" t="str">
        <x:v>2595</x:v>
      </x:c>
      <x:c r="B2599" s="9" t="str">
        <x:v>1293</x:v>
      </x:c>
      <x:c r="C2599" s="11" t="n">
        <x:v>46144</x:v>
      </x:c>
      <x:c r="D2599" s="13" t="n">
        <x:v>362.39</x:v>
      </x:c>
    </x:row>
    <x:row r="2600">
      <x:c r="A2600" s="9" t="str">
        <x:v>2596</x:v>
      </x:c>
      <x:c r="B2600" s="9" t="str">
        <x:v>1294</x:v>
      </x:c>
      <x:c r="C2600" s="11" t="n">
        <x:v>46165</x:v>
      </x:c>
      <x:c r="D2600" s="13" t="n">
        <x:v>561.78</x:v>
      </x:c>
    </x:row>
    <x:row r="2601">
      <x:c r="A2601" s="9" t="str">
        <x:v>2597</x:v>
      </x:c>
      <x:c r="B2601" s="9" t="str">
        <x:v>1295</x:v>
      </x:c>
      <x:c r="C2601" s="11" t="n">
        <x:v>46157</x:v>
      </x:c>
      <x:c r="D2601" s="13" t="n">
        <x:v>286.94</x:v>
      </x:c>
    </x:row>
    <x:row r="2602">
      <x:c r="A2602" s="9" t="str">
        <x:v>2598</x:v>
      </x:c>
      <x:c r="B2602" s="9" t="str">
        <x:v>1296</x:v>
      </x:c>
      <x:c r="C2602" s="11" t="n">
        <x:v>46106</x:v>
      </x:c>
      <x:c r="D2602" s="13" t="n">
        <x:v>2000.24</x:v>
      </x:c>
    </x:row>
    <x:row r="2603">
      <x:c r="A2603" s="9" t="str">
        <x:v>2599</x:v>
      </x:c>
      <x:c r="B2603" s="9" t="str">
        <x:v>1297</x:v>
      </x:c>
      <x:c r="C2603" s="11" t="n">
        <x:v>46137</x:v>
      </x:c>
      <x:c r="D2603" s="13" t="n">
        <x:v>1686.04</x:v>
      </x:c>
    </x:row>
    <x:row r="2604">
      <x:c r="A2604" s="9" t="str">
        <x:v>2600</x:v>
      </x:c>
      <x:c r="B2604" s="9" t="str">
        <x:v>1298</x:v>
      </x:c>
      <x:c r="C2604" s="11" t="n">
        <x:v>46134</x:v>
      </x:c>
      <x:c r="D2604" s="13" t="n">
        <x:v>483.34</x:v>
      </x:c>
    </x:row>
    <x:row r="2605">
      <x:c r="A2605" s="9" t="str">
        <x:v>2601</x:v>
      </x:c>
      <x:c r="B2605" s="9" t="str">
        <x:v>1299</x:v>
      </x:c>
      <x:c r="C2605" s="11" t="n">
        <x:v>46147</x:v>
      </x:c>
      <x:c r="D2605" s="13" t="n">
        <x:v>733.49</x:v>
      </x:c>
    </x:row>
    <x:row r="2606">
      <x:c r="A2606" s="9" t="str">
        <x:v>2602</x:v>
      </x:c>
      <x:c r="B2606" s="9" t="str">
        <x:v>1299</x:v>
      </x:c>
      <x:c r="C2606" s="11" t="n">
        <x:v>46193</x:v>
      </x:c>
      <x:c r="D2606" s="13" t="n">
        <x:v>1926.83</x:v>
      </x:c>
    </x:row>
    <x:row r="2607">
      <x:c r="A2607" s="9" t="str">
        <x:v>2603</x:v>
      </x:c>
      <x:c r="B2607" s="9" t="str">
        <x:v>1301</x:v>
      </x:c>
      <x:c r="C2607" s="11" t="n">
        <x:v>46183</x:v>
      </x:c>
      <x:c r="D2607" s="13" t="n">
        <x:v>82.22</x:v>
      </x:c>
    </x:row>
    <x:row r="2608">
      <x:c r="A2608" s="9" t="str">
        <x:v>2604</x:v>
      </x:c>
      <x:c r="B2608" s="9" t="str">
        <x:v>1304</x:v>
      </x:c>
      <x:c r="C2608" s="11" t="n">
        <x:v>46158</x:v>
      </x:c>
      <x:c r="D2608" s="13" t="n">
        <x:v>1047.68</x:v>
      </x:c>
    </x:row>
    <x:row r="2609">
      <x:c r="A2609" s="9" t="str">
        <x:v>2605</x:v>
      </x:c>
      <x:c r="B2609" s="9" t="str">
        <x:v>1304</x:v>
      </x:c>
      <x:c r="C2609" s="11" t="n">
        <x:v>46174</x:v>
      </x:c>
      <x:c r="D2609" s="13" t="n">
        <x:v>388.02</x:v>
      </x:c>
    </x:row>
    <x:row r="2610">
      <x:c r="A2610" s="9" t="str">
        <x:v>2606</x:v>
      </x:c>
      <x:c r="B2610" s="9" t="str">
        <x:v>1304</x:v>
      </x:c>
      <x:c r="C2610" s="11" t="n">
        <x:v>46149</x:v>
      </x:c>
      <x:c r="D2610" s="13" t="n">
        <x:v>1390.33</x:v>
      </x:c>
    </x:row>
    <x:row r="2611">
      <x:c r="A2611" s="9" t="str">
        <x:v>2607</x:v>
      </x:c>
      <x:c r="B2611" s="9" t="str">
        <x:v>1305</x:v>
      </x:c>
      <x:c r="C2611" s="11" t="n">
        <x:v>46159</x:v>
      </x:c>
      <x:c r="D2611" s="13" t="n">
        <x:v>2188.26</x:v>
      </x:c>
    </x:row>
    <x:row r="2612">
      <x:c r="A2612" s="9" t="str">
        <x:v>2608</x:v>
      </x:c>
      <x:c r="B2612" s="9" t="str">
        <x:v>1305</x:v>
      </x:c>
      <x:c r="C2612" s="11" t="n">
        <x:v>46169</x:v>
      </x:c>
      <x:c r="D2612" s="13" t="n">
        <x:v>450.92</x:v>
      </x:c>
    </x:row>
    <x:row r="2613">
      <x:c r="A2613" s="9" t="str">
        <x:v>2609</x:v>
      </x:c>
      <x:c r="B2613" s="9" t="str">
        <x:v>1307</x:v>
      </x:c>
      <x:c r="C2613" s="11" t="n">
        <x:v>46104</x:v>
      </x:c>
      <x:c r="D2613" s="13" t="n">
        <x:v>181.03</x:v>
      </x:c>
    </x:row>
    <x:row r="2614">
      <x:c r="A2614" s="9" t="str">
        <x:v>2610</x:v>
      </x:c>
      <x:c r="B2614" s="9" t="str">
        <x:v>1308</x:v>
      </x:c>
      <x:c r="C2614" s="11" t="n">
        <x:v>46100</x:v>
      </x:c>
      <x:c r="D2614" s="13" t="n">
        <x:v>110.51</x:v>
      </x:c>
    </x:row>
    <x:row r="2615">
      <x:c r="A2615" s="9" t="str">
        <x:v>2611</x:v>
      </x:c>
      <x:c r="B2615" s="9" t="str">
        <x:v>1308</x:v>
      </x:c>
      <x:c r="C2615" s="11" t="n">
        <x:v>46194</x:v>
      </x:c>
      <x:c r="D2615" s="13" t="n">
        <x:v>83.27</x:v>
      </x:c>
    </x:row>
    <x:row r="2616">
      <x:c r="A2616" s="9" t="str">
        <x:v>2612</x:v>
      </x:c>
      <x:c r="B2616" s="9" t="str">
        <x:v>1308</x:v>
      </x:c>
      <x:c r="C2616" s="11" t="n">
        <x:v>46096</x:v>
      </x:c>
      <x:c r="D2616" s="13" t="n">
        <x:v>43.1</x:v>
      </x:c>
    </x:row>
    <x:row r="2617">
      <x:c r="A2617" s="9" t="str">
        <x:v>2613</x:v>
      </x:c>
      <x:c r="B2617" s="9" t="str">
        <x:v>1308</x:v>
      </x:c>
      <x:c r="C2617" s="11" t="n">
        <x:v>46091</x:v>
      </x:c>
      <x:c r="D2617" s="13" t="n">
        <x:v>84.65</x:v>
      </x:c>
    </x:row>
    <x:row r="2618">
      <x:c r="A2618" s="9" t="str">
        <x:v>2614</x:v>
      </x:c>
      <x:c r="B2618" s="9" t="str">
        <x:v>1309</x:v>
      </x:c>
      <x:c r="C2618" s="11" t="n">
        <x:v>46146</x:v>
      </x:c>
      <x:c r="D2618" s="13" t="n">
        <x:v>401.12</x:v>
      </x:c>
    </x:row>
    <x:row r="2619">
      <x:c r="A2619" s="9" t="str">
        <x:v>2615</x:v>
      </x:c>
      <x:c r="B2619" s="9" t="str">
        <x:v>1309</x:v>
      </x:c>
      <x:c r="C2619" s="11" t="n">
        <x:v>46162</x:v>
      </x:c>
      <x:c r="D2619" s="13" t="n">
        <x:v>590.27</x:v>
      </x:c>
    </x:row>
    <x:row r="2620">
      <x:c r="A2620" s="9" t="str">
        <x:v>2616</x:v>
      </x:c>
      <x:c r="B2620" s="9" t="str">
        <x:v>1309</x:v>
      </x:c>
      <x:c r="C2620" s="11" t="n">
        <x:v>46130</x:v>
      </x:c>
      <x:c r="D2620" s="13" t="n">
        <x:v>16.52</x:v>
      </x:c>
    </x:row>
    <x:row r="2621">
      <x:c r="A2621" s="9" t="str">
        <x:v>2617</x:v>
      </x:c>
      <x:c r="B2621" s="9" t="str">
        <x:v>1310</x:v>
      </x:c>
      <x:c r="C2621" s="11" t="n">
        <x:v>46198</x:v>
      </x:c>
      <x:c r="D2621" s="13" t="n">
        <x:v>735.42</x:v>
      </x:c>
    </x:row>
    <x:row r="2622">
      <x:c r="A2622" s="9" t="str">
        <x:v>2618</x:v>
      </x:c>
      <x:c r="B2622" s="9" t="str">
        <x:v>1311</x:v>
      </x:c>
      <x:c r="C2622" s="11" t="n">
        <x:v>46160</x:v>
      </x:c>
      <x:c r="D2622" s="13" t="n">
        <x:v>555.9</x:v>
      </x:c>
    </x:row>
    <x:row r="2623">
      <x:c r="A2623" s="9" t="str">
        <x:v>2619</x:v>
      </x:c>
      <x:c r="B2623" s="9" t="str">
        <x:v>1311</x:v>
      </x:c>
      <x:c r="C2623" s="11" t="n">
        <x:v>46156</x:v>
      </x:c>
      <x:c r="D2623" s="13" t="n">
        <x:v>147.92</x:v>
      </x:c>
    </x:row>
    <x:row r="2624">
      <x:c r="A2624" s="9" t="str">
        <x:v>2620</x:v>
      </x:c>
      <x:c r="B2624" s="9" t="str">
        <x:v>1311</x:v>
      </x:c>
      <x:c r="C2624" s="11" t="n">
        <x:v>46169</x:v>
      </x:c>
      <x:c r="D2624" s="13" t="n">
        <x:v>629.61</x:v>
      </x:c>
    </x:row>
    <x:row r="2625">
      <x:c r="A2625" s="9" t="str">
        <x:v>2621</x:v>
      </x:c>
      <x:c r="B2625" s="9" t="str">
        <x:v>1312</x:v>
      </x:c>
      <x:c r="C2625" s="11" t="n">
        <x:v>46162</x:v>
      </x:c>
      <x:c r="D2625" s="13" t="n">
        <x:v>896.21</x:v>
      </x:c>
    </x:row>
    <x:row r="2626">
      <x:c r="A2626" s="9" t="str">
        <x:v>2622</x:v>
      </x:c>
      <x:c r="B2626" s="9" t="str">
        <x:v>1313</x:v>
      </x:c>
      <x:c r="C2626" s="11" t="n">
        <x:v>46198</x:v>
      </x:c>
      <x:c r="D2626" s="13" t="n">
        <x:v>548.47</x:v>
      </x:c>
    </x:row>
    <x:row r="2627">
      <x:c r="A2627" s="9" t="str">
        <x:v>2623</x:v>
      </x:c>
      <x:c r="B2627" s="9" t="str">
        <x:v>1313</x:v>
      </x:c>
      <x:c r="C2627" s="11" t="n">
        <x:v>46195</x:v>
      </x:c>
      <x:c r="D2627" s="13" t="n">
        <x:v>440.6</x:v>
      </x:c>
    </x:row>
    <x:row r="2628">
      <x:c r="A2628" s="9" t="str">
        <x:v>2624</x:v>
      </x:c>
      <x:c r="B2628" s="9" t="str">
        <x:v>1314</x:v>
      </x:c>
      <x:c r="C2628" s="11" t="n">
        <x:v>46194</x:v>
      </x:c>
      <x:c r="D2628" s="13" t="n">
        <x:v>451.58</x:v>
      </x:c>
    </x:row>
    <x:row r="2629">
      <x:c r="A2629" s="9" t="str">
        <x:v>2625</x:v>
      </x:c>
      <x:c r="B2629" s="9" t="str">
        <x:v>1315</x:v>
      </x:c>
      <x:c r="C2629" s="11" t="n">
        <x:v>46185</x:v>
      </x:c>
      <x:c r="D2629" s="13" t="n">
        <x:v>40.3</x:v>
      </x:c>
    </x:row>
    <x:row r="2630">
      <x:c r="A2630" s="9" t="str">
        <x:v>2626</x:v>
      </x:c>
      <x:c r="B2630" s="9" t="str">
        <x:v>1316</x:v>
      </x:c>
      <x:c r="C2630" s="11" t="n">
        <x:v>46028</x:v>
      </x:c>
      <x:c r="D2630" s="13" t="n">
        <x:v>372.99</x:v>
      </x:c>
    </x:row>
    <x:row r="2631">
      <x:c r="A2631" s="9" t="str">
        <x:v>2627</x:v>
      </x:c>
      <x:c r="B2631" s="9" t="str">
        <x:v>1316</x:v>
      </x:c>
      <x:c r="C2631" s="11" t="n">
        <x:v>46059</x:v>
      </x:c>
      <x:c r="D2631" s="13" t="n">
        <x:v>374.33</x:v>
      </x:c>
    </x:row>
    <x:row r="2632">
      <x:c r="A2632" s="9" t="str">
        <x:v>2628</x:v>
      </x:c>
      <x:c r="B2632" s="9" t="str">
        <x:v>1316</x:v>
      </x:c>
      <x:c r="C2632" s="11" t="n">
        <x:v>46094</x:v>
      </x:c>
      <x:c r="D2632" s="13" t="n">
        <x:v>263.36</x:v>
      </x:c>
    </x:row>
    <x:row r="2633">
      <x:c r="A2633" s="9" t="str">
        <x:v>2629</x:v>
      </x:c>
      <x:c r="B2633" s="9" t="str">
        <x:v>1317</x:v>
      </x:c>
      <x:c r="C2633" s="11" t="n">
        <x:v>46117</x:v>
      </x:c>
      <x:c r="D2633" s="13" t="n">
        <x:v>2207.62</x:v>
      </x:c>
    </x:row>
    <x:row r="2634">
      <x:c r="A2634" s="9" t="str">
        <x:v>2630</x:v>
      </x:c>
      <x:c r="B2634" s="9" t="str">
        <x:v>1317</x:v>
      </x:c>
      <x:c r="C2634" s="11" t="n">
        <x:v>46173</x:v>
      </x:c>
      <x:c r="D2634" s="13" t="n">
        <x:v>1972.58</x:v>
      </x:c>
    </x:row>
    <x:row r="2635">
      <x:c r="A2635" s="9" t="str">
        <x:v>2631</x:v>
      </x:c>
      <x:c r="B2635" s="9" t="str">
        <x:v>1318</x:v>
      </x:c>
      <x:c r="C2635" s="11" t="n">
        <x:v>46201</x:v>
      </x:c>
      <x:c r="D2635" s="13" t="n">
        <x:v>1067.12</x:v>
      </x:c>
    </x:row>
    <x:row r="2636">
      <x:c r="A2636" s="9" t="str">
        <x:v>2632</x:v>
      </x:c>
      <x:c r="B2636" s="9" t="str">
        <x:v>1318</x:v>
      </x:c>
      <x:c r="C2636" s="11" t="n">
        <x:v>46164</x:v>
      </x:c>
      <x:c r="D2636" s="13" t="n">
        <x:v>836.55</x:v>
      </x:c>
    </x:row>
    <x:row r="2637">
      <x:c r="A2637" s="9" t="str">
        <x:v>2633</x:v>
      </x:c>
      <x:c r="B2637" s="9" t="str">
        <x:v>1318</x:v>
      </x:c>
      <x:c r="C2637" s="11" t="n">
        <x:v>46153</x:v>
      </x:c>
      <x:c r="D2637" s="13" t="n">
        <x:v>24.87</x:v>
      </x:c>
    </x:row>
    <x:row r="2638">
      <x:c r="A2638" s="9" t="str">
        <x:v>2634</x:v>
      </x:c>
      <x:c r="B2638" s="9" t="str">
        <x:v>1318</x:v>
      </x:c>
      <x:c r="C2638" s="11" t="n">
        <x:v>46199</x:v>
      </x:c>
      <x:c r="D2638" s="13" t="n">
        <x:v>528.27</x:v>
      </x:c>
    </x:row>
    <x:row r="2639">
      <x:c r="A2639" s="9" t="str">
        <x:v>2635</x:v>
      </x:c>
      <x:c r="B2639" s="9" t="str">
        <x:v>1319</x:v>
      </x:c>
      <x:c r="C2639" s="11" t="n">
        <x:v>46124</x:v>
      </x:c>
      <x:c r="D2639" s="13" t="n">
        <x:v>1193.57</x:v>
      </x:c>
    </x:row>
    <x:row r="2640">
      <x:c r="A2640" s="9" t="str">
        <x:v>2636</x:v>
      </x:c>
      <x:c r="B2640" s="9" t="str">
        <x:v>1319</x:v>
      </x:c>
      <x:c r="C2640" s="11" t="n">
        <x:v>46191</x:v>
      </x:c>
      <x:c r="D2640" s="13" t="n">
        <x:v>1089.23</x:v>
      </x:c>
    </x:row>
    <x:row r="2641">
      <x:c r="A2641" s="9" t="str">
        <x:v>2637</x:v>
      </x:c>
      <x:c r="B2641" s="9" t="str">
        <x:v>1319</x:v>
      </x:c>
      <x:c r="C2641" s="11" t="n">
        <x:v>46148</x:v>
      </x:c>
      <x:c r="D2641" s="13" t="n">
        <x:v>597.71</x:v>
      </x:c>
    </x:row>
    <x:row r="2642">
      <x:c r="A2642" s="9" t="str">
        <x:v>2638</x:v>
      </x:c>
      <x:c r="B2642" s="9" t="str">
        <x:v>1321</x:v>
      </x:c>
      <x:c r="C2642" s="11" t="n">
        <x:v>46142</x:v>
      </x:c>
      <x:c r="D2642" s="13" t="n">
        <x:v>1439.98</x:v>
      </x:c>
    </x:row>
    <x:row r="2643">
      <x:c r="A2643" s="9" t="str">
        <x:v>2639</x:v>
      </x:c>
      <x:c r="B2643" s="9" t="str">
        <x:v>1321</x:v>
      </x:c>
      <x:c r="C2643" s="11" t="n">
        <x:v>46090</x:v>
      </x:c>
      <x:c r="D2643" s="13" t="n">
        <x:v>242.28</x:v>
      </x:c>
    </x:row>
    <x:row r="2644">
      <x:c r="A2644" s="9" t="str">
        <x:v>2640</x:v>
      </x:c>
      <x:c r="B2644" s="9" t="str">
        <x:v>1321</x:v>
      </x:c>
      <x:c r="C2644" s="11" t="n">
        <x:v>46186</x:v>
      </x:c>
      <x:c r="D2644" s="13" t="n">
        <x:v>196.53</x:v>
      </x:c>
    </x:row>
    <x:row r="2645">
      <x:c r="A2645" s="9" t="str">
        <x:v>2641</x:v>
      </x:c>
      <x:c r="B2645" s="9" t="str">
        <x:v>1321</x:v>
      </x:c>
      <x:c r="C2645" s="11" t="n">
        <x:v>46130</x:v>
      </x:c>
      <x:c r="D2645" s="13" t="n">
        <x:v>1304</x:v>
      </x:c>
    </x:row>
    <x:row r="2646">
      <x:c r="A2646" s="9" t="str">
        <x:v>2642</x:v>
      </x:c>
      <x:c r="B2646" s="9" t="str">
        <x:v>1323</x:v>
      </x:c>
      <x:c r="C2646" s="11" t="n">
        <x:v>46167</x:v>
      </x:c>
      <x:c r="D2646" s="13" t="n">
        <x:v>49.01</x:v>
      </x:c>
    </x:row>
    <x:row r="2647">
      <x:c r="A2647" s="9" t="str">
        <x:v>2643</x:v>
      </x:c>
      <x:c r="B2647" s="9" t="str">
        <x:v>1323</x:v>
      </x:c>
      <x:c r="C2647" s="11" t="n">
        <x:v>46072</x:v>
      </x:c>
      <x:c r="D2647" s="13" t="n">
        <x:v>188.35</x:v>
      </x:c>
    </x:row>
    <x:row r="2648">
      <x:c r="A2648" s="9" t="str">
        <x:v>2644</x:v>
      </x:c>
      <x:c r="B2648" s="9" t="str">
        <x:v>1323</x:v>
      </x:c>
      <x:c r="C2648" s="11" t="n">
        <x:v>46082</x:v>
      </x:c>
      <x:c r="D2648" s="13" t="n">
        <x:v>255.1</x:v>
      </x:c>
    </x:row>
    <x:row r="2649">
      <x:c r="A2649" s="9" t="str">
        <x:v>2645</x:v>
      </x:c>
      <x:c r="B2649" s="9" t="str">
        <x:v>1324</x:v>
      </x:c>
      <x:c r="C2649" s="11" t="n">
        <x:v>46124</x:v>
      </x:c>
      <x:c r="D2649" s="13" t="n">
        <x:v>872.78</x:v>
      </x:c>
    </x:row>
    <x:row r="2650">
      <x:c r="A2650" s="9" t="str">
        <x:v>2646</x:v>
      </x:c>
      <x:c r="B2650" s="9" t="str">
        <x:v>1324</x:v>
      </x:c>
      <x:c r="C2650" s="11" t="n">
        <x:v>46119</x:v>
      </x:c>
      <x:c r="D2650" s="13" t="n">
        <x:v>1461.01</x:v>
      </x:c>
    </x:row>
    <x:row r="2651">
      <x:c r="A2651" s="9" t="str">
        <x:v>2647</x:v>
      </x:c>
      <x:c r="B2651" s="9" t="str">
        <x:v>1324</x:v>
      </x:c>
      <x:c r="C2651" s="11" t="n">
        <x:v>46093</x:v>
      </x:c>
      <x:c r="D2651" s="13" t="n">
        <x:v>418.77</x:v>
      </x:c>
    </x:row>
    <x:row r="2652">
      <x:c r="A2652" s="9" t="str">
        <x:v>2648</x:v>
      </x:c>
      <x:c r="B2652" s="9" t="str">
        <x:v>1324</x:v>
      </x:c>
      <x:c r="C2652" s="11" t="n">
        <x:v>46126</x:v>
      </x:c>
      <x:c r="D2652" s="13" t="n">
        <x:v>559.26</x:v>
      </x:c>
    </x:row>
    <x:row r="2653">
      <x:c r="A2653" s="9" t="str">
        <x:v>2649</x:v>
      </x:c>
      <x:c r="B2653" s="9" t="str">
        <x:v>1325</x:v>
      </x:c>
      <x:c r="C2653" s="11" t="n">
        <x:v>46171</x:v>
      </x:c>
      <x:c r="D2653" s="13" t="n">
        <x:v>1041.8</x:v>
      </x:c>
    </x:row>
    <x:row r="2654">
      <x:c r="A2654" s="9" t="str">
        <x:v>2650</x:v>
      </x:c>
      <x:c r="B2654" s="9" t="str">
        <x:v>1325</x:v>
      </x:c>
      <x:c r="C2654" s="11" t="n">
        <x:v>46070</x:v>
      </x:c>
      <x:c r="D2654" s="13" t="n">
        <x:v>139.6</x:v>
      </x:c>
    </x:row>
    <x:row r="2655">
      <x:c r="A2655" s="9" t="str">
        <x:v>2651</x:v>
      </x:c>
      <x:c r="B2655" s="9" t="str">
        <x:v>1327</x:v>
      </x:c>
      <x:c r="C2655" s="11" t="n">
        <x:v>46187</x:v>
      </x:c>
      <x:c r="D2655" s="13" t="n">
        <x:v>2235.95</x:v>
      </x:c>
    </x:row>
    <x:row r="2656">
      <x:c r="A2656" s="9" t="str">
        <x:v>2652</x:v>
      </x:c>
      <x:c r="B2656" s="9" t="str">
        <x:v>1327</x:v>
      </x:c>
      <x:c r="C2656" s="11" t="n">
        <x:v>46182</x:v>
      </x:c>
      <x:c r="D2656" s="13" t="n">
        <x:v>976</x:v>
      </x:c>
    </x:row>
    <x:row r="2657">
      <x:c r="A2657" s="9" t="str">
        <x:v>2653</x:v>
      </x:c>
      <x:c r="B2657" s="9" t="str">
        <x:v>1327</x:v>
      </x:c>
      <x:c r="C2657" s="11" t="n">
        <x:v>46132</x:v>
      </x:c>
      <x:c r="D2657" s="13" t="n">
        <x:v>1007.62</x:v>
      </x:c>
    </x:row>
    <x:row r="2658">
      <x:c r="A2658" s="9" t="str">
        <x:v>2654</x:v>
      </x:c>
      <x:c r="B2658" s="9" t="str">
        <x:v>1328</x:v>
      </x:c>
      <x:c r="C2658" s="11" t="n">
        <x:v>46173</x:v>
      </x:c>
      <x:c r="D2658" s="13" t="n">
        <x:v>754.38</x:v>
      </x:c>
    </x:row>
    <x:row r="2659">
      <x:c r="A2659" s="9" t="str">
        <x:v>2655</x:v>
      </x:c>
      <x:c r="B2659" s="9" t="str">
        <x:v>1328</x:v>
      </x:c>
      <x:c r="C2659" s="11" t="n">
        <x:v>46185</x:v>
      </x:c>
      <x:c r="D2659" s="13" t="n">
        <x:v>209.58</x:v>
      </x:c>
    </x:row>
    <x:row r="2660">
      <x:c r="A2660" s="9" t="str">
        <x:v>2656</x:v>
      </x:c>
      <x:c r="B2660" s="9" t="str">
        <x:v>1330</x:v>
      </x:c>
      <x:c r="C2660" s="11" t="n">
        <x:v>46182</x:v>
      </x:c>
      <x:c r="D2660" s="13" t="n">
        <x:v>733.3</x:v>
      </x:c>
    </x:row>
    <x:row r="2661">
      <x:c r="A2661" s="9" t="str">
        <x:v>2657</x:v>
      </x:c>
      <x:c r="B2661" s="9" t="str">
        <x:v>1330</x:v>
      </x:c>
      <x:c r="C2661" s="11" t="n">
        <x:v>46161</x:v>
      </x:c>
      <x:c r="D2661" s="13" t="n">
        <x:v>1388.12</x:v>
      </x:c>
    </x:row>
    <x:row r="2662">
      <x:c r="A2662" s="9" t="str">
        <x:v>2658</x:v>
      </x:c>
      <x:c r="B2662" s="9" t="str">
        <x:v>1330</x:v>
      </x:c>
      <x:c r="C2662" s="11" t="n">
        <x:v>46165</x:v>
      </x:c>
      <x:c r="D2662" s="13" t="n">
        <x:v>1126.52</x:v>
      </x:c>
    </x:row>
    <x:row r="2663">
      <x:c r="A2663" s="9" t="str">
        <x:v>2659</x:v>
      </x:c>
      <x:c r="B2663" s="9" t="str">
        <x:v>1330</x:v>
      </x:c>
      <x:c r="C2663" s="11" t="n">
        <x:v>46180</x:v>
      </x:c>
      <x:c r="D2663" s="13" t="n">
        <x:v>750.1</x:v>
      </x:c>
    </x:row>
    <x:row r="2664">
      <x:c r="A2664" s="9" t="str">
        <x:v>2660</x:v>
      </x:c>
      <x:c r="B2664" s="9" t="str">
        <x:v>1331</x:v>
      </x:c>
      <x:c r="C2664" s="11" t="n">
        <x:v>46174</x:v>
      </x:c>
      <x:c r="D2664" s="13" t="n">
        <x:v>964.36</x:v>
      </x:c>
    </x:row>
    <x:row r="2665">
      <x:c r="A2665" s="9" t="str">
        <x:v>2661</x:v>
      </x:c>
      <x:c r="B2665" s="9" t="str">
        <x:v>1331</x:v>
      </x:c>
      <x:c r="C2665" s="11" t="n">
        <x:v>46128</x:v>
      </x:c>
      <x:c r="D2665" s="13" t="n">
        <x:v>786.58</x:v>
      </x:c>
    </x:row>
    <x:row r="2666">
      <x:c r="A2666" s="9" t="str">
        <x:v>2662</x:v>
      </x:c>
      <x:c r="B2666" s="9" t="str">
        <x:v>1333</x:v>
      </x:c>
      <x:c r="C2666" s="11" t="n">
        <x:v>46084</x:v>
      </x:c>
      <x:c r="D2666" s="13" t="n">
        <x:v>31.35</x:v>
      </x:c>
    </x:row>
    <x:row r="2667">
      <x:c r="A2667" s="9" t="str">
        <x:v>2663</x:v>
      </x:c>
      <x:c r="B2667" s="9" t="str">
        <x:v>1334</x:v>
      </x:c>
      <x:c r="C2667" s="11" t="n">
        <x:v>46167</x:v>
      </x:c>
      <x:c r="D2667" s="13" t="n">
        <x:v>667.32</x:v>
      </x:c>
    </x:row>
    <x:row r="2668">
      <x:c r="A2668" s="9" t="str">
        <x:v>2664</x:v>
      </x:c>
      <x:c r="B2668" s="9" t="str">
        <x:v>1335</x:v>
      </x:c>
      <x:c r="C2668" s="11" t="n">
        <x:v>46103</x:v>
      </x:c>
      <x:c r="D2668" s="13" t="n">
        <x:v>738.84</x:v>
      </x:c>
    </x:row>
    <x:row r="2669">
      <x:c r="A2669" s="9" t="str">
        <x:v>2665</x:v>
      </x:c>
      <x:c r="B2669" s="9" t="str">
        <x:v>1336</x:v>
      </x:c>
      <x:c r="C2669" s="11" t="n">
        <x:v>46156</x:v>
      </x:c>
      <x:c r="D2669" s="13" t="n">
        <x:v>97.81</x:v>
      </x:c>
    </x:row>
    <x:row r="2670">
      <x:c r="A2670" s="9" t="str">
        <x:v>2666</x:v>
      </x:c>
      <x:c r="B2670" s="9" t="str">
        <x:v>1336</x:v>
      </x:c>
      <x:c r="C2670" s="11" t="n">
        <x:v>46201</x:v>
      </x:c>
      <x:c r="D2670" s="13" t="n">
        <x:v>208.35</x:v>
      </x:c>
    </x:row>
    <x:row r="2671">
      <x:c r="A2671" s="9" t="str">
        <x:v>2667</x:v>
      </x:c>
      <x:c r="B2671" s="9" t="str">
        <x:v>1336</x:v>
      </x:c>
      <x:c r="C2671" s="11" t="n">
        <x:v>46128</x:v>
      </x:c>
      <x:c r="D2671" s="13" t="n">
        <x:v>47.95</x:v>
      </x:c>
    </x:row>
    <x:row r="2672">
      <x:c r="A2672" s="9" t="str">
        <x:v>2668</x:v>
      </x:c>
      <x:c r="B2672" s="9" t="str">
        <x:v>1336</x:v>
      </x:c>
      <x:c r="C2672" s="11" t="n">
        <x:v>46199</x:v>
      </x:c>
      <x:c r="D2672" s="13" t="n">
        <x:v>132.23</x:v>
      </x:c>
    </x:row>
    <x:row r="2673">
      <x:c r="A2673" s="9" t="str">
        <x:v>2669</x:v>
      </x:c>
      <x:c r="B2673" s="9" t="str">
        <x:v>1337</x:v>
      </x:c>
      <x:c r="C2673" s="11" t="n">
        <x:v>46104</x:v>
      </x:c>
      <x:c r="D2673" s="13" t="n">
        <x:v>1171.28</x:v>
      </x:c>
    </x:row>
    <x:row r="2674">
      <x:c r="A2674" s="9" t="str">
        <x:v>2670</x:v>
      </x:c>
      <x:c r="B2674" s="9" t="str">
        <x:v>1337</x:v>
      </x:c>
      <x:c r="C2674" s="11" t="n">
        <x:v>46184</x:v>
      </x:c>
      <x:c r="D2674" s="13" t="n">
        <x:v>441.83</x:v>
      </x:c>
    </x:row>
    <x:row r="2675">
      <x:c r="A2675" s="9" t="str">
        <x:v>2671</x:v>
      </x:c>
      <x:c r="B2675" s="9" t="str">
        <x:v>1338</x:v>
      </x:c>
      <x:c r="C2675" s="11" t="n">
        <x:v>46189</x:v>
      </x:c>
      <x:c r="D2675" s="13" t="n">
        <x:v>144.12</x:v>
      </x:c>
    </x:row>
    <x:row r="2676">
      <x:c r="A2676" s="9" t="str">
        <x:v>2672</x:v>
      </x:c>
      <x:c r="B2676" s="9" t="str">
        <x:v>1338</x:v>
      </x:c>
      <x:c r="C2676" s="11" t="n">
        <x:v>46114</x:v>
      </x:c>
      <x:c r="D2676" s="13" t="n">
        <x:v>387.09</x:v>
      </x:c>
    </x:row>
    <x:row r="2677">
      <x:c r="A2677" s="9" t="str">
        <x:v>2673</x:v>
      </x:c>
      <x:c r="B2677" s="9" t="str">
        <x:v>1339</x:v>
      </x:c>
      <x:c r="C2677" s="11" t="n">
        <x:v>46182</x:v>
      </x:c>
      <x:c r="D2677" s="13" t="n">
        <x:v>278.69</x:v>
      </x:c>
    </x:row>
    <x:row r="2678">
      <x:c r="A2678" s="9" t="str">
        <x:v>2674</x:v>
      </x:c>
      <x:c r="B2678" s="9" t="str">
        <x:v>1339</x:v>
      </x:c>
      <x:c r="C2678" s="11" t="n">
        <x:v>46199</x:v>
      </x:c>
      <x:c r="D2678" s="13" t="n">
        <x:v>198.63</x:v>
      </x:c>
    </x:row>
    <x:row r="2679">
      <x:c r="A2679" s="9" t="str">
        <x:v>2675</x:v>
      </x:c>
      <x:c r="B2679" s="9" t="str">
        <x:v>1339</x:v>
      </x:c>
      <x:c r="C2679" s="11" t="n">
        <x:v>46161</x:v>
      </x:c>
      <x:c r="D2679" s="13" t="n">
        <x:v>422.09</x:v>
      </x:c>
    </x:row>
    <x:row r="2680">
      <x:c r="A2680" s="9" t="str">
        <x:v>2676</x:v>
      </x:c>
      <x:c r="B2680" s="9" t="str">
        <x:v>1339</x:v>
      </x:c>
      <x:c r="C2680" s="11" t="n">
        <x:v>46155</x:v>
      </x:c>
      <x:c r="D2680" s="13" t="n">
        <x:v>370.84</x:v>
      </x:c>
    </x:row>
    <x:row r="2681">
      <x:c r="A2681" s="9" t="str">
        <x:v>2677</x:v>
      </x:c>
      <x:c r="B2681" s="9" t="str">
        <x:v>1340</x:v>
      </x:c>
      <x:c r="C2681" s="11" t="n">
        <x:v>46166</x:v>
      </x:c>
      <x:c r="D2681" s="13" t="n">
        <x:v>18.17</x:v>
      </x:c>
    </x:row>
    <x:row r="2682">
      <x:c r="A2682" s="9" t="str">
        <x:v>2678</x:v>
      </x:c>
      <x:c r="B2682" s="9" t="str">
        <x:v>1340</x:v>
      </x:c>
      <x:c r="C2682" s="11" t="n">
        <x:v>46139</x:v>
      </x:c>
      <x:c r="D2682" s="13" t="n">
        <x:v>84.49</x:v>
      </x:c>
    </x:row>
    <x:row r="2683">
      <x:c r="A2683" s="9" t="str">
        <x:v>2679</x:v>
      </x:c>
      <x:c r="B2683" s="9" t="str">
        <x:v>1340</x:v>
      </x:c>
      <x:c r="C2683" s="11" t="n">
        <x:v>46165</x:v>
      </x:c>
      <x:c r="D2683" s="13" t="n">
        <x:v>47.81</x:v>
      </x:c>
    </x:row>
    <x:row r="2684">
      <x:c r="A2684" s="9" t="str">
        <x:v>2680</x:v>
      </x:c>
      <x:c r="B2684" s="9" t="str">
        <x:v>1340</x:v>
      </x:c>
      <x:c r="C2684" s="11" t="n">
        <x:v>46092</x:v>
      </x:c>
      <x:c r="D2684" s="13" t="n">
        <x:v>57.81</x:v>
      </x:c>
    </x:row>
    <x:row r="2685">
      <x:c r="A2685" s="9" t="str">
        <x:v>2681</x:v>
      </x:c>
      <x:c r="B2685" s="9" t="str">
        <x:v>1341</x:v>
      </x:c>
      <x:c r="C2685" s="11" t="n">
        <x:v>46125</x:v>
      </x:c>
      <x:c r="D2685" s="13" t="n">
        <x:v>1458.47</x:v>
      </x:c>
    </x:row>
    <x:row r="2686">
      <x:c r="A2686" s="9" t="str">
        <x:v>2682</x:v>
      </x:c>
      <x:c r="B2686" s="9" t="str">
        <x:v>1341</x:v>
      </x:c>
      <x:c r="C2686" s="11" t="n">
        <x:v>46201</x:v>
      </x:c>
      <x:c r="D2686" s="13" t="n">
        <x:v>913.03</x:v>
      </x:c>
    </x:row>
    <x:row r="2687">
      <x:c r="A2687" s="9" t="str">
        <x:v>2683</x:v>
      </x:c>
      <x:c r="B2687" s="9" t="str">
        <x:v>1342</x:v>
      </x:c>
      <x:c r="C2687" s="11" t="n">
        <x:v>46202</x:v>
      </x:c>
      <x:c r="D2687" s="13" t="n">
        <x:v>180.33</x:v>
      </x:c>
    </x:row>
    <x:row r="2688">
      <x:c r="A2688" s="9" t="str">
        <x:v>2684</x:v>
      </x:c>
      <x:c r="B2688" s="9" t="str">
        <x:v>1343</x:v>
      </x:c>
      <x:c r="C2688" s="11" t="n">
        <x:v>46188</x:v>
      </x:c>
      <x:c r="D2688" s="13" t="n">
        <x:v>558.21</x:v>
      </x:c>
    </x:row>
    <x:row r="2689">
      <x:c r="A2689" s="9" t="str">
        <x:v>2685</x:v>
      </x:c>
      <x:c r="B2689" s="9" t="str">
        <x:v>1345</x:v>
      </x:c>
      <x:c r="C2689" s="11" t="n">
        <x:v>46144</x:v>
      </x:c>
      <x:c r="D2689" s="13" t="n">
        <x:v>836.6</x:v>
      </x:c>
    </x:row>
    <x:row r="2690">
      <x:c r="A2690" s="9" t="str">
        <x:v>2686</x:v>
      </x:c>
      <x:c r="B2690" s="9" t="str">
        <x:v>1345</x:v>
      </x:c>
      <x:c r="C2690" s="11" t="n">
        <x:v>46194</x:v>
      </x:c>
      <x:c r="D2690" s="13" t="n">
        <x:v>748.69</x:v>
      </x:c>
    </x:row>
    <x:row r="2691">
      <x:c r="A2691" s="9" t="str">
        <x:v>2687</x:v>
      </x:c>
      <x:c r="B2691" s="9" t="str">
        <x:v>1346</x:v>
      </x:c>
      <x:c r="C2691" s="11" t="n">
        <x:v>46142</x:v>
      </x:c>
      <x:c r="D2691" s="13" t="n">
        <x:v>373.79</x:v>
      </x:c>
    </x:row>
    <x:row r="2692">
      <x:c r="A2692" s="9" t="str">
        <x:v>2688</x:v>
      </x:c>
      <x:c r="B2692" s="9" t="str">
        <x:v>1347</x:v>
      </x:c>
      <x:c r="C2692" s="11" t="n">
        <x:v>46084</x:v>
      </x:c>
      <x:c r="D2692" s="13" t="n">
        <x:v>158.34</x:v>
      </x:c>
    </x:row>
    <x:row r="2693">
      <x:c r="A2693" s="9" t="str">
        <x:v>2689</x:v>
      </x:c>
      <x:c r="B2693" s="9" t="str">
        <x:v>1347</x:v>
      </x:c>
      <x:c r="C2693" s="11" t="n">
        <x:v>46081</x:v>
      </x:c>
      <x:c r="D2693" s="13" t="n">
        <x:v>193.19</x:v>
      </x:c>
    </x:row>
    <x:row r="2694">
      <x:c r="A2694" s="9" t="str">
        <x:v>2690</x:v>
      </x:c>
      <x:c r="B2694" s="9" t="str">
        <x:v>1347</x:v>
      </x:c>
      <x:c r="C2694" s="11" t="n">
        <x:v>46156</x:v>
      </x:c>
      <x:c r="D2694" s="13" t="n">
        <x:v>101.63</x:v>
      </x:c>
    </x:row>
    <x:row r="2695">
      <x:c r="A2695" s="9" t="str">
        <x:v>2691</x:v>
      </x:c>
      <x:c r="B2695" s="9" t="str">
        <x:v>1348</x:v>
      </x:c>
      <x:c r="C2695" s="11" t="n">
        <x:v>46086</x:v>
      </x:c>
      <x:c r="D2695" s="13" t="n">
        <x:v>67.94</x:v>
      </x:c>
    </x:row>
    <x:row r="2696">
      <x:c r="A2696" s="9" t="str">
        <x:v>2692</x:v>
      </x:c>
      <x:c r="B2696" s="9" t="str">
        <x:v>1348</x:v>
      </x:c>
      <x:c r="C2696" s="11" t="n">
        <x:v>46117</x:v>
      </x:c>
      <x:c r="D2696" s="13" t="n">
        <x:v>127.69</x:v>
      </x:c>
    </x:row>
    <x:row r="2697">
      <x:c r="A2697" s="9" t="str">
        <x:v>2693</x:v>
      </x:c>
      <x:c r="B2697" s="9" t="str">
        <x:v>1348</x:v>
      </x:c>
      <x:c r="C2697" s="11" t="n">
        <x:v>46159</x:v>
      </x:c>
      <x:c r="D2697" s="13" t="n">
        <x:v>67.7</x:v>
      </x:c>
    </x:row>
    <x:row r="2698">
      <x:c r="A2698" s="9" t="str">
        <x:v>2694</x:v>
      </x:c>
      <x:c r="B2698" s="9" t="str">
        <x:v>1348</x:v>
      </x:c>
      <x:c r="C2698" s="11" t="n">
        <x:v>46109</x:v>
      </x:c>
      <x:c r="D2698" s="13" t="n">
        <x:v>135.32</x:v>
      </x:c>
    </x:row>
    <x:row r="2699">
      <x:c r="A2699" s="9" t="str">
        <x:v>2695</x:v>
      </x:c>
      <x:c r="B2699" s="9" t="str">
        <x:v>1349</x:v>
      </x:c>
      <x:c r="C2699" s="11" t="n">
        <x:v>46123</x:v>
      </x:c>
      <x:c r="D2699" s="13" t="n">
        <x:v>88.43</x:v>
      </x:c>
    </x:row>
    <x:row r="2700">
      <x:c r="A2700" s="9" t="str">
        <x:v>2696</x:v>
      </x:c>
      <x:c r="B2700" s="9" t="str">
        <x:v>1349</x:v>
      </x:c>
      <x:c r="C2700" s="11" t="n">
        <x:v>46156</x:v>
      </x:c>
      <x:c r="D2700" s="13" t="n">
        <x:v>79.35</x:v>
      </x:c>
    </x:row>
    <x:row r="2701">
      <x:c r="A2701" s="9" t="str">
        <x:v>2697</x:v>
      </x:c>
      <x:c r="B2701" s="9" t="str">
        <x:v>1349</x:v>
      </x:c>
      <x:c r="C2701" s="11" t="n">
        <x:v>46118</x:v>
      </x:c>
      <x:c r="D2701" s="13" t="n">
        <x:v>212.83</x:v>
      </x:c>
    </x:row>
    <x:row r="2702">
      <x:c r="A2702" s="9" t="str">
        <x:v>2698</x:v>
      </x:c>
      <x:c r="B2702" s="9" t="str">
        <x:v>1349</x:v>
      </x:c>
      <x:c r="C2702" s="11" t="n">
        <x:v>46185</x:v>
      </x:c>
      <x:c r="D2702" s="13" t="n">
        <x:v>170.36</x:v>
      </x:c>
    </x:row>
    <x:row r="2703">
      <x:c r="A2703" s="9" t="str">
        <x:v>2699</x:v>
      </x:c>
      <x:c r="B2703" s="9" t="str">
        <x:v>1351</x:v>
      </x:c>
      <x:c r="C2703" s="11" t="n">
        <x:v>46165</x:v>
      </x:c>
      <x:c r="D2703" s="13" t="n">
        <x:v>1814.22</x:v>
      </x:c>
    </x:row>
    <x:row r="2704">
      <x:c r="A2704" s="9" t="str">
        <x:v>2700</x:v>
      </x:c>
      <x:c r="B2704" s="9" t="str">
        <x:v>1351</x:v>
      </x:c>
      <x:c r="C2704" s="11" t="n">
        <x:v>46167</x:v>
      </x:c>
      <x:c r="D2704" s="13" t="n">
        <x:v>726.78</x:v>
      </x:c>
    </x:row>
    <x:row r="2705">
      <x:c r="A2705" s="9" t="str">
        <x:v>2701</x:v>
      </x:c>
      <x:c r="B2705" s="9" t="str">
        <x:v>1352</x:v>
      </x:c>
      <x:c r="C2705" s="11" t="n">
        <x:v>46170</x:v>
      </x:c>
      <x:c r="D2705" s="13" t="n">
        <x:v>769.23</x:v>
      </x:c>
    </x:row>
    <x:row r="2706">
      <x:c r="A2706" s="9" t="str">
        <x:v>2702</x:v>
      </x:c>
      <x:c r="B2706" s="9" t="str">
        <x:v>1352</x:v>
      </x:c>
      <x:c r="C2706" s="11" t="n">
        <x:v>46160</x:v>
      </x:c>
      <x:c r="D2706" s="13" t="n">
        <x:v>1933.91</x:v>
      </x:c>
    </x:row>
    <x:row r="2707">
      <x:c r="A2707" s="9" t="str">
        <x:v>2703</x:v>
      </x:c>
      <x:c r="B2707" s="9" t="str">
        <x:v>1352</x:v>
      </x:c>
      <x:c r="C2707" s="11" t="n">
        <x:v>46157</x:v>
      </x:c>
      <x:c r="D2707" s="13" t="n">
        <x:v>2206.41</x:v>
      </x:c>
    </x:row>
    <x:row r="2708">
      <x:c r="A2708" s="9" t="str">
        <x:v>2704</x:v>
      </x:c>
      <x:c r="B2708" s="9" t="str">
        <x:v>1353</x:v>
      </x:c>
      <x:c r="C2708" s="11" t="n">
        <x:v>46192</x:v>
      </x:c>
      <x:c r="D2708" s="13" t="n">
        <x:v>473.45</x:v>
      </x:c>
    </x:row>
    <x:row r="2709">
      <x:c r="A2709" s="9" t="str">
        <x:v>2705</x:v>
      </x:c>
      <x:c r="B2709" s="9" t="str">
        <x:v>1353</x:v>
      </x:c>
      <x:c r="C2709" s="11" t="n">
        <x:v>46185</x:v>
      </x:c>
      <x:c r="D2709" s="13" t="n">
        <x:v>1708.96</x:v>
      </x:c>
    </x:row>
    <x:row r="2710">
      <x:c r="A2710" s="9" t="str">
        <x:v>2706</x:v>
      </x:c>
      <x:c r="B2710" s="9" t="str">
        <x:v>1354</x:v>
      </x:c>
      <x:c r="C2710" s="11" t="n">
        <x:v>46196</x:v>
      </x:c>
      <x:c r="D2710" s="13" t="n">
        <x:v>82.01</x:v>
      </x:c>
    </x:row>
    <x:row r="2711">
      <x:c r="A2711" s="9" t="str">
        <x:v>2707</x:v>
      </x:c>
      <x:c r="B2711" s="9" t="str">
        <x:v>1354</x:v>
      </x:c>
      <x:c r="C2711" s="11" t="n">
        <x:v>46174</x:v>
      </x:c>
      <x:c r="D2711" s="13" t="n">
        <x:v>877.93</x:v>
      </x:c>
    </x:row>
    <x:row r="2712">
      <x:c r="A2712" s="9" t="str">
        <x:v>2708</x:v>
      </x:c>
      <x:c r="B2712" s="9" t="str">
        <x:v>1354</x:v>
      </x:c>
      <x:c r="C2712" s="11" t="n">
        <x:v>46173</x:v>
      </x:c>
      <x:c r="D2712" s="13" t="n">
        <x:v>829.13</x:v>
      </x:c>
    </x:row>
    <x:row r="2713">
      <x:c r="A2713" s="9" t="str">
        <x:v>2709</x:v>
      </x:c>
      <x:c r="B2713" s="9" t="str">
        <x:v>1354</x:v>
      </x:c>
      <x:c r="C2713" s="11" t="n">
        <x:v>46178</x:v>
      </x:c>
      <x:c r="D2713" s="13" t="n">
        <x:v>214.31</x:v>
      </x:c>
    </x:row>
    <x:row r="2714">
      <x:c r="A2714" s="9" t="str">
        <x:v>2710</x:v>
      </x:c>
      <x:c r="B2714" s="9" t="str">
        <x:v>1355</x:v>
      </x:c>
      <x:c r="C2714" s="11" t="n">
        <x:v>46188</x:v>
      </x:c>
      <x:c r="D2714" s="13" t="n">
        <x:v>530.15</x:v>
      </x:c>
    </x:row>
    <x:row r="2715">
      <x:c r="A2715" s="9" t="str">
        <x:v>2711</x:v>
      </x:c>
      <x:c r="B2715" s="9" t="str">
        <x:v>1357</x:v>
      </x:c>
      <x:c r="C2715" s="11" t="n">
        <x:v>46092</x:v>
      </x:c>
      <x:c r="D2715" s="13" t="n">
        <x:v>399.29</x:v>
      </x:c>
    </x:row>
    <x:row r="2716">
      <x:c r="A2716" s="9" t="str">
        <x:v>2712</x:v>
      </x:c>
      <x:c r="B2716" s="9" t="str">
        <x:v>1357</x:v>
      </x:c>
      <x:c r="C2716" s="11" t="n">
        <x:v>46083</x:v>
      </x:c>
      <x:c r="D2716" s="13" t="n">
        <x:v>201.75</x:v>
      </x:c>
    </x:row>
    <x:row r="2717">
      <x:c r="A2717" s="9" t="str">
        <x:v>2713</x:v>
      </x:c>
      <x:c r="B2717" s="9" t="str">
        <x:v>1357</x:v>
      </x:c>
      <x:c r="C2717" s="11" t="n">
        <x:v>46096</x:v>
      </x:c>
      <x:c r="D2717" s="13" t="n">
        <x:v>385.39</x:v>
      </x:c>
    </x:row>
    <x:row r="2718">
      <x:c r="A2718" s="9" t="str">
        <x:v>2714</x:v>
      </x:c>
      <x:c r="B2718" s="9" t="str">
        <x:v>1357</x:v>
      </x:c>
      <x:c r="C2718" s="11" t="n">
        <x:v>46118</x:v>
      </x:c>
      <x:c r="D2718" s="13" t="n">
        <x:v>1156.49</x:v>
      </x:c>
    </x:row>
    <x:row r="2719">
      <x:c r="A2719" s="9" t="str">
        <x:v>2715</x:v>
      </x:c>
      <x:c r="B2719" s="9" t="str">
        <x:v>1359</x:v>
      </x:c>
      <x:c r="C2719" s="11" t="n">
        <x:v>46156</x:v>
      </x:c>
      <x:c r="D2719" s="13" t="n">
        <x:v>1288.87</x:v>
      </x:c>
    </x:row>
    <x:row r="2720">
      <x:c r="A2720" s="9" t="str">
        <x:v>2716</x:v>
      </x:c>
      <x:c r="B2720" s="9" t="str">
        <x:v>1360</x:v>
      </x:c>
      <x:c r="C2720" s="11" t="n">
        <x:v>46168</x:v>
      </x:c>
      <x:c r="D2720" s="13" t="n">
        <x:v>1166.8</x:v>
      </x:c>
    </x:row>
    <x:row r="2721">
      <x:c r="A2721" s="9" t="str">
        <x:v>2717</x:v>
      </x:c>
      <x:c r="B2721" s="9" t="str">
        <x:v>1360</x:v>
      </x:c>
      <x:c r="C2721" s="11" t="n">
        <x:v>46178</x:v>
      </x:c>
      <x:c r="D2721" s="13" t="n">
        <x:v>779.4</x:v>
      </x:c>
    </x:row>
    <x:row r="2722">
      <x:c r="A2722" s="9" t="str">
        <x:v>2718</x:v>
      </x:c>
      <x:c r="B2722" s="9" t="str">
        <x:v>1360</x:v>
      </x:c>
      <x:c r="C2722" s="11" t="n">
        <x:v>46123</x:v>
      </x:c>
      <x:c r="D2722" s="13" t="n">
        <x:v>1126.36</x:v>
      </x:c>
    </x:row>
    <x:row r="2723">
      <x:c r="A2723" s="9" t="str">
        <x:v>2719</x:v>
      </x:c>
      <x:c r="B2723" s="9" t="str">
        <x:v>1360</x:v>
      </x:c>
      <x:c r="C2723" s="11" t="n">
        <x:v>46138</x:v>
      </x:c>
      <x:c r="D2723" s="13" t="n">
        <x:v>441.71</x:v>
      </x:c>
    </x:row>
    <x:row r="2724">
      <x:c r="A2724" s="9" t="str">
        <x:v>2720</x:v>
      </x:c>
      <x:c r="B2724" s="9" t="str">
        <x:v>1361</x:v>
      </x:c>
      <x:c r="C2724" s="11" t="n">
        <x:v>46170</x:v>
      </x:c>
      <x:c r="D2724" s="13" t="n">
        <x:v>2808.81</x:v>
      </x:c>
    </x:row>
    <x:row r="2725">
      <x:c r="A2725" s="9" t="str">
        <x:v>2721</x:v>
      </x:c>
      <x:c r="B2725" s="9" t="str">
        <x:v>1361</x:v>
      </x:c>
      <x:c r="C2725" s="11" t="n">
        <x:v>46146</x:v>
      </x:c>
      <x:c r="D2725" s="13" t="n">
        <x:v>585.96</x:v>
      </x:c>
    </x:row>
    <x:row r="2726">
      <x:c r="A2726" s="9" t="str">
        <x:v>2722</x:v>
      </x:c>
      <x:c r="B2726" s="9" t="str">
        <x:v>1361</x:v>
      </x:c>
      <x:c r="C2726" s="11" t="n">
        <x:v>46181</x:v>
      </x:c>
      <x:c r="D2726" s="13" t="n">
        <x:v>294.35</x:v>
      </x:c>
    </x:row>
    <x:row r="2727">
      <x:c r="A2727" s="9" t="str">
        <x:v>2723</x:v>
      </x:c>
      <x:c r="B2727" s="9" t="str">
        <x:v>1362</x:v>
      </x:c>
      <x:c r="C2727" s="11" t="n">
        <x:v>46169</x:v>
      </x:c>
      <x:c r="D2727" s="13" t="n">
        <x:v>684.76</x:v>
      </x:c>
    </x:row>
    <x:row r="2728">
      <x:c r="A2728" s="9" t="str">
        <x:v>2724</x:v>
      </x:c>
      <x:c r="B2728" s="9" t="str">
        <x:v>1363</x:v>
      </x:c>
      <x:c r="C2728" s="11" t="n">
        <x:v>46164</x:v>
      </x:c>
      <x:c r="D2728" s="13" t="n">
        <x:v>614.85</x:v>
      </x:c>
    </x:row>
    <x:row r="2729">
      <x:c r="A2729" s="9" t="str">
        <x:v>2725</x:v>
      </x:c>
      <x:c r="B2729" s="9" t="str">
        <x:v>1363</x:v>
      </x:c>
      <x:c r="C2729" s="11" t="n">
        <x:v>46203</x:v>
      </x:c>
      <x:c r="D2729" s="13" t="n">
        <x:v>913.83</x:v>
      </x:c>
    </x:row>
    <x:row r="2730">
      <x:c r="A2730" s="9" t="str">
        <x:v>2726</x:v>
      </x:c>
      <x:c r="B2730" s="9" t="str">
        <x:v>1363</x:v>
      </x:c>
      <x:c r="C2730" s="11" t="n">
        <x:v>46202</x:v>
      </x:c>
      <x:c r="D2730" s="13" t="n">
        <x:v>885.73</x:v>
      </x:c>
    </x:row>
    <x:row r="2731">
      <x:c r="A2731" s="9" t="str">
        <x:v>2727</x:v>
      </x:c>
      <x:c r="B2731" s="9" t="str">
        <x:v>1364</x:v>
      </x:c>
      <x:c r="C2731" s="11" t="n">
        <x:v>46110</x:v>
      </x:c>
      <x:c r="D2731" s="13" t="n">
        <x:v>989.31</x:v>
      </x:c>
    </x:row>
    <x:row r="2732">
      <x:c r="A2732" s="9" t="str">
        <x:v>2728</x:v>
      </x:c>
      <x:c r="B2732" s="9" t="str">
        <x:v>1365</x:v>
      </x:c>
      <x:c r="C2732" s="11" t="n">
        <x:v>46164</x:v>
      </x:c>
      <x:c r="D2732" s="13" t="n">
        <x:v>329.97</x:v>
      </x:c>
    </x:row>
    <x:row r="2733">
      <x:c r="A2733" s="9" t="str">
        <x:v>2729</x:v>
      </x:c>
      <x:c r="B2733" s="9" t="str">
        <x:v>1365</x:v>
      </x:c>
      <x:c r="C2733" s="11" t="n">
        <x:v>46065</x:v>
      </x:c>
      <x:c r="D2733" s="13" t="n">
        <x:v>301.81</x:v>
      </x:c>
    </x:row>
    <x:row r="2734">
      <x:c r="A2734" s="9" t="str">
        <x:v>2730</x:v>
      </x:c>
      <x:c r="B2734" s="9" t="str">
        <x:v>1365</x:v>
      </x:c>
      <x:c r="C2734" s="11" t="n">
        <x:v>46112</x:v>
      </x:c>
      <x:c r="D2734" s="13" t="n">
        <x:v>269.14</x:v>
      </x:c>
    </x:row>
    <x:row r="2735">
      <x:c r="A2735" s="9" t="str">
        <x:v>2731</x:v>
      </x:c>
      <x:c r="B2735" s="9" t="str">
        <x:v>1366</x:v>
      </x:c>
      <x:c r="C2735" s="11" t="n">
        <x:v>46168</x:v>
      </x:c>
      <x:c r="D2735" s="13" t="n">
        <x:v>1433.8</x:v>
      </x:c>
    </x:row>
    <x:row r="2736">
      <x:c r="A2736" s="9" t="str">
        <x:v>2732</x:v>
      </x:c>
      <x:c r="B2736" s="9" t="str">
        <x:v>1366</x:v>
      </x:c>
      <x:c r="C2736" s="11" t="n">
        <x:v>46203</x:v>
      </x:c>
      <x:c r="D2736" s="13" t="n">
        <x:v>546.32</x:v>
      </x:c>
    </x:row>
    <x:row r="2737">
      <x:c r="A2737" s="9" t="str">
        <x:v>2733</x:v>
      </x:c>
      <x:c r="B2737" s="9" t="str">
        <x:v>1368</x:v>
      </x:c>
      <x:c r="C2737" s="11" t="n">
        <x:v>46131</x:v>
      </x:c>
      <x:c r="D2737" s="13" t="n">
        <x:v>1109.18</x:v>
      </x:c>
    </x:row>
    <x:row r="2738">
      <x:c r="A2738" s="9" t="str">
        <x:v>2734</x:v>
      </x:c>
      <x:c r="B2738" s="9" t="str">
        <x:v>1368</x:v>
      </x:c>
      <x:c r="C2738" s="11" t="n">
        <x:v>46187</x:v>
      </x:c>
      <x:c r="D2738" s="13" t="n">
        <x:v>1499.65</x:v>
      </x:c>
    </x:row>
    <x:row r="2739">
      <x:c r="A2739" s="9" t="str">
        <x:v>2735</x:v>
      </x:c>
      <x:c r="B2739" s="9" t="str">
        <x:v>1372</x:v>
      </x:c>
      <x:c r="C2739" s="11" t="n">
        <x:v>46103</x:v>
      </x:c>
      <x:c r="D2739" s="13" t="n">
        <x:v>140.91</x:v>
      </x:c>
    </x:row>
    <x:row r="2740">
      <x:c r="A2740" s="9" t="str">
        <x:v>2736</x:v>
      </x:c>
      <x:c r="B2740" s="9" t="str">
        <x:v>1372</x:v>
      </x:c>
      <x:c r="C2740" s="11" t="n">
        <x:v>46157</x:v>
      </x:c>
      <x:c r="D2740" s="13" t="n">
        <x:v>120.26</x:v>
      </x:c>
    </x:row>
    <x:row r="2741">
      <x:c r="A2741" s="9" t="str">
        <x:v>2737</x:v>
      </x:c>
      <x:c r="B2741" s="9" t="str">
        <x:v>1372</x:v>
      </x:c>
      <x:c r="C2741" s="11" t="n">
        <x:v>46079</x:v>
      </x:c>
      <x:c r="D2741" s="13" t="n">
        <x:v>1685.52</x:v>
      </x:c>
    </x:row>
    <x:row r="2742">
      <x:c r="A2742" s="9" t="str">
        <x:v>2738</x:v>
      </x:c>
      <x:c r="B2742" s="9" t="str">
        <x:v>1372</x:v>
      </x:c>
      <x:c r="C2742" s="11" t="n">
        <x:v>46196</x:v>
      </x:c>
      <x:c r="D2742" s="13" t="n">
        <x:v>280.29</x:v>
      </x:c>
    </x:row>
    <x:row r="2743">
      <x:c r="A2743" s="9" t="str">
        <x:v>2739</x:v>
      </x:c>
      <x:c r="B2743" s="9" t="str">
        <x:v>1373</x:v>
      </x:c>
      <x:c r="C2743" s="11" t="n">
        <x:v>46175</x:v>
      </x:c>
      <x:c r="D2743" s="13" t="n">
        <x:v>700.9</x:v>
      </x:c>
    </x:row>
    <x:row r="2744">
      <x:c r="A2744" s="9" t="str">
        <x:v>2740</x:v>
      </x:c>
      <x:c r="B2744" s="9" t="str">
        <x:v>1373</x:v>
      </x:c>
      <x:c r="C2744" s="11" t="n">
        <x:v>46084</x:v>
      </x:c>
      <x:c r="D2744" s="13" t="n">
        <x:v>856.51</x:v>
      </x:c>
    </x:row>
    <x:row r="2745">
      <x:c r="A2745" s="9" t="str">
        <x:v>2741</x:v>
      </x:c>
      <x:c r="B2745" s="9" t="str">
        <x:v>1373</x:v>
      </x:c>
      <x:c r="C2745" s="11" t="n">
        <x:v>46058</x:v>
      </x:c>
      <x:c r="D2745" s="13" t="n">
        <x:v>644.03</x:v>
      </x:c>
    </x:row>
    <x:row r="2746">
      <x:c r="A2746" s="9" t="str">
        <x:v>2742</x:v>
      </x:c>
      <x:c r="B2746" s="9" t="str">
        <x:v>1373</x:v>
      </x:c>
      <x:c r="C2746" s="11" t="n">
        <x:v>46055</x:v>
      </x:c>
      <x:c r="D2746" s="13" t="n">
        <x:v>581.38</x:v>
      </x:c>
    </x:row>
    <x:row r="2747">
      <x:c r="A2747" s="9" t="str">
        <x:v>2743</x:v>
      </x:c>
      <x:c r="B2747" s="9" t="str">
        <x:v>1374</x:v>
      </x:c>
      <x:c r="C2747" s="11" t="n">
        <x:v>46182</x:v>
      </x:c>
      <x:c r="D2747" s="13" t="n">
        <x:v>1507.59</x:v>
      </x:c>
    </x:row>
    <x:row r="2748">
      <x:c r="A2748" s="9" t="str">
        <x:v>2744</x:v>
      </x:c>
      <x:c r="B2748" s="9" t="str">
        <x:v>1374</x:v>
      </x:c>
      <x:c r="C2748" s="11" t="n">
        <x:v>46171</x:v>
      </x:c>
      <x:c r="D2748" s="13" t="n">
        <x:v>2176.88</x:v>
      </x:c>
    </x:row>
    <x:row r="2749">
      <x:c r="A2749" s="9" t="str">
        <x:v>2745</x:v>
      </x:c>
      <x:c r="B2749" s="9" t="str">
        <x:v>1374</x:v>
      </x:c>
      <x:c r="C2749" s="11" t="n">
        <x:v>46167</x:v>
      </x:c>
      <x:c r="D2749" s="13" t="n">
        <x:v>1159.6</x:v>
      </x:c>
    </x:row>
    <x:row r="2750">
      <x:c r="A2750" s="9" t="str">
        <x:v>2746</x:v>
      </x:c>
      <x:c r="B2750" s="9" t="str">
        <x:v>1374</x:v>
      </x:c>
      <x:c r="C2750" s="11" t="n">
        <x:v>46188</x:v>
      </x:c>
      <x:c r="D2750" s="13" t="n">
        <x:v>1528.18</x:v>
      </x:c>
    </x:row>
    <x:row r="2751">
      <x:c r="A2751" s="9" t="str">
        <x:v>2747</x:v>
      </x:c>
      <x:c r="B2751" s="9" t="str">
        <x:v>1375</x:v>
      </x:c>
      <x:c r="C2751" s="11" t="n">
        <x:v>46194</x:v>
      </x:c>
      <x:c r="D2751" s="13" t="n">
        <x:v>944.64</x:v>
      </x:c>
    </x:row>
    <x:row r="2752">
      <x:c r="A2752" s="9" t="str">
        <x:v>2748</x:v>
      </x:c>
      <x:c r="B2752" s="9" t="str">
        <x:v>1375</x:v>
      </x:c>
      <x:c r="C2752" s="11" t="n">
        <x:v>46047</x:v>
      </x:c>
      <x:c r="D2752" s="13" t="n">
        <x:v>1423.26</x:v>
      </x:c>
    </x:row>
    <x:row r="2753">
      <x:c r="A2753" s="9" t="str">
        <x:v>2749</x:v>
      </x:c>
      <x:c r="B2753" s="9" t="str">
        <x:v>1376</x:v>
      </x:c>
      <x:c r="C2753" s="11" t="n">
        <x:v>46182</x:v>
      </x:c>
      <x:c r="D2753" s="13" t="n">
        <x:v>133.55</x:v>
      </x:c>
    </x:row>
    <x:row r="2754">
      <x:c r="A2754" s="9" t="str">
        <x:v>2750</x:v>
      </x:c>
      <x:c r="B2754" s="9" t="str">
        <x:v>1377</x:v>
      </x:c>
      <x:c r="C2754" s="11" t="n">
        <x:v>46183</x:v>
      </x:c>
      <x:c r="D2754" s="13" t="n">
        <x:v>947.26</x:v>
      </x:c>
    </x:row>
    <x:row r="2755">
      <x:c r="A2755" s="9" t="str">
        <x:v>2751</x:v>
      </x:c>
      <x:c r="B2755" s="9" t="str">
        <x:v>1377</x:v>
      </x:c>
      <x:c r="C2755" s="11" t="n">
        <x:v>46171</x:v>
      </x:c>
      <x:c r="D2755" s="13" t="n">
        <x:v>2024.56</x:v>
      </x:c>
    </x:row>
    <x:row r="2756">
      <x:c r="A2756" s="9" t="str">
        <x:v>2752</x:v>
      </x:c>
      <x:c r="B2756" s="9" t="str">
        <x:v>1377</x:v>
      </x:c>
      <x:c r="C2756" s="11" t="n">
        <x:v>46126</x:v>
      </x:c>
      <x:c r="D2756" s="13" t="n">
        <x:v>1173.8</x:v>
      </x:c>
    </x:row>
    <x:row r="2757">
      <x:c r="A2757" s="9" t="str">
        <x:v>2753</x:v>
      </x:c>
      <x:c r="B2757" s="9" t="str">
        <x:v>1379</x:v>
      </x:c>
      <x:c r="C2757" s="11" t="n">
        <x:v>46200</x:v>
      </x:c>
      <x:c r="D2757" s="13" t="n">
        <x:v>178.12</x:v>
      </x:c>
    </x:row>
    <x:row r="2758">
      <x:c r="A2758" s="9" t="str">
        <x:v>2754</x:v>
      </x:c>
      <x:c r="B2758" s="9" t="str">
        <x:v>1379</x:v>
      </x:c>
      <x:c r="C2758" s="11" t="n">
        <x:v>46164</x:v>
      </x:c>
      <x:c r="D2758" s="13" t="n">
        <x:v>521.09</x:v>
      </x:c>
    </x:row>
    <x:row r="2759">
      <x:c r="A2759" s="9" t="str">
        <x:v>2755</x:v>
      </x:c>
      <x:c r="B2759" s="9" t="str">
        <x:v>1381</x:v>
      </x:c>
      <x:c r="C2759" s="11" t="n">
        <x:v>46200</x:v>
      </x:c>
      <x:c r="D2759" s="13" t="n">
        <x:v>1122.49</x:v>
      </x:c>
    </x:row>
    <x:row r="2760">
      <x:c r="A2760" s="9" t="str">
        <x:v>2756</x:v>
      </x:c>
      <x:c r="B2760" s="9" t="str">
        <x:v>1381</x:v>
      </x:c>
      <x:c r="C2760" s="11" t="n">
        <x:v>46190</x:v>
      </x:c>
      <x:c r="D2760" s="13" t="n">
        <x:v>916.67</x:v>
      </x:c>
    </x:row>
    <x:row r="2761">
      <x:c r="A2761" s="9" t="str">
        <x:v>2757</x:v>
      </x:c>
      <x:c r="B2761" s="9" t="str">
        <x:v>1381</x:v>
      </x:c>
      <x:c r="C2761" s="11" t="n">
        <x:v>46178</x:v>
      </x:c>
      <x:c r="D2761" s="13" t="n">
        <x:v>595.93</x:v>
      </x:c>
    </x:row>
    <x:row r="2762">
      <x:c r="A2762" s="9" t="str">
        <x:v>2758</x:v>
      </x:c>
      <x:c r="B2762" s="9" t="str">
        <x:v>1382</x:v>
      </x:c>
      <x:c r="C2762" s="11" t="n">
        <x:v>46187</x:v>
      </x:c>
      <x:c r="D2762" s="13" t="n">
        <x:v>488.1</x:v>
      </x:c>
    </x:row>
    <x:row r="2763">
      <x:c r="A2763" s="9" t="str">
        <x:v>2759</x:v>
      </x:c>
      <x:c r="B2763" s="9" t="str">
        <x:v>1382</x:v>
      </x:c>
      <x:c r="C2763" s="11" t="n">
        <x:v>46183</x:v>
      </x:c>
      <x:c r="D2763" s="13" t="n">
        <x:v>468.57</x:v>
      </x:c>
    </x:row>
    <x:row r="2764">
      <x:c r="A2764" s="9" t="str">
        <x:v>2760</x:v>
      </x:c>
      <x:c r="B2764" s="9" t="str">
        <x:v>1382</x:v>
      </x:c>
      <x:c r="C2764" s="11" t="n">
        <x:v>46190</x:v>
      </x:c>
      <x:c r="D2764" s="13" t="n">
        <x:v>537.74</x:v>
      </x:c>
    </x:row>
    <x:row r="2765">
      <x:c r="A2765" s="9" t="str">
        <x:v>2761</x:v>
      </x:c>
      <x:c r="B2765" s="9" t="str">
        <x:v>1383</x:v>
      </x:c>
      <x:c r="C2765" s="11" t="n">
        <x:v>46131</x:v>
      </x:c>
      <x:c r="D2765" s="13" t="n">
        <x:v>343.4</x:v>
      </x:c>
    </x:row>
    <x:row r="2766">
      <x:c r="A2766" s="9" t="str">
        <x:v>2762</x:v>
      </x:c>
      <x:c r="B2766" s="9" t="str">
        <x:v>1384</x:v>
      </x:c>
      <x:c r="C2766" s="11" t="n">
        <x:v>46038</x:v>
      </x:c>
      <x:c r="D2766" s="13" t="n">
        <x:v>1114.5</x:v>
      </x:c>
    </x:row>
    <x:row r="2767">
      <x:c r="A2767" s="9" t="str">
        <x:v>2763</x:v>
      </x:c>
      <x:c r="B2767" s="9" t="str">
        <x:v>1386</x:v>
      </x:c>
      <x:c r="C2767" s="11" t="n">
        <x:v>46165</x:v>
      </x:c>
      <x:c r="D2767" s="13" t="n">
        <x:v>2633.5</x:v>
      </x:c>
    </x:row>
    <x:row r="2768">
      <x:c r="A2768" s="9" t="str">
        <x:v>2764</x:v>
      </x:c>
      <x:c r="B2768" s="9" t="str">
        <x:v>1386</x:v>
      </x:c>
      <x:c r="C2768" s="11" t="n">
        <x:v>46201</x:v>
      </x:c>
      <x:c r="D2768" s="13" t="n">
        <x:v>1887.77</x:v>
      </x:c>
    </x:row>
    <x:row r="2769">
      <x:c r="A2769" s="9" t="str">
        <x:v>2765</x:v>
      </x:c>
      <x:c r="B2769" s="9" t="str">
        <x:v>1386</x:v>
      </x:c>
      <x:c r="C2769" s="11" t="n">
        <x:v>46162</x:v>
      </x:c>
      <x:c r="D2769" s="13" t="n">
        <x:v>477.97</x:v>
      </x:c>
    </x:row>
    <x:row r="2770">
      <x:c r="A2770" s="9" t="str">
        <x:v>2766</x:v>
      </x:c>
      <x:c r="B2770" s="9" t="str">
        <x:v>1386</x:v>
      </x:c>
      <x:c r="C2770" s="11" t="n">
        <x:v>46175</x:v>
      </x:c>
      <x:c r="D2770" s="13" t="n">
        <x:v>575.16</x:v>
      </x:c>
    </x:row>
    <x:row r="2771">
      <x:c r="A2771" s="9" t="str">
        <x:v>2767</x:v>
      </x:c>
      <x:c r="B2771" s="9" t="str">
        <x:v>1387</x:v>
      </x:c>
      <x:c r="C2771" s="11" t="n">
        <x:v>46178</x:v>
      </x:c>
      <x:c r="D2771" s="13" t="n">
        <x:v>776.78</x:v>
      </x:c>
    </x:row>
    <x:row r="2772">
      <x:c r="A2772" s="9" t="str">
        <x:v>2768</x:v>
      </x:c>
      <x:c r="B2772" s="9" t="str">
        <x:v>1387</x:v>
      </x:c>
      <x:c r="C2772" s="11" t="n">
        <x:v>46125</x:v>
      </x:c>
      <x:c r="D2772" s="13" t="n">
        <x:v>754.42</x:v>
      </x:c>
    </x:row>
    <x:row r="2773">
      <x:c r="A2773" s="9" t="str">
        <x:v>2769</x:v>
      </x:c>
      <x:c r="B2773" s="9" t="str">
        <x:v>1389</x:v>
      </x:c>
      <x:c r="C2773" s="11" t="n">
        <x:v>46171</x:v>
      </x:c>
      <x:c r="D2773" s="13" t="n">
        <x:v>152.25</x:v>
      </x:c>
    </x:row>
    <x:row r="2774">
      <x:c r="A2774" s="9" t="str">
        <x:v>2770</x:v>
      </x:c>
      <x:c r="B2774" s="9" t="str">
        <x:v>1389</x:v>
      </x:c>
      <x:c r="C2774" s="11" t="n">
        <x:v>46077</x:v>
      </x:c>
      <x:c r="D2774" s="13" t="n">
        <x:v>141.57</x:v>
      </x:c>
    </x:row>
    <x:row r="2775">
      <x:c r="A2775" s="9" t="str">
        <x:v>2771</x:v>
      </x:c>
      <x:c r="B2775" s="9" t="str">
        <x:v>1389</x:v>
      </x:c>
      <x:c r="C2775" s="11" t="n">
        <x:v>46088</x:v>
      </x:c>
      <x:c r="D2775" s="13" t="n">
        <x:v>68.59</x:v>
      </x:c>
    </x:row>
    <x:row r="2776">
      <x:c r="A2776" s="9" t="str">
        <x:v>2772</x:v>
      </x:c>
      <x:c r="B2776" s="9" t="str">
        <x:v>1390</x:v>
      </x:c>
      <x:c r="C2776" s="11" t="n">
        <x:v>46061</x:v>
      </x:c>
      <x:c r="D2776" s="13" t="n">
        <x:v>180.73</x:v>
      </x:c>
    </x:row>
    <x:row r="2777">
      <x:c r="A2777" s="9" t="str">
        <x:v>2773</x:v>
      </x:c>
      <x:c r="B2777" s="9" t="str">
        <x:v>1390</x:v>
      </x:c>
      <x:c r="C2777" s="11" t="n">
        <x:v>46032</x:v>
      </x:c>
      <x:c r="D2777" s="13" t="n">
        <x:v>248.26</x:v>
      </x:c>
    </x:row>
    <x:row r="2778">
      <x:c r="A2778" s="9" t="str">
        <x:v>2774</x:v>
      </x:c>
      <x:c r="B2778" s="9" t="str">
        <x:v>1390</x:v>
      </x:c>
      <x:c r="C2778" s="11" t="n">
        <x:v>46111</x:v>
      </x:c>
      <x:c r="D2778" s="13" t="n">
        <x:v>275.27</x:v>
      </x:c>
    </x:row>
    <x:row r="2779">
      <x:c r="A2779" s="9" t="str">
        <x:v>2775</x:v>
      </x:c>
      <x:c r="B2779" s="9" t="str">
        <x:v>1391</x:v>
      </x:c>
      <x:c r="C2779" s="11" t="n">
        <x:v>46097</x:v>
      </x:c>
      <x:c r="D2779" s="13" t="n">
        <x:v>242.05</x:v>
      </x:c>
    </x:row>
    <x:row r="2780">
      <x:c r="A2780" s="9" t="str">
        <x:v>2776</x:v>
      </x:c>
      <x:c r="B2780" s="9" t="str">
        <x:v>1391</x:v>
      </x:c>
      <x:c r="C2780" s="11" t="n">
        <x:v>46135</x:v>
      </x:c>
      <x:c r="D2780" s="13" t="n">
        <x:v>1104.4</x:v>
      </x:c>
    </x:row>
    <x:row r="2781">
      <x:c r="A2781" s="9" t="str">
        <x:v>2777</x:v>
      </x:c>
      <x:c r="B2781" s="9" t="str">
        <x:v>1391</x:v>
      </x:c>
      <x:c r="C2781" s="11" t="n">
        <x:v>46171</x:v>
      </x:c>
      <x:c r="D2781" s="13" t="n">
        <x:v>456.67</x:v>
      </x:c>
    </x:row>
    <x:row r="2782">
      <x:c r="A2782" s="9" t="str">
        <x:v>2778</x:v>
      </x:c>
      <x:c r="B2782" s="9" t="str">
        <x:v>1393</x:v>
      </x:c>
      <x:c r="C2782" s="11" t="n">
        <x:v>46165</x:v>
      </x:c>
      <x:c r="D2782" s="13" t="n">
        <x:v>148.99</x:v>
      </x:c>
    </x:row>
    <x:row r="2783">
      <x:c r="A2783" s="9" t="str">
        <x:v>2779</x:v>
      </x:c>
      <x:c r="B2783" s="9" t="str">
        <x:v>1393</x:v>
      </x:c>
      <x:c r="C2783" s="11" t="n">
        <x:v>46080</x:v>
      </x:c>
      <x:c r="D2783" s="13" t="n">
        <x:v>170.24</x:v>
      </x:c>
    </x:row>
    <x:row r="2784">
      <x:c r="A2784" s="9" t="str">
        <x:v>2780</x:v>
      </x:c>
      <x:c r="B2784" s="9" t="str">
        <x:v>1393</x:v>
      </x:c>
      <x:c r="C2784" s="11" t="n">
        <x:v>46134</x:v>
      </x:c>
      <x:c r="D2784" s="13" t="n">
        <x:v>411.65</x:v>
      </x:c>
    </x:row>
    <x:row r="2785">
      <x:c r="A2785" s="9" t="str">
        <x:v>2781</x:v>
      </x:c>
      <x:c r="B2785" s="9" t="str">
        <x:v>1393</x:v>
      </x:c>
      <x:c r="C2785" s="11" t="n">
        <x:v>46198</x:v>
      </x:c>
      <x:c r="D2785" s="13" t="n">
        <x:v>335.84</x:v>
      </x:c>
    </x:row>
    <x:row r="2786">
      <x:c r="A2786" s="9" t="str">
        <x:v>2782</x:v>
      </x:c>
      <x:c r="B2786" s="9" t="str">
        <x:v>1394</x:v>
      </x:c>
      <x:c r="C2786" s="11" t="n">
        <x:v>46202</x:v>
      </x:c>
      <x:c r="D2786" s="13" t="n">
        <x:v>315.11</x:v>
      </x:c>
    </x:row>
    <x:row r="2787">
      <x:c r="A2787" s="9" t="str">
        <x:v>2783</x:v>
      </x:c>
      <x:c r="B2787" s="9" t="str">
        <x:v>1394</x:v>
      </x:c>
      <x:c r="C2787" s="11" t="n">
        <x:v>46194</x:v>
      </x:c>
      <x:c r="D2787" s="13" t="n">
        <x:v>545.02</x:v>
      </x:c>
    </x:row>
    <x:row r="2788">
      <x:c r="A2788" s="9" t="str">
        <x:v>2784</x:v>
      </x:c>
      <x:c r="B2788" s="9" t="str">
        <x:v>1394</x:v>
      </x:c>
      <x:c r="C2788" s="11" t="n">
        <x:v>46178</x:v>
      </x:c>
      <x:c r="D2788" s="13" t="n">
        <x:v>47.72</x:v>
      </x:c>
    </x:row>
    <x:row r="2789">
      <x:c r="A2789" s="9" t="str">
        <x:v>2785</x:v>
      </x:c>
      <x:c r="B2789" s="9" t="str">
        <x:v>1395</x:v>
      </x:c>
      <x:c r="C2789" s="11" t="n">
        <x:v>46182</x:v>
      </x:c>
      <x:c r="D2789" s="13" t="n">
        <x:v>1215.57</x:v>
      </x:c>
    </x:row>
    <x:row r="2790">
      <x:c r="A2790" s="9" t="str">
        <x:v>2786</x:v>
      </x:c>
      <x:c r="B2790" s="9" t="str">
        <x:v>1396</x:v>
      </x:c>
      <x:c r="C2790" s="11" t="n">
        <x:v>46186</x:v>
      </x:c>
      <x:c r="D2790" s="13" t="n">
        <x:v>2356.43</x:v>
      </x:c>
    </x:row>
    <x:row r="2791">
      <x:c r="A2791" s="9" t="str">
        <x:v>2787</x:v>
      </x:c>
      <x:c r="B2791" s="9" t="str">
        <x:v>1397</x:v>
      </x:c>
      <x:c r="C2791" s="11" t="n">
        <x:v>46180</x:v>
      </x:c>
      <x:c r="D2791" s="13" t="n">
        <x:v>771.24</x:v>
      </x:c>
    </x:row>
    <x:row r="2792">
      <x:c r="A2792" s="9" t="str">
        <x:v>2788</x:v>
      </x:c>
      <x:c r="B2792" s="9" t="str">
        <x:v>1397</x:v>
      </x:c>
      <x:c r="C2792" s="11" t="n">
        <x:v>46146</x:v>
      </x:c>
      <x:c r="D2792" s="13" t="n">
        <x:v>326.98</x:v>
      </x:c>
    </x:row>
    <x:row r="2793">
      <x:c r="A2793" s="9" t="str">
        <x:v>2789</x:v>
      </x:c>
      <x:c r="B2793" s="9" t="str">
        <x:v>1398</x:v>
      </x:c>
      <x:c r="C2793" s="11" t="n">
        <x:v>46187</x:v>
      </x:c>
      <x:c r="D2793" s="13" t="n">
        <x:v>50.89</x:v>
      </x:c>
    </x:row>
    <x:row r="2794">
      <x:c r="A2794" s="9" t="str">
        <x:v>2790</x:v>
      </x:c>
      <x:c r="B2794" s="9" t="str">
        <x:v>1398</x:v>
      </x:c>
      <x:c r="C2794" s="11" t="n">
        <x:v>46183</x:v>
      </x:c>
      <x:c r="D2794" s="13" t="n">
        <x:v>45.83</x:v>
      </x:c>
    </x:row>
    <x:row r="2795">
      <x:c r="A2795" s="9" t="str">
        <x:v>2791</x:v>
      </x:c>
      <x:c r="B2795" s="9" t="str">
        <x:v>1399</x:v>
      </x:c>
      <x:c r="C2795" s="11" t="n">
        <x:v>46186</x:v>
      </x:c>
      <x:c r="D2795" s="13" t="n">
        <x:v>2765.56</x:v>
      </x:c>
    </x:row>
    <x:row r="2796">
      <x:c r="A2796" s="9" t="str">
        <x:v>2792</x:v>
      </x:c>
      <x:c r="B2796" s="9" t="str">
        <x:v>1399</x:v>
      </x:c>
      <x:c r="C2796" s="11" t="n">
        <x:v>46162</x:v>
      </x:c>
      <x:c r="D2796" s="13" t="n">
        <x:v>216.45</x:v>
      </x:c>
    </x:row>
    <x:row r="2797">
      <x:c r="A2797" s="9" t="str">
        <x:v>2793</x:v>
      </x:c>
      <x:c r="B2797" s="9" t="str">
        <x:v>1400</x:v>
      </x:c>
      <x:c r="C2797" s="11" t="n">
        <x:v>46149</x:v>
      </x:c>
      <x:c r="D2797" s="13" t="n">
        <x:v>1694.43</x:v>
      </x:c>
    </x:row>
    <x:row r="2798">
      <x:c r="A2798" s="9" t="str">
        <x:v>2794</x:v>
      </x:c>
      <x:c r="B2798" s="9" t="str">
        <x:v>1401</x:v>
      </x:c>
      <x:c r="C2798" s="11" t="n">
        <x:v>46070</x:v>
      </x:c>
      <x:c r="D2798" s="13" t="n">
        <x:v>1036.09</x:v>
      </x:c>
    </x:row>
    <x:row r="2799">
      <x:c r="A2799" s="9" t="str">
        <x:v>2795</x:v>
      </x:c>
      <x:c r="B2799" s="9" t="str">
        <x:v>1401</x:v>
      </x:c>
      <x:c r="C2799" s="11" t="n">
        <x:v>46131</x:v>
      </x:c>
      <x:c r="D2799" s="13" t="n">
        <x:v>1303.43</x:v>
      </x:c>
    </x:row>
    <x:row r="2800">
      <x:c r="A2800" s="9" t="str">
        <x:v>2796</x:v>
      </x:c>
      <x:c r="B2800" s="9" t="str">
        <x:v>1401</x:v>
      </x:c>
      <x:c r="C2800" s="11" t="n">
        <x:v>46066</x:v>
      </x:c>
      <x:c r="D2800" s="13" t="n">
        <x:v>458.04</x:v>
      </x:c>
    </x:row>
    <x:row r="2801">
      <x:c r="A2801" s="9" t="str">
        <x:v>2797</x:v>
      </x:c>
      <x:c r="B2801" s="9" t="str">
        <x:v>1401</x:v>
      </x:c>
      <x:c r="C2801" s="11" t="n">
        <x:v>46149</x:v>
      </x:c>
      <x:c r="D2801" s="13" t="n">
        <x:v>1062.5</x:v>
      </x:c>
    </x:row>
    <x:row r="2802">
      <x:c r="A2802" s="9" t="str">
        <x:v>2798</x:v>
      </x:c>
      <x:c r="B2802" s="9" t="str">
        <x:v>1402</x:v>
      </x:c>
      <x:c r="C2802" s="11" t="n">
        <x:v>46079</x:v>
      </x:c>
      <x:c r="D2802" s="13" t="n">
        <x:v>64.85</x:v>
      </x:c>
    </x:row>
    <x:row r="2803">
      <x:c r="A2803" s="9" t="str">
        <x:v>2799</x:v>
      </x:c>
      <x:c r="B2803" s="9" t="str">
        <x:v>1403</x:v>
      </x:c>
      <x:c r="C2803" s="11" t="n">
        <x:v>46158</x:v>
      </x:c>
      <x:c r="D2803" s="13" t="n">
        <x:v>1936.64</x:v>
      </x:c>
    </x:row>
    <x:row r="2804">
      <x:c r="A2804" s="9" t="str">
        <x:v>2800</x:v>
      </x:c>
      <x:c r="B2804" s="9" t="str">
        <x:v>1403</x:v>
      </x:c>
      <x:c r="C2804" s="11" t="n">
        <x:v>46138</x:v>
      </x:c>
      <x:c r="D2804" s="13" t="n">
        <x:v>2610.66</x:v>
      </x:c>
    </x:row>
    <x:row r="2805">
      <x:c r="A2805" s="9" t="str">
        <x:v>2801</x:v>
      </x:c>
      <x:c r="B2805" s="9" t="str">
        <x:v>1403</x:v>
      </x:c>
      <x:c r="C2805" s="11" t="n">
        <x:v>46198</x:v>
      </x:c>
      <x:c r="D2805" s="13" t="n">
        <x:v>270.56</x:v>
      </x:c>
    </x:row>
    <x:row r="2806">
      <x:c r="A2806" s="9" t="str">
        <x:v>2802</x:v>
      </x:c>
      <x:c r="B2806" s="9" t="str">
        <x:v>1404</x:v>
      </x:c>
      <x:c r="C2806" s="11" t="n">
        <x:v>46166</x:v>
      </x:c>
      <x:c r="D2806" s="13" t="n">
        <x:v>1051.37</x:v>
      </x:c>
    </x:row>
    <x:row r="2807">
      <x:c r="A2807" s="9" t="str">
        <x:v>2803</x:v>
      </x:c>
      <x:c r="B2807" s="9" t="str">
        <x:v>1404</x:v>
      </x:c>
      <x:c r="C2807" s="11" t="n">
        <x:v>46157</x:v>
      </x:c>
      <x:c r="D2807" s="13" t="n">
        <x:v>2666.44</x:v>
      </x:c>
    </x:row>
    <x:row r="2808">
      <x:c r="A2808" s="9" t="str">
        <x:v>2804</x:v>
      </x:c>
      <x:c r="B2808" s="9" t="str">
        <x:v>1404</x:v>
      </x:c>
      <x:c r="C2808" s="11" t="n">
        <x:v>46203</x:v>
      </x:c>
      <x:c r="D2808" s="13" t="n">
        <x:v>1565.42</x:v>
      </x:c>
    </x:row>
    <x:row r="2809">
      <x:c r="A2809" s="9" t="str">
        <x:v>2805</x:v>
      </x:c>
      <x:c r="B2809" s="9" t="str">
        <x:v>1404</x:v>
      </x:c>
      <x:c r="C2809" s="11" t="n">
        <x:v>46177</x:v>
      </x:c>
      <x:c r="D2809" s="13" t="n">
        <x:v>1208.73</x:v>
      </x:c>
    </x:row>
    <x:row r="2810">
      <x:c r="A2810" s="9" t="str">
        <x:v>2806</x:v>
      </x:c>
      <x:c r="B2810" s="9" t="str">
        <x:v>1405</x:v>
      </x:c>
      <x:c r="C2810" s="11" t="n">
        <x:v>46166</x:v>
      </x:c>
      <x:c r="D2810" s="13" t="n">
        <x:v>1480.24</x:v>
      </x:c>
    </x:row>
    <x:row r="2811">
      <x:c r="A2811" s="9" t="str">
        <x:v>2807</x:v>
      </x:c>
      <x:c r="B2811" s="9" t="str">
        <x:v>1405</x:v>
      </x:c>
      <x:c r="C2811" s="11" t="n">
        <x:v>46172</x:v>
      </x:c>
      <x:c r="D2811" s="13" t="n">
        <x:v>670.13</x:v>
      </x:c>
    </x:row>
    <x:row r="2812">
      <x:c r="A2812" s="9" t="str">
        <x:v>2808</x:v>
      </x:c>
      <x:c r="B2812" s="9" t="str">
        <x:v>1405</x:v>
      </x:c>
      <x:c r="C2812" s="11" t="n">
        <x:v>46199</x:v>
      </x:c>
      <x:c r="D2812" s="13" t="n">
        <x:v>649.25</x:v>
      </x:c>
    </x:row>
    <x:row r="2813">
      <x:c r="A2813" s="9" t="str">
        <x:v>2809</x:v>
      </x:c>
      <x:c r="B2813" s="9" t="str">
        <x:v>1405</x:v>
      </x:c>
      <x:c r="C2813" s="11" t="n">
        <x:v>46191</x:v>
      </x:c>
      <x:c r="D2813" s="13" t="n">
        <x:v>1138.85</x:v>
      </x:c>
    </x:row>
    <x:row r="2814">
      <x:c r="A2814" s="9" t="str">
        <x:v>2810</x:v>
      </x:c>
      <x:c r="B2814" s="9" t="str">
        <x:v>1409</x:v>
      </x:c>
      <x:c r="C2814" s="11" t="n">
        <x:v>46197</x:v>
      </x:c>
      <x:c r="D2814" s="13" t="n">
        <x:v>654.18</x:v>
      </x:c>
    </x:row>
    <x:row r="2815">
      <x:c r="A2815" s="9" t="str">
        <x:v>2811</x:v>
      </x:c>
      <x:c r="B2815" s="9" t="str">
        <x:v>1410</x:v>
      </x:c>
      <x:c r="C2815" s="11" t="n">
        <x:v>46116</x:v>
      </x:c>
      <x:c r="D2815" s="13" t="n">
        <x:v>2385.31</x:v>
      </x:c>
    </x:row>
    <x:row r="2816">
      <x:c r="A2816" s="9" t="str">
        <x:v>2812</x:v>
      </x:c>
      <x:c r="B2816" s="9" t="str">
        <x:v>1410</x:v>
      </x:c>
      <x:c r="C2816" s="11" t="n">
        <x:v>46158</x:v>
      </x:c>
      <x:c r="D2816" s="13" t="n">
        <x:v>2123.2</x:v>
      </x:c>
    </x:row>
    <x:row r="2817">
      <x:c r="A2817" s="9" t="str">
        <x:v>2813</x:v>
      </x:c>
      <x:c r="B2817" s="9" t="str">
        <x:v>1410</x:v>
      </x:c>
      <x:c r="C2817" s="11" t="n">
        <x:v>46083</x:v>
      </x:c>
      <x:c r="D2817" s="13" t="n">
        <x:v>301</x:v>
      </x:c>
    </x:row>
    <x:row r="2818">
      <x:c r="A2818" s="9" t="str">
        <x:v>2814</x:v>
      </x:c>
      <x:c r="B2818" s="9" t="str">
        <x:v>1411</x:v>
      </x:c>
      <x:c r="C2818" s="11" t="n">
        <x:v>46189</x:v>
      </x:c>
      <x:c r="D2818" s="13" t="n">
        <x:v>1199.49</x:v>
      </x:c>
    </x:row>
    <x:row r="2819">
      <x:c r="A2819" s="9" t="str">
        <x:v>2815</x:v>
      </x:c>
      <x:c r="B2819" s="9" t="str">
        <x:v>1412</x:v>
      </x:c>
      <x:c r="C2819" s="11" t="n">
        <x:v>46160</x:v>
      </x:c>
      <x:c r="D2819" s="13" t="n">
        <x:v>271.87</x:v>
      </x:c>
    </x:row>
    <x:row r="2820">
      <x:c r="A2820" s="9" t="str">
        <x:v>2816</x:v>
      </x:c>
      <x:c r="B2820" s="9" t="str">
        <x:v>1412</x:v>
      </x:c>
      <x:c r="C2820" s="11" t="n">
        <x:v>46161</x:v>
      </x:c>
      <x:c r="D2820" s="13" t="n">
        <x:v>589.68</x:v>
      </x:c>
    </x:row>
    <x:row r="2821">
      <x:c r="A2821" s="9" t="str">
        <x:v>2817</x:v>
      </x:c>
      <x:c r="B2821" s="9" t="str">
        <x:v>1412</x:v>
      </x:c>
      <x:c r="C2821" s="11" t="n">
        <x:v>46141</x:v>
      </x:c>
      <x:c r="D2821" s="13" t="n">
        <x:v>514.98</x:v>
      </x:c>
    </x:row>
    <x:row r="2822">
      <x:c r="A2822" s="9" t="str">
        <x:v>2818</x:v>
      </x:c>
      <x:c r="B2822" s="9" t="str">
        <x:v>1413</x:v>
      </x:c>
      <x:c r="C2822" s="11" t="n">
        <x:v>46196</x:v>
      </x:c>
      <x:c r="D2822" s="13" t="n">
        <x:v>47.67</x:v>
      </x:c>
    </x:row>
    <x:row r="2823">
      <x:c r="A2823" s="9" t="str">
        <x:v>2819</x:v>
      </x:c>
      <x:c r="B2823" s="9" t="str">
        <x:v>1413</x:v>
      </x:c>
      <x:c r="C2823" s="11" t="n">
        <x:v>46198</x:v>
      </x:c>
      <x:c r="D2823" s="13" t="n">
        <x:v>347.56</x:v>
      </x:c>
    </x:row>
    <x:row r="2824">
      <x:c r="A2824" s="9" t="str">
        <x:v>2820</x:v>
      </x:c>
      <x:c r="B2824" s="9" t="str">
        <x:v>1413</x:v>
      </x:c>
      <x:c r="C2824" s="11" t="n">
        <x:v>46196</x:v>
      </x:c>
      <x:c r="D2824" s="13" t="n">
        <x:v>165.35</x:v>
      </x:c>
    </x:row>
    <x:row r="2825">
      <x:c r="A2825" s="9" t="str">
        <x:v>2821</x:v>
      </x:c>
      <x:c r="B2825" s="9" t="str">
        <x:v>1414</x:v>
      </x:c>
      <x:c r="C2825" s="11" t="n">
        <x:v>46176</x:v>
      </x:c>
      <x:c r="D2825" s="13" t="n">
        <x:v>1557.1</x:v>
      </x:c>
    </x:row>
    <x:row r="2826">
      <x:c r="A2826" s="9" t="str">
        <x:v>2822</x:v>
      </x:c>
      <x:c r="B2826" s="9" t="str">
        <x:v>1414</x:v>
      </x:c>
      <x:c r="C2826" s="11" t="n">
        <x:v>46070</x:v>
      </x:c>
      <x:c r="D2826" s="13" t="n">
        <x:v>384.44</x:v>
      </x:c>
    </x:row>
    <x:row r="2827">
      <x:c r="A2827" s="9" t="str">
        <x:v>2823</x:v>
      </x:c>
      <x:c r="B2827" s="9" t="str">
        <x:v>1414</x:v>
      </x:c>
      <x:c r="C2827" s="11" t="n">
        <x:v>46150</x:v>
      </x:c>
      <x:c r="D2827" s="13" t="n">
        <x:v>1107.78</x:v>
      </x:c>
    </x:row>
    <x:row r="2828">
      <x:c r="A2828" s="9" t="str">
        <x:v>2824</x:v>
      </x:c>
      <x:c r="B2828" s="9" t="str">
        <x:v>1414</x:v>
      </x:c>
      <x:c r="C2828" s="11" t="n">
        <x:v>46063</x:v>
      </x:c>
      <x:c r="D2828" s="13" t="n">
        <x:v>606.54</x:v>
      </x:c>
    </x:row>
    <x:row r="2829">
      <x:c r="A2829" s="9" t="str">
        <x:v>2825</x:v>
      </x:c>
      <x:c r="B2829" s="9" t="str">
        <x:v>1415</x:v>
      </x:c>
      <x:c r="C2829" s="11" t="n">
        <x:v>46200</x:v>
      </x:c>
      <x:c r="D2829" s="13" t="n">
        <x:v>484.22</x:v>
      </x:c>
    </x:row>
    <x:row r="2830">
      <x:c r="A2830" s="9" t="str">
        <x:v>2826</x:v>
      </x:c>
      <x:c r="B2830" s="9" t="str">
        <x:v>1415</x:v>
      </x:c>
      <x:c r="C2830" s="11" t="n">
        <x:v>46199</x:v>
      </x:c>
      <x:c r="D2830" s="13" t="n">
        <x:v>1539.62</x:v>
      </x:c>
    </x:row>
    <x:row r="2831">
      <x:c r="A2831" s="9" t="str">
        <x:v>2827</x:v>
      </x:c>
      <x:c r="B2831" s="9" t="str">
        <x:v>1416</x:v>
      </x:c>
      <x:c r="C2831" s="11" t="n">
        <x:v>46138</x:v>
      </x:c>
      <x:c r="D2831" s="13" t="n">
        <x:v>632.71</x:v>
      </x:c>
    </x:row>
    <x:row r="2832">
      <x:c r="A2832" s="9" t="str">
        <x:v>2828</x:v>
      </x:c>
      <x:c r="B2832" s="9" t="str">
        <x:v>1418</x:v>
      </x:c>
      <x:c r="C2832" s="11" t="n">
        <x:v>46179</x:v>
      </x:c>
      <x:c r="D2832" s="13" t="n">
        <x:v>644.13</x:v>
      </x:c>
    </x:row>
    <x:row r="2833">
      <x:c r="A2833" s="9" t="str">
        <x:v>2829</x:v>
      </x:c>
      <x:c r="B2833" s="9" t="str">
        <x:v>1418</x:v>
      </x:c>
      <x:c r="C2833" s="11" t="n">
        <x:v>46200</x:v>
      </x:c>
      <x:c r="D2833" s="13" t="n">
        <x:v>165.58</x:v>
      </x:c>
    </x:row>
    <x:row r="2834">
      <x:c r="A2834" s="9" t="str">
        <x:v>2830</x:v>
      </x:c>
      <x:c r="B2834" s="9" t="str">
        <x:v>1418</x:v>
      </x:c>
      <x:c r="C2834" s="11" t="n">
        <x:v>46159</x:v>
      </x:c>
      <x:c r="D2834" s="13" t="n">
        <x:v>150.51</x:v>
      </x:c>
    </x:row>
    <x:row r="2835">
      <x:c r="A2835" s="9" t="str">
        <x:v>2831</x:v>
      </x:c>
      <x:c r="B2835" s="9" t="str">
        <x:v>1418</x:v>
      </x:c>
      <x:c r="C2835" s="11" t="n">
        <x:v>46170</x:v>
      </x:c>
      <x:c r="D2835" s="13" t="n">
        <x:v>30.7</x:v>
      </x:c>
    </x:row>
    <x:row r="2836">
      <x:c r="A2836" s="9" t="str">
        <x:v>2832</x:v>
      </x:c>
      <x:c r="B2836" s="9" t="str">
        <x:v>1419</x:v>
      </x:c>
      <x:c r="C2836" s="11" t="n">
        <x:v>46136</x:v>
      </x:c>
      <x:c r="D2836" s="13" t="n">
        <x:v>1344.92</x:v>
      </x:c>
    </x:row>
    <x:row r="2837">
      <x:c r="A2837" s="9" t="str">
        <x:v>2833</x:v>
      </x:c>
      <x:c r="B2837" s="9" t="str">
        <x:v>1420</x:v>
      </x:c>
      <x:c r="C2837" s="11" t="n">
        <x:v>46048</x:v>
      </x:c>
      <x:c r="D2837" s="13" t="n">
        <x:v>308.6</x:v>
      </x:c>
    </x:row>
    <x:row r="2838">
      <x:c r="A2838" s="9" t="str">
        <x:v>2834</x:v>
      </x:c>
      <x:c r="B2838" s="9" t="str">
        <x:v>1420</x:v>
      </x:c>
      <x:c r="C2838" s="11" t="n">
        <x:v>46077</x:v>
      </x:c>
      <x:c r="D2838" s="13" t="n">
        <x:v>951.05</x:v>
      </x:c>
    </x:row>
    <x:row r="2839">
      <x:c r="A2839" s="9" t="str">
        <x:v>2835</x:v>
      </x:c>
      <x:c r="B2839" s="9" t="str">
        <x:v>1420</x:v>
      </x:c>
      <x:c r="C2839" s="11" t="n">
        <x:v>46173</x:v>
      </x:c>
      <x:c r="D2839" s="13" t="n">
        <x:v>1490.79</x:v>
      </x:c>
    </x:row>
    <x:row r="2840">
      <x:c r="A2840" s="9" t="str">
        <x:v>2836</x:v>
      </x:c>
      <x:c r="B2840" s="9" t="str">
        <x:v>1421</x:v>
      </x:c>
      <x:c r="C2840" s="11" t="n">
        <x:v>46122</x:v>
      </x:c>
      <x:c r="D2840" s="13" t="n">
        <x:v>15.6</x:v>
      </x:c>
    </x:row>
    <x:row r="2841">
      <x:c r="A2841" s="9" t="str">
        <x:v>2837</x:v>
      </x:c>
      <x:c r="B2841" s="9" t="str">
        <x:v>1421</x:v>
      </x:c>
      <x:c r="C2841" s="11" t="n">
        <x:v>46156</x:v>
      </x:c>
      <x:c r="D2841" s="13" t="n">
        <x:v>60.73</x:v>
      </x:c>
    </x:row>
    <x:row r="2842">
      <x:c r="A2842" s="9" t="str">
        <x:v>2838</x:v>
      </x:c>
      <x:c r="B2842" s="9" t="str">
        <x:v>1421</x:v>
      </x:c>
      <x:c r="C2842" s="11" t="n">
        <x:v>46111</x:v>
      </x:c>
      <x:c r="D2842" s="13" t="n">
        <x:v>19.05</x:v>
      </x:c>
    </x:row>
    <x:row r="2843">
      <x:c r="A2843" s="9" t="str">
        <x:v>2839</x:v>
      </x:c>
      <x:c r="B2843" s="9" t="str">
        <x:v>1422</x:v>
      </x:c>
      <x:c r="C2843" s="11" t="n">
        <x:v>46163</x:v>
      </x:c>
      <x:c r="D2843" s="13" t="n">
        <x:v>365.01</x:v>
      </x:c>
    </x:row>
    <x:row r="2844">
      <x:c r="A2844" s="9" t="str">
        <x:v>2840</x:v>
      </x:c>
      <x:c r="B2844" s="9" t="str">
        <x:v>1422</x:v>
      </x:c>
      <x:c r="C2844" s="11" t="n">
        <x:v>46104</x:v>
      </x:c>
      <x:c r="D2844" s="13" t="n">
        <x:v>73.08</x:v>
      </x:c>
    </x:row>
    <x:row r="2845">
      <x:c r="A2845" s="9" t="str">
        <x:v>2841</x:v>
      </x:c>
      <x:c r="B2845" s="9" t="str">
        <x:v>1422</x:v>
      </x:c>
      <x:c r="C2845" s="11" t="n">
        <x:v>46130</x:v>
      </x:c>
      <x:c r="D2845" s="13" t="n">
        <x:v>59.49</x:v>
      </x:c>
    </x:row>
    <x:row r="2846">
      <x:c r="A2846" s="9" t="str">
        <x:v>2842</x:v>
      </x:c>
      <x:c r="B2846" s="9" t="str">
        <x:v>1423</x:v>
      </x:c>
      <x:c r="C2846" s="11" t="n">
        <x:v>46167</x:v>
      </x:c>
      <x:c r="D2846" s="13" t="n">
        <x:v>268.19</x:v>
      </x:c>
    </x:row>
    <x:row r="2847">
      <x:c r="A2847" s="9" t="str">
        <x:v>2843</x:v>
      </x:c>
      <x:c r="B2847" s="9" t="str">
        <x:v>1423</x:v>
      </x:c>
      <x:c r="C2847" s="11" t="n">
        <x:v>46187</x:v>
      </x:c>
      <x:c r="D2847" s="13" t="n">
        <x:v>890.95</x:v>
      </x:c>
    </x:row>
    <x:row r="2848">
      <x:c r="A2848" s="9" t="str">
        <x:v>2844</x:v>
      </x:c>
      <x:c r="B2848" s="9" t="str">
        <x:v>1423</x:v>
      </x:c>
      <x:c r="C2848" s="11" t="n">
        <x:v>46170</x:v>
      </x:c>
      <x:c r="D2848" s="13" t="n">
        <x:v>695.46</x:v>
      </x:c>
    </x:row>
    <x:row r="2849">
      <x:c r="A2849" s="9" t="str">
        <x:v>2845</x:v>
      </x:c>
      <x:c r="B2849" s="9" t="str">
        <x:v>1423</x:v>
      </x:c>
      <x:c r="C2849" s="11" t="n">
        <x:v>46189</x:v>
      </x:c>
      <x:c r="D2849" s="13" t="n">
        <x:v>845.15</x:v>
      </x:c>
    </x:row>
    <x:row r="2850">
      <x:c r="A2850" s="9" t="str">
        <x:v>2846</x:v>
      </x:c>
      <x:c r="B2850" s="9" t="str">
        <x:v>1424</x:v>
      </x:c>
      <x:c r="C2850" s="11" t="n">
        <x:v>46186</x:v>
      </x:c>
      <x:c r="D2850" s="13" t="n">
        <x:v>812.83</x:v>
      </x:c>
    </x:row>
    <x:row r="2851">
      <x:c r="A2851" s="9" t="str">
        <x:v>2847</x:v>
      </x:c>
      <x:c r="B2851" s="9" t="str">
        <x:v>1424</x:v>
      </x:c>
      <x:c r="C2851" s="11" t="n">
        <x:v>46172</x:v>
      </x:c>
      <x:c r="D2851" s="13" t="n">
        <x:v>1284.26</x:v>
      </x:c>
    </x:row>
    <x:row r="2852">
      <x:c r="A2852" s="9" t="str">
        <x:v>2848</x:v>
      </x:c>
      <x:c r="B2852" s="9" t="str">
        <x:v>1424</x:v>
      </x:c>
      <x:c r="C2852" s="11" t="n">
        <x:v>46156</x:v>
      </x:c>
      <x:c r="D2852" s="13" t="n">
        <x:v>1273.9</x:v>
      </x:c>
    </x:row>
    <x:row r="2853">
      <x:c r="A2853" s="9" t="str">
        <x:v>2849</x:v>
      </x:c>
      <x:c r="B2853" s="9" t="str">
        <x:v>1424</x:v>
      </x:c>
      <x:c r="C2853" s="11" t="n">
        <x:v>46147</x:v>
      </x:c>
      <x:c r="D2853" s="13" t="n">
        <x:v>131.03</x:v>
      </x:c>
    </x:row>
    <x:row r="2854">
      <x:c r="A2854" s="9" t="str">
        <x:v>2850</x:v>
      </x:c>
      <x:c r="B2854" s="9" t="str">
        <x:v>1426</x:v>
      </x:c>
      <x:c r="C2854" s="11" t="n">
        <x:v>46183</x:v>
      </x:c>
      <x:c r="D2854" s="13" t="n">
        <x:v>432.06</x:v>
      </x:c>
    </x:row>
    <x:row r="2855">
      <x:c r="A2855" s="9" t="str">
        <x:v>2851</x:v>
      </x:c>
      <x:c r="B2855" s="9" t="str">
        <x:v>1426</x:v>
      </x:c>
      <x:c r="C2855" s="11" t="n">
        <x:v>46188</x:v>
      </x:c>
      <x:c r="D2855" s="13" t="n">
        <x:v>1398.47</x:v>
      </x:c>
    </x:row>
    <x:row r="2856">
      <x:c r="A2856" s="9" t="str">
        <x:v>2852</x:v>
      </x:c>
      <x:c r="B2856" s="9" t="str">
        <x:v>1426</x:v>
      </x:c>
      <x:c r="C2856" s="11" t="n">
        <x:v>46116</x:v>
      </x:c>
      <x:c r="D2856" s="13" t="n">
        <x:v>1603.48</x:v>
      </x:c>
    </x:row>
    <x:row r="2857">
      <x:c r="A2857" s="9" t="str">
        <x:v>2853</x:v>
      </x:c>
      <x:c r="B2857" s="9" t="str">
        <x:v>1426</x:v>
      </x:c>
      <x:c r="C2857" s="11" t="n">
        <x:v>46117</x:v>
      </x:c>
      <x:c r="D2857" s="13" t="n">
        <x:v>1370.74</x:v>
      </x:c>
    </x:row>
    <x:row r="2858">
      <x:c r="A2858" s="9" t="str">
        <x:v>2854</x:v>
      </x:c>
      <x:c r="B2858" s="9" t="str">
        <x:v>1427</x:v>
      </x:c>
      <x:c r="C2858" s="11" t="n">
        <x:v>46167</x:v>
      </x:c>
      <x:c r="D2858" s="13" t="n">
        <x:v>567.91</x:v>
      </x:c>
    </x:row>
    <x:row r="2859">
      <x:c r="A2859" s="9" t="str">
        <x:v>2855</x:v>
      </x:c>
      <x:c r="B2859" s="9" t="str">
        <x:v>1428</x:v>
      </x:c>
      <x:c r="C2859" s="11" t="n">
        <x:v>46196</x:v>
      </x:c>
      <x:c r="D2859" s="13" t="n">
        <x:v>636.29</x:v>
      </x:c>
    </x:row>
    <x:row r="2860">
      <x:c r="A2860" s="9" t="str">
        <x:v>2856</x:v>
      </x:c>
      <x:c r="B2860" s="9" t="str">
        <x:v>1428</x:v>
      </x:c>
      <x:c r="C2860" s="11" t="n">
        <x:v>46201</x:v>
      </x:c>
      <x:c r="D2860" s="13" t="n">
        <x:v>385.51</x:v>
      </x:c>
    </x:row>
    <x:row r="2861">
      <x:c r="A2861" s="9" t="str">
        <x:v>2857</x:v>
      </x:c>
      <x:c r="B2861" s="9" t="str">
        <x:v>1428</x:v>
      </x:c>
      <x:c r="C2861" s="11" t="n">
        <x:v>46159</x:v>
      </x:c>
      <x:c r="D2861" s="13" t="n">
        <x:v>70.99</x:v>
      </x:c>
    </x:row>
    <x:row r="2862">
      <x:c r="A2862" s="9" t="str">
        <x:v>2858</x:v>
      </x:c>
      <x:c r="B2862" s="9" t="str">
        <x:v>1428</x:v>
      </x:c>
      <x:c r="C2862" s="11" t="n">
        <x:v>46157</x:v>
      </x:c>
      <x:c r="D2862" s="13" t="n">
        <x:v>966.08</x:v>
      </x:c>
    </x:row>
    <x:row r="2863">
      <x:c r="A2863" s="9" t="str">
        <x:v>2859</x:v>
      </x:c>
      <x:c r="B2863" s="9" t="str">
        <x:v>1429</x:v>
      </x:c>
      <x:c r="C2863" s="11" t="n">
        <x:v>46092</x:v>
      </x:c>
      <x:c r="D2863" s="13" t="n">
        <x:v>1122.17</x:v>
      </x:c>
    </x:row>
    <x:row r="2864">
      <x:c r="A2864" s="9" t="str">
        <x:v>2860</x:v>
      </x:c>
      <x:c r="B2864" s="9" t="str">
        <x:v>1429</x:v>
      </x:c>
      <x:c r="C2864" s="11" t="n">
        <x:v>46040</x:v>
      </x:c>
      <x:c r="D2864" s="13" t="n">
        <x:v>582.55</x:v>
      </x:c>
    </x:row>
    <x:row r="2865">
      <x:c r="A2865" s="9" t="str">
        <x:v>2861</x:v>
      </x:c>
      <x:c r="B2865" s="9" t="str">
        <x:v>1429</x:v>
      </x:c>
      <x:c r="C2865" s="11" t="n">
        <x:v>46068</x:v>
      </x:c>
      <x:c r="D2865" s="13" t="n">
        <x:v>788.19</x:v>
      </x:c>
    </x:row>
    <x:row r="2866">
      <x:c r="A2866" s="9" t="str">
        <x:v>2862</x:v>
      </x:c>
      <x:c r="B2866" s="9" t="str">
        <x:v>1430</x:v>
      </x:c>
      <x:c r="C2866" s="11" t="n">
        <x:v>46105</x:v>
      </x:c>
      <x:c r="D2866" s="13" t="n">
        <x:v>1350.49</x:v>
      </x:c>
    </x:row>
    <x:row r="2867">
      <x:c r="A2867" s="9" t="str">
        <x:v>2863</x:v>
      </x:c>
      <x:c r="B2867" s="9" t="str">
        <x:v>1430</x:v>
      </x:c>
      <x:c r="C2867" s="11" t="n">
        <x:v>46200</x:v>
      </x:c>
      <x:c r="D2867" s="13" t="n">
        <x:v>305.42</x:v>
      </x:c>
    </x:row>
    <x:row r="2868">
      <x:c r="A2868" s="9" t="str">
        <x:v>2864</x:v>
      </x:c>
      <x:c r="B2868" s="9" t="str">
        <x:v>1431</x:v>
      </x:c>
      <x:c r="C2868" s="11" t="n">
        <x:v>46122</x:v>
      </x:c>
      <x:c r="D2868" s="13" t="n">
        <x:v>1222.81</x:v>
      </x:c>
    </x:row>
    <x:row r="2869">
      <x:c r="A2869" s="9" t="str">
        <x:v>2865</x:v>
      </x:c>
      <x:c r="B2869" s="9" t="str">
        <x:v>1431</x:v>
      </x:c>
      <x:c r="C2869" s="11" t="n">
        <x:v>46157</x:v>
      </x:c>
      <x:c r="D2869" s="13" t="n">
        <x:v>158.4</x:v>
      </x:c>
    </x:row>
    <x:row r="2870">
      <x:c r="A2870" s="9" t="str">
        <x:v>2866</x:v>
      </x:c>
      <x:c r="B2870" s="9" t="str">
        <x:v>1431</x:v>
      </x:c>
      <x:c r="C2870" s="11" t="n">
        <x:v>46184</x:v>
      </x:c>
      <x:c r="D2870" s="13" t="n">
        <x:v>1162.85</x:v>
      </x:c>
    </x:row>
    <x:row r="2871">
      <x:c r="A2871" s="9" t="str">
        <x:v>2867</x:v>
      </x:c>
      <x:c r="B2871" s="9" t="str">
        <x:v>1431</x:v>
      </x:c>
      <x:c r="C2871" s="11" t="n">
        <x:v>46173</x:v>
      </x:c>
      <x:c r="D2871" s="13" t="n">
        <x:v>1204.52</x:v>
      </x:c>
    </x:row>
    <x:row r="2872">
      <x:c r="A2872" s="9" t="str">
        <x:v>2868</x:v>
      </x:c>
      <x:c r="B2872" s="9" t="str">
        <x:v>1432</x:v>
      </x:c>
      <x:c r="C2872" s="11" t="n">
        <x:v>46123</x:v>
      </x:c>
      <x:c r="D2872" s="13" t="n">
        <x:v>302.36</x:v>
      </x:c>
    </x:row>
    <x:row r="2873">
      <x:c r="A2873" s="9" t="str">
        <x:v>2869</x:v>
      </x:c>
      <x:c r="B2873" s="9" t="str">
        <x:v>1432</x:v>
      </x:c>
      <x:c r="C2873" s="11" t="n">
        <x:v>46063</x:v>
      </x:c>
      <x:c r="D2873" s="13" t="n">
        <x:v>94.42</x:v>
      </x:c>
    </x:row>
    <x:row r="2874">
      <x:c r="A2874" s="9" t="str">
        <x:v>2870</x:v>
      </x:c>
      <x:c r="B2874" s="9" t="str">
        <x:v>1432</x:v>
      </x:c>
      <x:c r="C2874" s="11" t="n">
        <x:v>46064</x:v>
      </x:c>
      <x:c r="D2874" s="13" t="n">
        <x:v>356.32</x:v>
      </x:c>
    </x:row>
    <x:row r="2875">
      <x:c r="A2875" s="9" t="str">
        <x:v>2871</x:v>
      </x:c>
      <x:c r="B2875" s="9" t="str">
        <x:v>1432</x:v>
      </x:c>
      <x:c r="C2875" s="11" t="n">
        <x:v>46089</x:v>
      </x:c>
      <x:c r="D2875" s="13" t="n">
        <x:v>504.29</x:v>
      </x:c>
    </x:row>
    <x:row r="2876">
      <x:c r="A2876" s="9" t="str">
        <x:v>2872</x:v>
      </x:c>
      <x:c r="B2876" s="9" t="str">
        <x:v>1435</x:v>
      </x:c>
      <x:c r="C2876" s="11" t="n">
        <x:v>46140</x:v>
      </x:c>
      <x:c r="D2876" s="13" t="n">
        <x:v>1411.25</x:v>
      </x:c>
    </x:row>
    <x:row r="2877">
      <x:c r="A2877" s="9" t="str">
        <x:v>2873</x:v>
      </x:c>
      <x:c r="B2877" s="9" t="str">
        <x:v>1435</x:v>
      </x:c>
      <x:c r="C2877" s="11" t="n">
        <x:v>46182</x:v>
      </x:c>
      <x:c r="D2877" s="13" t="n">
        <x:v>34.67</x:v>
      </x:c>
    </x:row>
    <x:row r="2878">
      <x:c r="A2878" s="9" t="str">
        <x:v>2874</x:v>
      </x:c>
      <x:c r="B2878" s="9" t="str">
        <x:v>1435</x:v>
      </x:c>
      <x:c r="C2878" s="11" t="n">
        <x:v>46190</x:v>
      </x:c>
      <x:c r="D2878" s="13" t="n">
        <x:v>211.77</x:v>
      </x:c>
    </x:row>
    <x:row r="2879">
      <x:c r="A2879" s="9" t="str">
        <x:v>2875</x:v>
      </x:c>
      <x:c r="B2879" s="9" t="str">
        <x:v>1435</x:v>
      </x:c>
      <x:c r="C2879" s="11" t="n">
        <x:v>46167</x:v>
      </x:c>
      <x:c r="D2879" s="13" t="n">
        <x:v>563.8</x:v>
      </x:c>
    </x:row>
    <x:row r="2880">
      <x:c r="A2880" s="9" t="str">
        <x:v>2876</x:v>
      </x:c>
      <x:c r="B2880" s="9" t="str">
        <x:v>1436</x:v>
      </x:c>
      <x:c r="C2880" s="11" t="n">
        <x:v>46193</x:v>
      </x:c>
      <x:c r="D2880" s="13" t="n">
        <x:v>377.36</x:v>
      </x:c>
    </x:row>
    <x:row r="2881">
      <x:c r="A2881" s="9" t="str">
        <x:v>2877</x:v>
      </x:c>
      <x:c r="B2881" s="9" t="str">
        <x:v>1436</x:v>
      </x:c>
      <x:c r="C2881" s="11" t="n">
        <x:v>46140</x:v>
      </x:c>
      <x:c r="D2881" s="13" t="n">
        <x:v>56.55</x:v>
      </x:c>
    </x:row>
    <x:row r="2882">
      <x:c r="A2882" s="9" t="str">
        <x:v>2878</x:v>
      </x:c>
      <x:c r="B2882" s="9" t="str">
        <x:v>1436</x:v>
      </x:c>
      <x:c r="C2882" s="11" t="n">
        <x:v>46156</x:v>
      </x:c>
      <x:c r="D2882" s="13" t="n">
        <x:v>386.14</x:v>
      </x:c>
    </x:row>
    <x:row r="2883">
      <x:c r="A2883" s="9" t="str">
        <x:v>2879</x:v>
      </x:c>
      <x:c r="B2883" s="9" t="str">
        <x:v>1437</x:v>
      </x:c>
      <x:c r="C2883" s="11" t="n">
        <x:v>46189</x:v>
      </x:c>
      <x:c r="D2883" s="13" t="n">
        <x:v>814.67</x:v>
      </x:c>
    </x:row>
    <x:row r="2884">
      <x:c r="A2884" s="9" t="str">
        <x:v>2880</x:v>
      </x:c>
      <x:c r="B2884" s="9" t="str">
        <x:v>1437</x:v>
      </x:c>
      <x:c r="C2884" s="11" t="n">
        <x:v>46121</x:v>
      </x:c>
      <x:c r="D2884" s="13" t="n">
        <x:v>700.59</x:v>
      </x:c>
    </x:row>
    <x:row r="2885">
      <x:c r="A2885" s="9" t="str">
        <x:v>2881</x:v>
      </x:c>
      <x:c r="B2885" s="9" t="str">
        <x:v>1437</x:v>
      </x:c>
      <x:c r="C2885" s="11" t="n">
        <x:v>46153</x:v>
      </x:c>
      <x:c r="D2885" s="13" t="n">
        <x:v>360.95</x:v>
      </x:c>
    </x:row>
    <x:row r="2886">
      <x:c r="A2886" s="9" t="str">
        <x:v>2882</x:v>
      </x:c>
      <x:c r="B2886" s="9" t="str">
        <x:v>1438</x:v>
      </x:c>
      <x:c r="C2886" s="11" t="n">
        <x:v>46125</x:v>
      </x:c>
      <x:c r="D2886" s="13" t="n">
        <x:v>1586.47</x:v>
      </x:c>
    </x:row>
    <x:row r="2887">
      <x:c r="A2887" s="9" t="str">
        <x:v>2883</x:v>
      </x:c>
      <x:c r="B2887" s="9" t="str">
        <x:v>1439</x:v>
      </x:c>
      <x:c r="C2887" s="11" t="n">
        <x:v>46172</x:v>
      </x:c>
      <x:c r="D2887" s="13" t="n">
        <x:v>212.01</x:v>
      </x:c>
    </x:row>
    <x:row r="2888">
      <x:c r="A2888" s="9" t="str">
        <x:v>2884</x:v>
      </x:c>
      <x:c r="B2888" s="9" t="str">
        <x:v>1440</x:v>
      </x:c>
      <x:c r="C2888" s="11" t="n">
        <x:v>46139</x:v>
      </x:c>
      <x:c r="D2888" s="13" t="n">
        <x:v>994.97</x:v>
      </x:c>
    </x:row>
    <x:row r="2889">
      <x:c r="A2889" s="9" t="str">
        <x:v>2885</x:v>
      </x:c>
      <x:c r="B2889" s="9" t="str">
        <x:v>1441</x:v>
      </x:c>
      <x:c r="C2889" s="11" t="n">
        <x:v>46107</x:v>
      </x:c>
      <x:c r="D2889" s="13" t="n">
        <x:v>522.06</x:v>
      </x:c>
    </x:row>
    <x:row r="2890">
      <x:c r="A2890" s="9" t="str">
        <x:v>2886</x:v>
      </x:c>
      <x:c r="B2890" s="9" t="str">
        <x:v>1441</x:v>
      </x:c>
      <x:c r="C2890" s="11" t="n">
        <x:v>46135</x:v>
      </x:c>
      <x:c r="D2890" s="13" t="n">
        <x:v>1329.57</x:v>
      </x:c>
    </x:row>
    <x:row r="2891">
      <x:c r="A2891" s="9" t="str">
        <x:v>2887</x:v>
      </x:c>
      <x:c r="B2891" s="9" t="str">
        <x:v>1442</x:v>
      </x:c>
      <x:c r="C2891" s="11" t="n">
        <x:v>46187</x:v>
      </x:c>
      <x:c r="D2891" s="13" t="n">
        <x:v>1133.67</x:v>
      </x:c>
    </x:row>
    <x:row r="2892">
      <x:c r="A2892" s="9" t="str">
        <x:v>2888</x:v>
      </x:c>
      <x:c r="B2892" s="9" t="str">
        <x:v>1442</x:v>
      </x:c>
      <x:c r="C2892" s="11" t="n">
        <x:v>46162</x:v>
      </x:c>
      <x:c r="D2892" s="13" t="n">
        <x:v>1744.34</x:v>
      </x:c>
    </x:row>
    <x:row r="2893">
      <x:c r="A2893" s="9" t="str">
        <x:v>2889</x:v>
      </x:c>
      <x:c r="B2893" s="9" t="str">
        <x:v>1442</x:v>
      </x:c>
      <x:c r="C2893" s="11" t="n">
        <x:v>46199</x:v>
      </x:c>
      <x:c r="D2893" s="13" t="n">
        <x:v>959.91</x:v>
      </x:c>
    </x:row>
    <x:row r="2894">
      <x:c r="A2894" s="9" t="str">
        <x:v>2890</x:v>
      </x:c>
      <x:c r="B2894" s="9" t="str">
        <x:v>1442</x:v>
      </x:c>
      <x:c r="C2894" s="11" t="n">
        <x:v>46180</x:v>
      </x:c>
      <x:c r="D2894" s="13" t="n">
        <x:v>2076.37</x:v>
      </x:c>
    </x:row>
    <x:row r="2895">
      <x:c r="A2895" s="9" t="str">
        <x:v>2891</x:v>
      </x:c>
      <x:c r="B2895" s="9" t="str">
        <x:v>1443</x:v>
      </x:c>
      <x:c r="C2895" s="11" t="n">
        <x:v>46166</x:v>
      </x:c>
      <x:c r="D2895" s="13" t="n">
        <x:v>575.68</x:v>
      </x:c>
    </x:row>
    <x:row r="2896">
      <x:c r="A2896" s="9" t="str">
        <x:v>2892</x:v>
      </x:c>
      <x:c r="B2896" s="9" t="str">
        <x:v>1444</x:v>
      </x:c>
      <x:c r="C2896" s="11" t="n">
        <x:v>46174</x:v>
      </x:c>
      <x:c r="D2896" s="13" t="n">
        <x:v>457.57</x:v>
      </x:c>
    </x:row>
    <x:row r="2897">
      <x:c r="A2897" s="9" t="str">
        <x:v>2893</x:v>
      </x:c>
      <x:c r="B2897" s="9" t="str">
        <x:v>1445</x:v>
      </x:c>
      <x:c r="C2897" s="11" t="n">
        <x:v>46140</x:v>
      </x:c>
      <x:c r="D2897" s="13" t="n">
        <x:v>47.79</x:v>
      </x:c>
    </x:row>
    <x:row r="2898">
      <x:c r="A2898" s="9" t="str">
        <x:v>2894</x:v>
      </x:c>
      <x:c r="B2898" s="9" t="str">
        <x:v>1445</x:v>
      </x:c>
      <x:c r="C2898" s="11" t="n">
        <x:v>46167</x:v>
      </x:c>
      <x:c r="D2898" s="13" t="n">
        <x:v>271.82</x:v>
      </x:c>
    </x:row>
    <x:row r="2899">
      <x:c r="A2899" s="9" t="str">
        <x:v>2895</x:v>
      </x:c>
      <x:c r="B2899" s="9" t="str">
        <x:v>1446</x:v>
      </x:c>
      <x:c r="C2899" s="11" t="n">
        <x:v>46183</x:v>
      </x:c>
      <x:c r="D2899" s="13" t="n">
        <x:v>930.22</x:v>
      </x:c>
    </x:row>
    <x:row r="2900">
      <x:c r="A2900" s="9" t="str">
        <x:v>2896</x:v>
      </x:c>
      <x:c r="B2900" s="9" t="str">
        <x:v>1446</x:v>
      </x:c>
      <x:c r="C2900" s="11" t="n">
        <x:v>46109</x:v>
      </x:c>
      <x:c r="D2900" s="13" t="n">
        <x:v>248.18</x:v>
      </x:c>
    </x:row>
    <x:row r="2901">
      <x:c r="A2901" s="9" t="str">
        <x:v>2897</x:v>
      </x:c>
      <x:c r="B2901" s="9" t="str">
        <x:v>1446</x:v>
      </x:c>
      <x:c r="C2901" s="11" t="n">
        <x:v>46178</x:v>
      </x:c>
      <x:c r="D2901" s="13" t="n">
        <x:v>1126.2</x:v>
      </x:c>
    </x:row>
    <x:row r="2902">
      <x:c r="A2902" s="9" t="str">
        <x:v>2898</x:v>
      </x:c>
      <x:c r="B2902" s="9" t="str">
        <x:v>1447</x:v>
      </x:c>
      <x:c r="C2902" s="11" t="n">
        <x:v>46137</x:v>
      </x:c>
      <x:c r="D2902" s="13" t="n">
        <x:v>91.09</x:v>
      </x:c>
    </x:row>
    <x:row r="2903">
      <x:c r="A2903" s="9" t="str">
        <x:v>2899</x:v>
      </x:c>
      <x:c r="B2903" s="9" t="str">
        <x:v>1447</x:v>
      </x:c>
      <x:c r="C2903" s="11" t="n">
        <x:v>46172</x:v>
      </x:c>
      <x:c r="D2903" s="13" t="n">
        <x:v>41.52</x:v>
      </x:c>
    </x:row>
    <x:row r="2904">
      <x:c r="A2904" s="9" t="str">
        <x:v>2900</x:v>
      </x:c>
      <x:c r="B2904" s="9" t="str">
        <x:v>1448</x:v>
      </x:c>
      <x:c r="C2904" s="11" t="n">
        <x:v>46110</x:v>
      </x:c>
      <x:c r="D2904" s="13" t="n">
        <x:v>414.03</x:v>
      </x:c>
    </x:row>
    <x:row r="2905">
      <x:c r="A2905" s="9" t="str">
        <x:v>2901</x:v>
      </x:c>
      <x:c r="B2905" s="9" t="str">
        <x:v>1448</x:v>
      </x:c>
      <x:c r="C2905" s="11" t="n">
        <x:v>46189</x:v>
      </x:c>
      <x:c r="D2905" s="13" t="n">
        <x:v>128.77</x:v>
      </x:c>
    </x:row>
    <x:row r="2906">
      <x:c r="A2906" s="9" t="str">
        <x:v>2902</x:v>
      </x:c>
      <x:c r="B2906" s="9" t="str">
        <x:v>1449</x:v>
      </x:c>
      <x:c r="C2906" s="11" t="n">
        <x:v>46141</x:v>
      </x:c>
      <x:c r="D2906" s="13" t="n">
        <x:v>2042.57</x:v>
      </x:c>
    </x:row>
    <x:row r="2907">
      <x:c r="A2907" s="9" t="str">
        <x:v>2903</x:v>
      </x:c>
      <x:c r="B2907" s="9" t="str">
        <x:v>1450</x:v>
      </x:c>
      <x:c r="C2907" s="11" t="n">
        <x:v>46110</x:v>
      </x:c>
      <x:c r="D2907" s="13" t="n">
        <x:v>117.1</x:v>
      </x:c>
    </x:row>
    <x:row r="2908">
      <x:c r="A2908" s="9" t="str">
        <x:v>2904</x:v>
      </x:c>
      <x:c r="B2908" s="9" t="str">
        <x:v>1450</x:v>
      </x:c>
      <x:c r="C2908" s="11" t="n">
        <x:v>46072</x:v>
      </x:c>
      <x:c r="D2908" s="13" t="n">
        <x:v>58.17</x:v>
      </x:c>
    </x:row>
    <x:row r="2909">
      <x:c r="A2909" s="9" t="str">
        <x:v>2905</x:v>
      </x:c>
      <x:c r="B2909" s="9" t="str">
        <x:v>1451</x:v>
      </x:c>
      <x:c r="C2909" s="11" t="n">
        <x:v>46121</x:v>
      </x:c>
      <x:c r="D2909" s="13" t="n">
        <x:v>176.72</x:v>
      </x:c>
    </x:row>
    <x:row r="2910">
      <x:c r="A2910" s="9" t="str">
        <x:v>2906</x:v>
      </x:c>
      <x:c r="B2910" s="9" t="str">
        <x:v>1451</x:v>
      </x:c>
      <x:c r="C2910" s="11" t="n">
        <x:v>46172</x:v>
      </x:c>
      <x:c r="D2910" s="13" t="n">
        <x:v>342.74</x:v>
      </x:c>
    </x:row>
    <x:row r="2911">
      <x:c r="A2911" s="9" t="str">
        <x:v>2907</x:v>
      </x:c>
      <x:c r="B2911" s="9" t="str">
        <x:v>1451</x:v>
      </x:c>
      <x:c r="C2911" s="11" t="n">
        <x:v>46163</x:v>
      </x:c>
      <x:c r="D2911" s="13" t="n">
        <x:v>518.58</x:v>
      </x:c>
    </x:row>
    <x:row r="2912">
      <x:c r="A2912" s="9" t="str">
        <x:v>2908</x:v>
      </x:c>
      <x:c r="B2912" s="9" t="str">
        <x:v>1451</x:v>
      </x:c>
      <x:c r="C2912" s="11" t="n">
        <x:v>46153</x:v>
      </x:c>
      <x:c r="D2912" s="13" t="n">
        <x:v>542.1</x:v>
      </x:c>
    </x:row>
    <x:row r="2913">
      <x:c r="A2913" s="9" t="str">
        <x:v>2909</x:v>
      </x:c>
      <x:c r="B2913" s="9" t="str">
        <x:v>1452</x:v>
      </x:c>
      <x:c r="C2913" s="11" t="n">
        <x:v>46144</x:v>
      </x:c>
      <x:c r="D2913" s="13" t="n">
        <x:v>1080.6</x:v>
      </x:c>
    </x:row>
    <x:row r="2914">
      <x:c r="A2914" s="9" t="str">
        <x:v>2910</x:v>
      </x:c>
      <x:c r="B2914" s="9" t="str">
        <x:v>1452</x:v>
      </x:c>
      <x:c r="C2914" s="11" t="n">
        <x:v>46145</x:v>
      </x:c>
      <x:c r="D2914" s="13" t="n">
        <x:v>123.81</x:v>
      </x:c>
    </x:row>
    <x:row r="2915">
      <x:c r="A2915" s="9" t="str">
        <x:v>2911</x:v>
      </x:c>
      <x:c r="B2915" s="9" t="str">
        <x:v>1453</x:v>
      </x:c>
      <x:c r="C2915" s="11" t="n">
        <x:v>46154</x:v>
      </x:c>
      <x:c r="D2915" s="13" t="n">
        <x:v>1116.11</x:v>
      </x:c>
    </x:row>
    <x:row r="2916">
      <x:c r="A2916" s="9" t="str">
        <x:v>2912</x:v>
      </x:c>
      <x:c r="B2916" s="9" t="str">
        <x:v>1453</x:v>
      </x:c>
      <x:c r="C2916" s="11" t="n">
        <x:v>46144</x:v>
      </x:c>
      <x:c r="D2916" s="13" t="n">
        <x:v>866.57</x:v>
      </x:c>
    </x:row>
    <x:row r="2917">
      <x:c r="A2917" s="9" t="str">
        <x:v>2913</x:v>
      </x:c>
      <x:c r="B2917" s="9" t="str">
        <x:v>1453</x:v>
      </x:c>
      <x:c r="C2917" s="11" t="n">
        <x:v>46194</x:v>
      </x:c>
      <x:c r="D2917" s="13" t="n">
        <x:v>855.98</x:v>
      </x:c>
    </x:row>
    <x:row r="2918">
      <x:c r="A2918" s="9" t="str">
        <x:v>2914</x:v>
      </x:c>
      <x:c r="B2918" s="9" t="str">
        <x:v>1455</x:v>
      </x:c>
      <x:c r="C2918" s="11" t="n">
        <x:v>46177</x:v>
      </x:c>
      <x:c r="D2918" s="13" t="n">
        <x:v>1363.78</x:v>
      </x:c>
    </x:row>
    <x:row r="2919">
      <x:c r="A2919" s="9" t="str">
        <x:v>2915</x:v>
      </x:c>
      <x:c r="B2919" s="9" t="str">
        <x:v>1455</x:v>
      </x:c>
      <x:c r="C2919" s="11" t="n">
        <x:v>46171</x:v>
      </x:c>
      <x:c r="D2919" s="13" t="n">
        <x:v>95.98</x:v>
      </x:c>
    </x:row>
    <x:row r="2920">
      <x:c r="A2920" s="9" t="str">
        <x:v>2916</x:v>
      </x:c>
      <x:c r="B2920" s="9" t="str">
        <x:v>1455</x:v>
      </x:c>
      <x:c r="C2920" s="11" t="n">
        <x:v>46177</x:v>
      </x:c>
      <x:c r="D2920" s="13" t="n">
        <x:v>568.32</x:v>
      </x:c>
    </x:row>
    <x:row r="2921">
      <x:c r="A2921" s="9" t="str">
        <x:v>2917</x:v>
      </x:c>
      <x:c r="B2921" s="9" t="str">
        <x:v>1455</x:v>
      </x:c>
      <x:c r="C2921" s="11" t="n">
        <x:v>46174</x:v>
      </x:c>
      <x:c r="D2921" s="13" t="n">
        <x:v>126.64</x:v>
      </x:c>
    </x:row>
    <x:row r="2922">
      <x:c r="A2922" s="9" t="str">
        <x:v>2918</x:v>
      </x:c>
      <x:c r="B2922" s="9" t="str">
        <x:v>1457</x:v>
      </x:c>
      <x:c r="C2922" s="11" t="n">
        <x:v>46183</x:v>
      </x:c>
      <x:c r="D2922" s="13" t="n">
        <x:v>210.73</x:v>
      </x:c>
    </x:row>
    <x:row r="2923">
      <x:c r="A2923" s="9" t="str">
        <x:v>2919</x:v>
      </x:c>
      <x:c r="B2923" s="9" t="str">
        <x:v>1457</x:v>
      </x:c>
      <x:c r="C2923" s="11" t="n">
        <x:v>46178</x:v>
      </x:c>
      <x:c r="D2923" s="13" t="n">
        <x:v>1918.33</x:v>
      </x:c>
    </x:row>
    <x:row r="2924">
      <x:c r="A2924" s="9" t="str">
        <x:v>2920</x:v>
      </x:c>
      <x:c r="B2924" s="9" t="str">
        <x:v>1458</x:v>
      </x:c>
      <x:c r="C2924" s="11" t="n">
        <x:v>46136</x:v>
      </x:c>
      <x:c r="D2924" s="13" t="n">
        <x:v>1709.76</x:v>
      </x:c>
    </x:row>
    <x:row r="2925">
      <x:c r="A2925" s="9" t="str">
        <x:v>2921</x:v>
      </x:c>
      <x:c r="B2925" s="9" t="str">
        <x:v>1458</x:v>
      </x:c>
      <x:c r="C2925" s="11" t="n">
        <x:v>46186</x:v>
      </x:c>
      <x:c r="D2925" s="13" t="n">
        <x:v>1767.01</x:v>
      </x:c>
    </x:row>
    <x:row r="2926">
      <x:c r="A2926" s="9" t="str">
        <x:v>2922</x:v>
      </x:c>
      <x:c r="B2926" s="9" t="str">
        <x:v>1459</x:v>
      </x:c>
      <x:c r="C2926" s="11" t="n">
        <x:v>46136</x:v>
      </x:c>
      <x:c r="D2926" s="13" t="n">
        <x:v>1422.73</x:v>
      </x:c>
    </x:row>
    <x:row r="2927">
      <x:c r="A2927" s="9" t="str">
        <x:v>2923</x:v>
      </x:c>
      <x:c r="B2927" s="9" t="str">
        <x:v>1461</x:v>
      </x:c>
      <x:c r="C2927" s="11" t="n">
        <x:v>46112</x:v>
      </x:c>
      <x:c r="D2927" s="13" t="n">
        <x:v>230.35</x:v>
      </x:c>
    </x:row>
    <x:row r="2928">
      <x:c r="A2928" s="9" t="str">
        <x:v>2924</x:v>
      </x:c>
      <x:c r="B2928" s="9" t="str">
        <x:v>1461</x:v>
      </x:c>
      <x:c r="C2928" s="11" t="n">
        <x:v>46134</x:v>
      </x:c>
      <x:c r="D2928" s="13" t="n">
        <x:v>14.02</x:v>
      </x:c>
    </x:row>
    <x:row r="2929">
      <x:c r="A2929" s="9" t="str">
        <x:v>2925</x:v>
      </x:c>
      <x:c r="B2929" s="9" t="str">
        <x:v>1462</x:v>
      </x:c>
      <x:c r="C2929" s="11" t="n">
        <x:v>46190</x:v>
      </x:c>
      <x:c r="D2929" s="13" t="n">
        <x:v>504.82</x:v>
      </x:c>
    </x:row>
    <x:row r="2930">
      <x:c r="A2930" s="9" t="str">
        <x:v>2926</x:v>
      </x:c>
      <x:c r="B2930" s="9" t="str">
        <x:v>1462</x:v>
      </x:c>
      <x:c r="C2930" s="11" t="n">
        <x:v>46186</x:v>
      </x:c>
      <x:c r="D2930" s="13" t="n">
        <x:v>978.29</x:v>
      </x:c>
    </x:row>
    <x:row r="2931">
      <x:c r="A2931" s="9" t="str">
        <x:v>2927</x:v>
      </x:c>
      <x:c r="B2931" s="9" t="str">
        <x:v>1462</x:v>
      </x:c>
      <x:c r="C2931" s="11" t="n">
        <x:v>46124</x:v>
      </x:c>
      <x:c r="D2931" s="13" t="n">
        <x:v>330.6</x:v>
      </x:c>
    </x:row>
    <x:row r="2932">
      <x:c r="A2932" s="9" t="str">
        <x:v>2928</x:v>
      </x:c>
      <x:c r="B2932" s="9" t="str">
        <x:v>1462</x:v>
      </x:c>
      <x:c r="C2932" s="11" t="n">
        <x:v>46163</x:v>
      </x:c>
      <x:c r="D2932" s="13" t="n">
        <x:v>147.56</x:v>
      </x:c>
    </x:row>
    <x:row r="2933">
      <x:c r="A2933" s="9" t="str">
        <x:v>2929</x:v>
      </x:c>
      <x:c r="B2933" s="9" t="str">
        <x:v>1463</x:v>
      </x:c>
      <x:c r="C2933" s="11" t="n">
        <x:v>46085</x:v>
      </x:c>
      <x:c r="D2933" s="13" t="n">
        <x:v>945.93</x:v>
      </x:c>
    </x:row>
    <x:row r="2934">
      <x:c r="A2934" s="9" t="str">
        <x:v>2930</x:v>
      </x:c>
      <x:c r="B2934" s="9" t="str">
        <x:v>1463</x:v>
      </x:c>
      <x:c r="C2934" s="11" t="n">
        <x:v>46129</x:v>
      </x:c>
      <x:c r="D2934" s="13" t="n">
        <x:v>597.84</x:v>
      </x:c>
    </x:row>
    <x:row r="2935">
      <x:c r="A2935" s="9" t="str">
        <x:v>2931</x:v>
      </x:c>
      <x:c r="B2935" s="9" t="str">
        <x:v>1463</x:v>
      </x:c>
      <x:c r="C2935" s="11" t="n">
        <x:v>46104</x:v>
      </x:c>
      <x:c r="D2935" s="13" t="n">
        <x:v>1108.64</x:v>
      </x:c>
    </x:row>
    <x:row r="2936">
      <x:c r="A2936" s="9" t="str">
        <x:v>2932</x:v>
      </x:c>
      <x:c r="B2936" s="9" t="str">
        <x:v>1464</x:v>
      </x:c>
      <x:c r="C2936" s="11" t="n">
        <x:v>46192</x:v>
      </x:c>
      <x:c r="D2936" s="13" t="n">
        <x:v>1972.58</x:v>
      </x:c>
    </x:row>
    <x:row r="2937">
      <x:c r="A2937" s="9" t="str">
        <x:v>2933</x:v>
      </x:c>
      <x:c r="B2937" s="9" t="str">
        <x:v>1464</x:v>
      </x:c>
      <x:c r="C2937" s="11" t="n">
        <x:v>46196</x:v>
      </x:c>
      <x:c r="D2937" s="13" t="n">
        <x:v>1439.28</x:v>
      </x:c>
    </x:row>
    <x:row r="2938">
      <x:c r="A2938" s="9" t="str">
        <x:v>2934</x:v>
      </x:c>
      <x:c r="B2938" s="9" t="str">
        <x:v>1464</x:v>
      </x:c>
      <x:c r="C2938" s="11" t="n">
        <x:v>46194</x:v>
      </x:c>
      <x:c r="D2938" s="13" t="n">
        <x:v>1513.94</x:v>
      </x:c>
    </x:row>
    <x:row r="2939">
      <x:c r="A2939" s="9" t="str">
        <x:v>2935</x:v>
      </x:c>
      <x:c r="B2939" s="9" t="str">
        <x:v>1468</x:v>
      </x:c>
      <x:c r="C2939" s="11" t="n">
        <x:v>46133</x:v>
      </x:c>
      <x:c r="D2939" s="13" t="n">
        <x:v>906.41</x:v>
      </x:c>
    </x:row>
    <x:row r="2940">
      <x:c r="A2940" s="9" t="str">
        <x:v>2936</x:v>
      </x:c>
      <x:c r="B2940" s="9" t="str">
        <x:v>1469</x:v>
      </x:c>
      <x:c r="C2940" s="11" t="n">
        <x:v>46046</x:v>
      </x:c>
      <x:c r="D2940" s="13" t="n">
        <x:v>251.45</x:v>
      </x:c>
    </x:row>
    <x:row r="2941">
      <x:c r="A2941" s="9" t="str">
        <x:v>2937</x:v>
      </x:c>
      <x:c r="B2941" s="9" t="str">
        <x:v>1469</x:v>
      </x:c>
      <x:c r="C2941" s="11" t="n">
        <x:v>46041</x:v>
      </x:c>
      <x:c r="D2941" s="13" t="n">
        <x:v>32.98</x:v>
      </x:c>
    </x:row>
    <x:row r="2942">
      <x:c r="A2942" s="9" t="str">
        <x:v>2938</x:v>
      </x:c>
      <x:c r="B2942" s="9" t="str">
        <x:v>1469</x:v>
      </x:c>
      <x:c r="C2942" s="11" t="n">
        <x:v>46088</x:v>
      </x:c>
      <x:c r="D2942" s="13" t="n">
        <x:v>251.04</x:v>
      </x:c>
    </x:row>
    <x:row r="2943">
      <x:c r="A2943" s="9" t="str">
        <x:v>2939</x:v>
      </x:c>
      <x:c r="B2943" s="9" t="str">
        <x:v>1469</x:v>
      </x:c>
      <x:c r="C2943" s="11" t="n">
        <x:v>46175</x:v>
      </x:c>
      <x:c r="D2943" s="13" t="n">
        <x:v>110.81</x:v>
      </x:c>
    </x:row>
    <x:row r="2944">
      <x:c r="A2944" s="9" t="str">
        <x:v>2940</x:v>
      </x:c>
      <x:c r="B2944" s="9" t="str">
        <x:v>1470</x:v>
      </x:c>
      <x:c r="C2944" s="11" t="n">
        <x:v>46147</x:v>
      </x:c>
      <x:c r="D2944" s="13" t="n">
        <x:v>1460.6</x:v>
      </x:c>
    </x:row>
    <x:row r="2945">
      <x:c r="A2945" s="9" t="str">
        <x:v>2941</x:v>
      </x:c>
      <x:c r="B2945" s="9" t="str">
        <x:v>1470</x:v>
      </x:c>
      <x:c r="C2945" s="11" t="n">
        <x:v>46064</x:v>
      </x:c>
      <x:c r="D2945" s="13" t="n">
        <x:v>2245.48</x:v>
      </x:c>
    </x:row>
    <x:row r="2946">
      <x:c r="A2946" s="9" t="str">
        <x:v>2942</x:v>
      </x:c>
      <x:c r="B2946" s="9" t="str">
        <x:v>1470</x:v>
      </x:c>
      <x:c r="C2946" s="11" t="n">
        <x:v>46123</x:v>
      </x:c>
      <x:c r="D2946" s="13" t="n">
        <x:v>1645.56</x:v>
      </x:c>
    </x:row>
    <x:row r="2947">
      <x:c r="A2947" s="9" t="str">
        <x:v>2943</x:v>
      </x:c>
      <x:c r="B2947" s="9" t="str">
        <x:v>1471</x:v>
      </x:c>
      <x:c r="C2947" s="11" t="n">
        <x:v>46155</x:v>
      </x:c>
      <x:c r="D2947" s="13" t="n">
        <x:v>66.21</x:v>
      </x:c>
    </x:row>
    <x:row r="2948">
      <x:c r="A2948" s="9" t="str">
        <x:v>2944</x:v>
      </x:c>
      <x:c r="B2948" s="9" t="str">
        <x:v>1471</x:v>
      </x:c>
      <x:c r="C2948" s="11" t="n">
        <x:v>46194</x:v>
      </x:c>
      <x:c r="D2948" s="13" t="n">
        <x:v>12.74</x:v>
      </x:c>
    </x:row>
    <x:row r="2949">
      <x:c r="A2949" s="9" t="str">
        <x:v>2945</x:v>
      </x:c>
      <x:c r="B2949" s="9" t="str">
        <x:v>1471</x:v>
      </x:c>
      <x:c r="C2949" s="11" t="n">
        <x:v>46077</x:v>
      </x:c>
      <x:c r="D2949" s="13" t="n">
        <x:v>115.16</x:v>
      </x:c>
    </x:row>
    <x:row r="2950">
      <x:c r="A2950" s="9" t="str">
        <x:v>2946</x:v>
      </x:c>
      <x:c r="B2950" s="9" t="str">
        <x:v>1472</x:v>
      </x:c>
      <x:c r="C2950" s="11" t="n">
        <x:v>46164</x:v>
      </x:c>
      <x:c r="D2950" s="13" t="n">
        <x:v>112.09</x:v>
      </x:c>
    </x:row>
    <x:row r="2951">
      <x:c r="A2951" s="9" t="str">
        <x:v>2947</x:v>
      </x:c>
      <x:c r="B2951" s="9" t="str">
        <x:v>1473</x:v>
      </x:c>
      <x:c r="C2951" s="11" t="n">
        <x:v>46106</x:v>
      </x:c>
      <x:c r="D2951" s="13" t="n">
        <x:v>455.09</x:v>
      </x:c>
    </x:row>
    <x:row r="2952">
      <x:c r="A2952" s="9" t="str">
        <x:v>2948</x:v>
      </x:c>
      <x:c r="B2952" s="9" t="str">
        <x:v>1473</x:v>
      </x:c>
      <x:c r="C2952" s="11" t="n">
        <x:v>46143</x:v>
      </x:c>
      <x:c r="D2952" s="13" t="n">
        <x:v>352.29</x:v>
      </x:c>
    </x:row>
    <x:row r="2953">
      <x:c r="A2953" s="9" t="str">
        <x:v>2949</x:v>
      </x:c>
      <x:c r="B2953" s="9" t="str">
        <x:v>1473</x:v>
      </x:c>
      <x:c r="C2953" s="11" t="n">
        <x:v>46195</x:v>
      </x:c>
      <x:c r="D2953" s="13" t="n">
        <x:v>402.2</x:v>
      </x:c>
    </x:row>
    <x:row r="2954">
      <x:c r="A2954" s="9" t="str">
        <x:v>2950</x:v>
      </x:c>
      <x:c r="B2954" s="9" t="str">
        <x:v>1473</x:v>
      </x:c>
      <x:c r="C2954" s="11" t="n">
        <x:v>46190</x:v>
      </x:c>
      <x:c r="D2954" s="13" t="n">
        <x:v>406.42</x:v>
      </x:c>
    </x:row>
    <x:row r="2955">
      <x:c r="A2955" s="9" t="str">
        <x:v>2951</x:v>
      </x:c>
      <x:c r="B2955" s="9" t="str">
        <x:v>1474</x:v>
      </x:c>
      <x:c r="C2955" s="11" t="n">
        <x:v>46106</x:v>
      </x:c>
      <x:c r="D2955" s="13" t="n">
        <x:v>88.78</x:v>
      </x:c>
    </x:row>
    <x:row r="2956">
      <x:c r="A2956" s="9" t="str">
        <x:v>2952</x:v>
      </x:c>
      <x:c r="B2956" s="9" t="str">
        <x:v>1474</x:v>
      </x:c>
      <x:c r="C2956" s="11" t="n">
        <x:v>46140</x:v>
      </x:c>
      <x:c r="D2956" s="13" t="n">
        <x:v>147.34</x:v>
      </x:c>
    </x:row>
    <x:row r="2957">
      <x:c r="A2957" s="9" t="str">
        <x:v>2953</x:v>
      </x:c>
      <x:c r="B2957" s="9" t="str">
        <x:v>1474</x:v>
      </x:c>
      <x:c r="C2957" s="11" t="n">
        <x:v>46186</x:v>
      </x:c>
      <x:c r="D2957" s="13" t="n">
        <x:v>23.44</x:v>
      </x:c>
    </x:row>
    <x:row r="2958">
      <x:c r="A2958" s="9" t="str">
        <x:v>2954</x:v>
      </x:c>
      <x:c r="B2958" s="9" t="str">
        <x:v>1474</x:v>
      </x:c>
      <x:c r="C2958" s="11" t="n">
        <x:v>46153</x:v>
      </x:c>
      <x:c r="D2958" s="13" t="n">
        <x:v>132.5</x:v>
      </x:c>
    </x:row>
    <x:row r="2959">
      <x:c r="A2959" s="9" t="str">
        <x:v>2955</x:v>
      </x:c>
      <x:c r="B2959" s="9" t="str">
        <x:v>1475</x:v>
      </x:c>
      <x:c r="C2959" s="11" t="n">
        <x:v>46181</x:v>
      </x:c>
      <x:c r="D2959" s="13" t="n">
        <x:v>1678.7</x:v>
      </x:c>
    </x:row>
    <x:row r="2960">
      <x:c r="A2960" s="9" t="str">
        <x:v>2956</x:v>
      </x:c>
      <x:c r="B2960" s="9" t="str">
        <x:v>1475</x:v>
      </x:c>
      <x:c r="C2960" s="11" t="n">
        <x:v>46157</x:v>
      </x:c>
      <x:c r="D2960" s="13" t="n">
        <x:v>421.74</x:v>
      </x:c>
    </x:row>
    <x:row r="2961">
      <x:c r="A2961" s="9" t="str">
        <x:v>2957</x:v>
      </x:c>
      <x:c r="B2961" s="9" t="str">
        <x:v>1475</x:v>
      </x:c>
      <x:c r="C2961" s="11" t="n">
        <x:v>46192</x:v>
      </x:c>
      <x:c r="D2961" s="13" t="n">
        <x:v>1111.2</x:v>
      </x:c>
    </x:row>
    <x:row r="2962">
      <x:c r="A2962" s="9" t="str">
        <x:v>2958</x:v>
      </x:c>
      <x:c r="B2962" s="9" t="str">
        <x:v>1476</x:v>
      </x:c>
      <x:c r="C2962" s="11" t="n">
        <x:v>46138</x:v>
      </x:c>
      <x:c r="D2962" s="13" t="n">
        <x:v>154.96</x:v>
      </x:c>
    </x:row>
    <x:row r="2963">
      <x:c r="A2963" s="9" t="str">
        <x:v>2959</x:v>
      </x:c>
      <x:c r="B2963" s="9" t="str">
        <x:v>1476</x:v>
      </x:c>
      <x:c r="C2963" s="11" t="n">
        <x:v>46130</x:v>
      </x:c>
      <x:c r="D2963" s="13" t="n">
        <x:v>613.86</x:v>
      </x:c>
    </x:row>
    <x:row r="2964">
      <x:c r="A2964" s="9" t="str">
        <x:v>2960</x:v>
      </x:c>
      <x:c r="B2964" s="9" t="str">
        <x:v>1476</x:v>
      </x:c>
      <x:c r="C2964" s="11" t="n">
        <x:v>46087</x:v>
      </x:c>
      <x:c r="D2964" s="13" t="n">
        <x:v>823.73</x:v>
      </x:c>
    </x:row>
    <x:row r="2965">
      <x:c r="A2965" s="9" t="str">
        <x:v>2961</x:v>
      </x:c>
      <x:c r="B2965" s="9" t="str">
        <x:v>1476</x:v>
      </x:c>
      <x:c r="C2965" s="11" t="n">
        <x:v>46179</x:v>
      </x:c>
      <x:c r="D2965" s="13" t="n">
        <x:v>291.97</x:v>
      </x:c>
    </x:row>
    <x:row r="2966">
      <x:c r="A2966" s="9" t="str">
        <x:v>2962</x:v>
      </x:c>
      <x:c r="B2966" s="9" t="str">
        <x:v>1477</x:v>
      </x:c>
      <x:c r="C2966" s="11" t="n">
        <x:v>46081</x:v>
      </x:c>
      <x:c r="D2966" s="13" t="n">
        <x:v>262.43</x:v>
      </x:c>
    </x:row>
    <x:row r="2967">
      <x:c r="A2967" s="9" t="str">
        <x:v>2963</x:v>
      </x:c>
      <x:c r="B2967" s="9" t="str">
        <x:v>1477</x:v>
      </x:c>
      <x:c r="C2967" s="11" t="n">
        <x:v>46065</x:v>
      </x:c>
      <x:c r="D2967" s="13" t="n">
        <x:v>179.81</x:v>
      </x:c>
    </x:row>
    <x:row r="2968">
      <x:c r="A2968" s="9" t="str">
        <x:v>2964</x:v>
      </x:c>
      <x:c r="B2968" s="9" t="str">
        <x:v>1478</x:v>
      </x:c>
      <x:c r="C2968" s="11" t="n">
        <x:v>46139</x:v>
      </x:c>
      <x:c r="D2968" s="13" t="n">
        <x:v>542.7</x:v>
      </x:c>
    </x:row>
    <x:row r="2969">
      <x:c r="A2969" s="9" t="str">
        <x:v>2965</x:v>
      </x:c>
      <x:c r="B2969" s="9" t="str">
        <x:v>1478</x:v>
      </x:c>
      <x:c r="C2969" s="11" t="n">
        <x:v>46182</x:v>
      </x:c>
      <x:c r="D2969" s="13" t="n">
        <x:v>341.94</x:v>
      </x:c>
    </x:row>
    <x:row r="2970">
      <x:c r="A2970" s="9" t="str">
        <x:v>2966</x:v>
      </x:c>
      <x:c r="B2970" s="9" t="str">
        <x:v>1478</x:v>
      </x:c>
      <x:c r="C2970" s="11" t="n">
        <x:v>46136</x:v>
      </x:c>
      <x:c r="D2970" s="13" t="n">
        <x:v>1658.33</x:v>
      </x:c>
    </x:row>
    <x:row r="2971">
      <x:c r="A2971" s="9" t="str">
        <x:v>2967</x:v>
      </x:c>
      <x:c r="B2971" s="9" t="str">
        <x:v>1478</x:v>
      </x:c>
      <x:c r="C2971" s="11" t="n">
        <x:v>46141</x:v>
      </x:c>
      <x:c r="D2971" s="13" t="n">
        <x:v>2485.59</x:v>
      </x:c>
    </x:row>
    <x:row r="2972">
      <x:c r="A2972" s="9" t="str">
        <x:v>2968</x:v>
      </x:c>
      <x:c r="B2972" s="9" t="str">
        <x:v>1479</x:v>
      </x:c>
      <x:c r="C2972" s="11" t="n">
        <x:v>46138</x:v>
      </x:c>
      <x:c r="D2972" s="13" t="n">
        <x:v>112.21</x:v>
      </x:c>
    </x:row>
    <x:row r="2973">
      <x:c r="A2973" s="9" t="str">
        <x:v>2969</x:v>
      </x:c>
      <x:c r="B2973" s="9" t="str">
        <x:v>1481</x:v>
      </x:c>
      <x:c r="C2973" s="11" t="n">
        <x:v>46185</x:v>
      </x:c>
      <x:c r="D2973" s="13" t="n">
        <x:v>848.24</x:v>
      </x:c>
    </x:row>
    <x:row r="2974">
      <x:c r="A2974" s="9" t="str">
        <x:v>2970</x:v>
      </x:c>
      <x:c r="B2974" s="9" t="str">
        <x:v>1481</x:v>
      </x:c>
      <x:c r="C2974" s="11" t="n">
        <x:v>46182</x:v>
      </x:c>
      <x:c r="D2974" s="13" t="n">
        <x:v>1076.34</x:v>
      </x:c>
    </x:row>
    <x:row r="2975">
      <x:c r="A2975" s="9" t="str">
        <x:v>2971</x:v>
      </x:c>
      <x:c r="B2975" s="9" t="str">
        <x:v>1482</x:v>
      </x:c>
      <x:c r="C2975" s="11" t="n">
        <x:v>46176</x:v>
      </x:c>
      <x:c r="D2975" s="13" t="n">
        <x:v>46.09</x:v>
      </x:c>
    </x:row>
    <x:row r="2976">
      <x:c r="A2976" s="9" t="str">
        <x:v>2972</x:v>
      </x:c>
      <x:c r="B2976" s="9" t="str">
        <x:v>1483</x:v>
      </x:c>
      <x:c r="C2976" s="11" t="n">
        <x:v>46135</x:v>
      </x:c>
      <x:c r="D2976" s="13" t="n">
        <x:v>97.81</x:v>
      </x:c>
    </x:row>
    <x:row r="2977">
      <x:c r="A2977" s="9" t="str">
        <x:v>2973</x:v>
      </x:c>
      <x:c r="B2977" s="9" t="str">
        <x:v>1483</x:v>
      </x:c>
      <x:c r="C2977" s="11" t="n">
        <x:v>46188</x:v>
      </x:c>
      <x:c r="D2977" s="13" t="n">
        <x:v>275.09</x:v>
      </x:c>
    </x:row>
    <x:row r="2978">
      <x:c r="A2978" s="9" t="str">
        <x:v>2974</x:v>
      </x:c>
      <x:c r="B2978" s="9" t="str">
        <x:v>1484</x:v>
      </x:c>
      <x:c r="C2978" s="11" t="n">
        <x:v>46081</x:v>
      </x:c>
      <x:c r="D2978" s="13" t="n">
        <x:v>2009.94</x:v>
      </x:c>
    </x:row>
    <x:row r="2979">
      <x:c r="A2979" s="9" t="str">
        <x:v>2975</x:v>
      </x:c>
      <x:c r="B2979" s="9" t="str">
        <x:v>1484</x:v>
      </x:c>
      <x:c r="C2979" s="11" t="n">
        <x:v>46179</x:v>
      </x:c>
      <x:c r="D2979" s="13" t="n">
        <x:v>169.78</x:v>
      </x:c>
    </x:row>
    <x:row r="2980">
      <x:c r="A2980" s="9" t="str">
        <x:v>2976</x:v>
      </x:c>
      <x:c r="B2980" s="9" t="str">
        <x:v>1484</x:v>
      </x:c>
      <x:c r="C2980" s="11" t="n">
        <x:v>46113</x:v>
      </x:c>
      <x:c r="D2980" s="13" t="n">
        <x:v>1024.77</x:v>
      </x:c>
    </x:row>
    <x:row r="2981">
      <x:c r="A2981" s="9" t="str">
        <x:v>2977</x:v>
      </x:c>
      <x:c r="B2981" s="9" t="str">
        <x:v>1485</x:v>
      </x:c>
      <x:c r="C2981" s="11" t="n">
        <x:v>46160</x:v>
      </x:c>
      <x:c r="D2981" s="13" t="n">
        <x:v>360.39</x:v>
      </x:c>
    </x:row>
    <x:row r="2982">
      <x:c r="A2982" s="9" t="str">
        <x:v>2978</x:v>
      </x:c>
      <x:c r="B2982" s="9" t="str">
        <x:v>1485</x:v>
      </x:c>
      <x:c r="C2982" s="11" t="n">
        <x:v>46200</x:v>
      </x:c>
      <x:c r="D2982" s="13" t="n">
        <x:v>816.99</x:v>
      </x:c>
    </x:row>
    <x:row r="2983">
      <x:c r="A2983" s="9" t="str">
        <x:v>2979</x:v>
      </x:c>
      <x:c r="B2983" s="9" t="str">
        <x:v>1485</x:v>
      </x:c>
      <x:c r="C2983" s="11" t="n">
        <x:v>46139</x:v>
      </x:c>
      <x:c r="D2983" s="13" t="n">
        <x:v>178.84</x:v>
      </x:c>
    </x:row>
    <x:row r="2984">
      <x:c r="A2984" s="9" t="str">
        <x:v>2980</x:v>
      </x:c>
      <x:c r="B2984" s="9" t="str">
        <x:v>1486</x:v>
      </x:c>
      <x:c r="C2984" s="11" t="n">
        <x:v>46202</x:v>
      </x:c>
      <x:c r="D2984" s="13" t="n">
        <x:v>217.01</x:v>
      </x:c>
    </x:row>
    <x:row r="2985">
      <x:c r="A2985" s="9" t="str">
        <x:v>2981</x:v>
      </x:c>
      <x:c r="B2985" s="9" t="str">
        <x:v>1487</x:v>
      </x:c>
      <x:c r="C2985" s="11" t="n">
        <x:v>46122</x:v>
      </x:c>
      <x:c r="D2985" s="13" t="n">
        <x:v>71.06</x:v>
      </x:c>
    </x:row>
    <x:row r="2986">
      <x:c r="A2986" s="9" t="str">
        <x:v>2982</x:v>
      </x:c>
      <x:c r="B2986" s="9" t="str">
        <x:v>1487</x:v>
      </x:c>
      <x:c r="C2986" s="11" t="n">
        <x:v>46100</x:v>
      </x:c>
      <x:c r="D2986" s="13" t="n">
        <x:v>2292.29</x:v>
      </x:c>
    </x:row>
    <x:row r="2987">
      <x:c r="A2987" s="9" t="str">
        <x:v>2983</x:v>
      </x:c>
      <x:c r="B2987" s="9" t="str">
        <x:v>1487</x:v>
      </x:c>
      <x:c r="C2987" s="11" t="n">
        <x:v>46154</x:v>
      </x:c>
      <x:c r="D2987" s="13" t="n">
        <x:v>1673.47</x:v>
      </x:c>
    </x:row>
    <x:row r="2988">
      <x:c r="A2988" s="9" t="str">
        <x:v>2984</x:v>
      </x:c>
      <x:c r="B2988" s="9" t="str">
        <x:v>1487</x:v>
      </x:c>
      <x:c r="C2988" s="11" t="n">
        <x:v>46164</x:v>
      </x:c>
      <x:c r="D2988" s="13" t="n">
        <x:v>1920.18</x:v>
      </x:c>
    </x:row>
    <x:row r="2989">
      <x:c r="A2989" s="9" t="str">
        <x:v>2985</x:v>
      </x:c>
      <x:c r="B2989" s="9" t="str">
        <x:v>1488</x:v>
      </x:c>
      <x:c r="C2989" s="11" t="n">
        <x:v>46168</x:v>
      </x:c>
      <x:c r="D2989" s="13" t="n">
        <x:v>1644.31</x:v>
      </x:c>
    </x:row>
    <x:row r="2990">
      <x:c r="A2990" s="9" t="str">
        <x:v>2986</x:v>
      </x:c>
      <x:c r="B2990" s="9" t="str">
        <x:v>1488</x:v>
      </x:c>
      <x:c r="C2990" s="11" t="n">
        <x:v>46166</x:v>
      </x:c>
      <x:c r="D2990" s="13" t="n">
        <x:v>204.16</x:v>
      </x:c>
    </x:row>
    <x:row r="2991">
      <x:c r="A2991" s="9" t="str">
        <x:v>2987</x:v>
      </x:c>
      <x:c r="B2991" s="9" t="str">
        <x:v>1488</x:v>
      </x:c>
      <x:c r="C2991" s="11" t="n">
        <x:v>46195</x:v>
      </x:c>
      <x:c r="D2991" s="13" t="n">
        <x:v>1030.66</x:v>
      </x:c>
    </x:row>
    <x:row r="2992">
      <x:c r="A2992" s="9" t="str">
        <x:v>2988</x:v>
      </x:c>
      <x:c r="B2992" s="9" t="str">
        <x:v>1488</x:v>
      </x:c>
      <x:c r="C2992" s="11" t="n">
        <x:v>46179</x:v>
      </x:c>
      <x:c r="D2992" s="13" t="n">
        <x:v>147.53</x:v>
      </x:c>
    </x:row>
    <x:row r="2993">
      <x:c r="A2993" s="9" t="str">
        <x:v>2989</x:v>
      </x:c>
      <x:c r="B2993" s="9" t="str">
        <x:v>1489</x:v>
      </x:c>
      <x:c r="C2993" s="11" t="n">
        <x:v>46198</x:v>
      </x:c>
      <x:c r="D2993" s="13" t="n">
        <x:v>641.75</x:v>
      </x:c>
    </x:row>
    <x:row r="2994">
      <x:c r="A2994" s="9" t="str">
        <x:v>2990</x:v>
      </x:c>
      <x:c r="B2994" s="9" t="str">
        <x:v>1489</x:v>
      </x:c>
      <x:c r="C2994" s="11" t="n">
        <x:v>46162</x:v>
      </x:c>
      <x:c r="D2994" s="13" t="n">
        <x:v>373.19</x:v>
      </x:c>
    </x:row>
    <x:row r="2995">
      <x:c r="A2995" s="9" t="str">
        <x:v>2991</x:v>
      </x:c>
      <x:c r="B2995" s="9" t="str">
        <x:v>1490</x:v>
      </x:c>
      <x:c r="C2995" s="11" t="n">
        <x:v>46170</x:v>
      </x:c>
      <x:c r="D2995" s="13" t="n">
        <x:v>1701.62</x:v>
      </x:c>
    </x:row>
    <x:row r="2996">
      <x:c r="A2996" s="9" t="str">
        <x:v>2992</x:v>
      </x:c>
      <x:c r="B2996" s="9" t="str">
        <x:v>1490</x:v>
      </x:c>
      <x:c r="C2996" s="11" t="n">
        <x:v>46148</x:v>
      </x:c>
      <x:c r="D2996" s="13" t="n">
        <x:v>1299.18</x:v>
      </x:c>
    </x:row>
    <x:row r="2997">
      <x:c r="A2997" s="9" t="str">
        <x:v>2993</x:v>
      </x:c>
      <x:c r="B2997" s="9" t="str">
        <x:v>1491</x:v>
      </x:c>
      <x:c r="C2997" s="11" t="n">
        <x:v>46166</x:v>
      </x:c>
      <x:c r="D2997" s="13" t="n">
        <x:v>816.42</x:v>
      </x:c>
    </x:row>
    <x:row r="2998">
      <x:c r="A2998" s="9" t="str">
        <x:v>2994</x:v>
      </x:c>
      <x:c r="B2998" s="9" t="str">
        <x:v>1492</x:v>
      </x:c>
      <x:c r="C2998" s="11" t="n">
        <x:v>46177</x:v>
      </x:c>
      <x:c r="D2998" s="13" t="n">
        <x:v>340.54</x:v>
      </x:c>
    </x:row>
    <x:row r="2999">
      <x:c r="A2999" s="9" t="str">
        <x:v>2995</x:v>
      </x:c>
      <x:c r="B2999" s="9" t="str">
        <x:v>1493</x:v>
      </x:c>
      <x:c r="C2999" s="11" t="n">
        <x:v>46107</x:v>
      </x:c>
      <x:c r="D2999" s="13" t="n">
        <x:v>1387.66</x:v>
      </x:c>
    </x:row>
    <x:row r="3000">
      <x:c r="A3000" s="9" t="str">
        <x:v>2996</x:v>
      </x:c>
      <x:c r="B3000" s="9" t="str">
        <x:v>1494</x:v>
      </x:c>
      <x:c r="C3000" s="11" t="n">
        <x:v>46188</x:v>
      </x:c>
      <x:c r="D3000" s="13" t="n">
        <x:v>1157.19</x:v>
      </x:c>
    </x:row>
    <x:row r="3001">
      <x:c r="A3001" s="9" t="str">
        <x:v>2997</x:v>
      </x:c>
      <x:c r="B3001" s="9" t="str">
        <x:v>1494</x:v>
      </x:c>
      <x:c r="C3001" s="11" t="n">
        <x:v>46162</x:v>
      </x:c>
      <x:c r="D3001" s="13" t="n">
        <x:v>1419.29</x:v>
      </x:c>
    </x:row>
    <x:row r="3002">
      <x:c r="A3002" s="9" t="str">
        <x:v>2998</x:v>
      </x:c>
      <x:c r="B3002" s="9" t="str">
        <x:v>1495</x:v>
      </x:c>
      <x:c r="C3002" s="11" t="n">
        <x:v>46118</x:v>
      </x:c>
      <x:c r="D3002" s="13" t="n">
        <x:v>372.32</x:v>
      </x:c>
    </x:row>
    <x:row r="3003">
      <x:c r="A3003" s="9" t="str">
        <x:v>2999</x:v>
      </x:c>
      <x:c r="B3003" s="9" t="str">
        <x:v>1495</x:v>
      </x:c>
      <x:c r="C3003" s="11" t="n">
        <x:v>46197</x:v>
      </x:c>
      <x:c r="D3003" s="13" t="n">
        <x:v>94.37</x:v>
      </x:c>
    </x:row>
    <x:row r="3004">
      <x:c r="A3004" s="9" t="str">
        <x:v>3000</x:v>
      </x:c>
      <x:c r="B3004" s="9" t="str">
        <x:v>1495</x:v>
      </x:c>
      <x:c r="C3004" s="11" t="n">
        <x:v>46144</x:v>
      </x:c>
      <x:c r="D3004" s="13" t="n">
        <x:v>843.76</x:v>
      </x:c>
    </x:row>
    <x:row r="3005">
      <x:c r="A3005" s="9" t="str">
        <x:v>3001</x:v>
      </x:c>
      <x:c r="B3005" s="9" t="str">
        <x:v>1497</x:v>
      </x:c>
      <x:c r="C3005" s="11" t="n">
        <x:v>46159</x:v>
      </x:c>
      <x:c r="D3005" s="13" t="n">
        <x:v>387.22</x:v>
      </x:c>
    </x:row>
    <x:row r="3006">
      <x:c r="A3006" s="9" t="str">
        <x:v>3002</x:v>
      </x:c>
      <x:c r="B3006" s="9" t="str">
        <x:v>1497</x:v>
      </x:c>
      <x:c r="C3006" s="11" t="n">
        <x:v>46201</x:v>
      </x:c>
      <x:c r="D3006" s="13" t="n">
        <x:v>437.43</x:v>
      </x:c>
    </x:row>
    <x:row r="3007">
      <x:c r="A3007" s="9" t="str">
        <x:v>3003</x:v>
      </x:c>
      <x:c r="B3007" s="9" t="str">
        <x:v>1498</x:v>
      </x:c>
      <x:c r="C3007" s="11" t="n">
        <x:v>46155</x:v>
      </x:c>
      <x:c r="D3007" s="13" t="n">
        <x:v>887.62</x:v>
      </x:c>
    </x:row>
    <x:row r="3008">
      <x:c r="A3008" s="9" t="str">
        <x:v>3004</x:v>
      </x:c>
      <x:c r="B3008" s="9" t="str">
        <x:v>1498</x:v>
      </x:c>
      <x:c r="C3008" s="11" t="n">
        <x:v>46146</x:v>
      </x:c>
      <x:c r="D3008" s="13" t="n">
        <x:v>2010.52</x:v>
      </x:c>
    </x:row>
    <x:row r="3009">
      <x:c r="A3009" s="9" t="str">
        <x:v>3005</x:v>
      </x:c>
      <x:c r="B3009" s="9" t="str">
        <x:v>1498</x:v>
      </x:c>
      <x:c r="C3009" s="11" t="n">
        <x:v>46166</x:v>
      </x:c>
      <x:c r="D3009" s="13" t="n">
        <x:v>265.95</x:v>
      </x:c>
    </x:row>
    <x:row r="3010">
      <x:c r="A3010" s="9" t="str">
        <x:v>3006</x:v>
      </x:c>
      <x:c r="B3010" s="9" t="str">
        <x:v>1498</x:v>
      </x:c>
      <x:c r="C3010" s="11" t="n">
        <x:v>46192</x:v>
      </x:c>
      <x:c r="D3010" s="13" t="n">
        <x:v>2735.77</x:v>
      </x:c>
    </x:row>
    <x:row r="3011">
      <x:c r="A3011" s="9" t="str">
        <x:v>3007</x:v>
      </x:c>
      <x:c r="B3011" s="9" t="str">
        <x:v>1500</x:v>
      </x:c>
      <x:c r="C3011" s="11" t="n">
        <x:v>46130</x:v>
      </x:c>
      <x:c r="D3011" s="13" t="n">
        <x:v>1056.3</x:v>
      </x:c>
    </x:row>
    <x:row r="3012">
      <x:c r="A3012" s="9" t="str">
        <x:v>3008</x:v>
      </x:c>
      <x:c r="B3012" s="9" t="str">
        <x:v>1500</x:v>
      </x:c>
      <x:c r="C3012" s="11" t="n">
        <x:v>46141</x:v>
      </x:c>
      <x:c r="D3012" s="13" t="n">
        <x:v>1967.87</x:v>
      </x:c>
    </x:row>
    <x:row r="3013">
      <x:c r="A3013" s="9" t="str">
        <x:v>3009</x:v>
      </x:c>
      <x:c r="B3013" s="9" t="str">
        <x:v>1500</x:v>
      </x:c>
      <x:c r="C3013" s="11" t="n">
        <x:v>46197</x:v>
      </x:c>
      <x:c r="D3013" s="13" t="n">
        <x:v>283.48</x:v>
      </x:c>
    </x:row>
    <x:row r="3014">
      <x:c r="A3014" s="9" t="str">
        <x:v>3010</x:v>
      </x:c>
      <x:c r="B3014" s="9" t="str">
        <x:v>1500</x:v>
      </x:c>
      <x:c r="C3014" s="11" t="n">
        <x:v>46120</x:v>
      </x:c>
      <x:c r="D3014" s="13" t="n">
        <x:v>916.8</x:v>
      </x:c>
    </x:row>
  </x:sheetData>
  <x:pageMargins left="0.7" right="0.7" top="0.75" bottom="0.75" header="0.3" footer="0.3"/>
  <x:tableParts count="1">
    <x:tablePart xmlns:r="http://schemas.openxmlformats.org/officeDocument/2006/relationships" r:id="R5624fcd0476e4870"/>
  </x:tableParts>
</x:worksheet>
</file>